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fileSharing readOnlyRecommended="1"/>
  <workbookPr codeName="EsteLivro" defaultThemeVersion="124226"/>
  <mc:AlternateContent xmlns:mc="http://schemas.openxmlformats.org/markup-compatibility/2006">
    <mc:Choice Requires="x15">
      <x15ac:absPath xmlns:x15ac="http://schemas.microsoft.com/office/spreadsheetml/2010/11/ac" url="D:\git_projects\evaluation_charts\"/>
    </mc:Choice>
  </mc:AlternateContent>
  <xr:revisionPtr revIDLastSave="0" documentId="13_ncr:1_{8A6D25FA-9BC7-43F4-9601-2EE928D9D398}" xr6:coauthVersionLast="46" xr6:coauthVersionMax="47" xr10:uidLastSave="{00000000-0000-0000-0000-000000000000}"/>
  <workbookProtection workbookAlgorithmName="SHA-512" workbookHashValue="jKTP1fjrlpXMptF2xdJ7NVQzVne6QEsrC2tbhC9URV1/ojsq++seTH1dwhg/FFiwhYPPIqcOA+XCI1Bc5s1k8A==" workbookSaltValue="swKJ3eCklz9BcssuzZSIsw==" workbookSpinCount="100000" lockStructure="1"/>
  <bookViews>
    <workbookView xWindow="-38520" yWindow="-5625" windowWidth="38640" windowHeight="21240" activeTab="2" xr2:uid="{00000000-000D-0000-FFFF-FFFF00000000}"/>
  </bookViews>
  <sheets>
    <sheet name="Avaliação Períodos" sheetId="2" r:id="rId1"/>
    <sheet name="Comp. Escrita" sheetId="8" r:id="rId2"/>
    <sheet name="Oralidade" sheetId="4" r:id="rId3"/>
    <sheet name="Prod. Escrita" sheetId="7" r:id="rId4"/>
  </sheets>
  <functionGroups builtInGroupCount="19"/>
  <definedNames>
    <definedName name="_xlnm.Print_Area" localSheetId="0">'Avaliação Períodos'!$A$4:$AJ$48</definedName>
    <definedName name="_xlnm.Print_Area" localSheetId="3">'Prod. Escrita'!$A$4:$P$40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2" l="1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C9" i="2"/>
  <c r="AC29" i="8"/>
  <c r="R7" i="8"/>
  <c r="AC7" i="8"/>
  <c r="A8" i="8"/>
  <c r="B8" i="8"/>
  <c r="R8" i="8"/>
  <c r="AC8" i="8"/>
  <c r="A9" i="8"/>
  <c r="B9" i="8"/>
  <c r="R9" i="8"/>
  <c r="AC9" i="8"/>
  <c r="A10" i="8"/>
  <c r="B10" i="8"/>
  <c r="R10" i="8"/>
  <c r="AC10" i="8"/>
  <c r="A11" i="8"/>
  <c r="B11" i="8"/>
  <c r="R11" i="8"/>
  <c r="AC11" i="8"/>
  <c r="A12" i="8"/>
  <c r="B12" i="8"/>
  <c r="R12" i="8"/>
  <c r="AC12" i="8"/>
  <c r="A13" i="8"/>
  <c r="B13" i="8"/>
  <c r="R13" i="8"/>
  <c r="AC13" i="8"/>
  <c r="A14" i="8"/>
  <c r="B14" i="8"/>
  <c r="R14" i="8"/>
  <c r="AC14" i="8"/>
  <c r="A15" i="8"/>
  <c r="B15" i="8"/>
  <c r="R15" i="8"/>
  <c r="AC15" i="8"/>
  <c r="A16" i="8"/>
  <c r="B16" i="8"/>
  <c r="R16" i="8"/>
  <c r="AC16" i="8"/>
  <c r="A17" i="8"/>
  <c r="B17" i="8"/>
  <c r="R17" i="8"/>
  <c r="AC17" i="8"/>
  <c r="A18" i="8"/>
  <c r="B18" i="8"/>
  <c r="R18" i="8"/>
  <c r="AC18" i="8"/>
  <c r="A19" i="8"/>
  <c r="B19" i="8"/>
  <c r="R19" i="8"/>
  <c r="AC19" i="8"/>
  <c r="A20" i="8"/>
  <c r="B20" i="8"/>
  <c r="R20" i="8"/>
  <c r="AC20" i="8"/>
  <c r="A21" i="8"/>
  <c r="B21" i="8"/>
  <c r="R21" i="8"/>
  <c r="AC21" i="8"/>
  <c r="B22" i="8"/>
  <c r="R22" i="8"/>
  <c r="AC22" i="8"/>
  <c r="A23" i="8"/>
  <c r="B23" i="8"/>
  <c r="R23" i="8"/>
  <c r="AC23" i="8"/>
  <c r="A24" i="8"/>
  <c r="B24" i="8"/>
  <c r="R24" i="8"/>
  <c r="AC24" i="8"/>
  <c r="A25" i="8"/>
  <c r="B25" i="8"/>
  <c r="R25" i="8"/>
  <c r="AC25" i="8"/>
  <c r="A26" i="8"/>
  <c r="B26" i="8"/>
  <c r="R26" i="8"/>
  <c r="AC26" i="8"/>
  <c r="A27" i="8"/>
  <c r="B27" i="8"/>
  <c r="R27" i="8"/>
  <c r="AC27" i="8"/>
  <c r="A28" i="8"/>
  <c r="B28" i="8"/>
  <c r="R28" i="8"/>
  <c r="AC28" i="8"/>
  <c r="A29" i="8"/>
  <c r="B29" i="8"/>
  <c r="A30" i="8"/>
  <c r="B30" i="8"/>
  <c r="R30" i="8"/>
  <c r="AC30" i="8"/>
  <c r="A31" i="8"/>
  <c r="B31" i="8"/>
  <c r="R31" i="8"/>
  <c r="AC31" i="8"/>
  <c r="A32" i="8"/>
  <c r="B32" i="8"/>
  <c r="R32" i="8"/>
  <c r="AC32" i="8"/>
  <c r="A33" i="8"/>
  <c r="B33" i="8"/>
  <c r="R33" i="8"/>
  <c r="AC33" i="8"/>
  <c r="A34" i="8"/>
  <c r="B34" i="8"/>
  <c r="R34" i="8"/>
  <c r="AC34" i="8"/>
  <c r="A35" i="8"/>
  <c r="B35" i="8"/>
  <c r="R35" i="8"/>
  <c r="AC35" i="8"/>
  <c r="A36" i="8"/>
  <c r="B36" i="8"/>
  <c r="R36" i="8"/>
  <c r="AC36" i="8"/>
  <c r="A37" i="8"/>
  <c r="B37" i="8"/>
  <c r="R37" i="8"/>
  <c r="AC37" i="8"/>
  <c r="AC39" i="8"/>
  <c r="V8" i="4"/>
  <c r="P8" i="7" a="1"/>
  <c r="P8" i="7" l="1"/>
  <c r="AC38" i="8"/>
  <c r="R38" i="8"/>
  <c r="AC40" i="8"/>
  <c r="R39" i="8"/>
  <c r="R40" i="8" s="1"/>
  <c r="D9" i="2"/>
  <c r="G9" i="2"/>
  <c r="J9" i="2"/>
  <c r="N8" i="4"/>
  <c r="F9" i="2" s="1"/>
  <c r="I9" i="2"/>
  <c r="V9" i="4"/>
  <c r="G10" i="2" s="1"/>
  <c r="J10" i="2"/>
  <c r="V10" i="4"/>
  <c r="G11" i="2" s="1"/>
  <c r="J11" i="2"/>
  <c r="V11" i="4"/>
  <c r="G12" i="2" s="1"/>
  <c r="J12" i="2"/>
  <c r="V12" i="4"/>
  <c r="G13" i="2" s="1"/>
  <c r="J13" i="2"/>
  <c r="V13" i="4"/>
  <c r="G14" i="2" s="1"/>
  <c r="J14" i="2"/>
  <c r="V14" i="4"/>
  <c r="G15" i="2" s="1"/>
  <c r="J15" i="2"/>
  <c r="V15" i="4"/>
  <c r="G16" i="2" s="1"/>
  <c r="J16" i="2"/>
  <c r="V16" i="4"/>
  <c r="G17" i="2" s="1"/>
  <c r="J17" i="2"/>
  <c r="V17" i="4"/>
  <c r="G18" i="2" s="1"/>
  <c r="J18" i="2"/>
  <c r="V18" i="4"/>
  <c r="G19" i="2" s="1"/>
  <c r="J19" i="2"/>
  <c r="V19" i="4"/>
  <c r="G20" i="2" s="1"/>
  <c r="J20" i="2"/>
  <c r="V20" i="4"/>
  <c r="G21" i="2" s="1"/>
  <c r="J21" i="2"/>
  <c r="V21" i="4"/>
  <c r="G22" i="2" s="1"/>
  <c r="J22" i="2"/>
  <c r="V22" i="4"/>
  <c r="G23" i="2" s="1"/>
  <c r="J23" i="2"/>
  <c r="V23" i="4"/>
  <c r="G24" i="2" s="1"/>
  <c r="J24" i="2"/>
  <c r="V24" i="4"/>
  <c r="G25" i="2" s="1"/>
  <c r="J25" i="2"/>
  <c r="V25" i="4"/>
  <c r="G26" i="2" s="1"/>
  <c r="J26" i="2"/>
  <c r="V26" i="4"/>
  <c r="G27" i="2" s="1"/>
  <c r="J27" i="2"/>
  <c r="V27" i="4"/>
  <c r="G28" i="2" s="1"/>
  <c r="J28" i="2"/>
  <c r="V28" i="4"/>
  <c r="G29" i="2" s="1"/>
  <c r="J29" i="2"/>
  <c r="V29" i="4"/>
  <c r="G30" i="2" s="1"/>
  <c r="J30" i="2"/>
  <c r="V30" i="4"/>
  <c r="G31" i="2" s="1"/>
  <c r="J31" i="2"/>
  <c r="V31" i="4"/>
  <c r="G32" i="2" s="1"/>
  <c r="J32" i="2"/>
  <c r="V32" i="4"/>
  <c r="G33" i="2" s="1"/>
  <c r="J33" i="2"/>
  <c r="V33" i="4"/>
  <c r="G34" i="2" s="1"/>
  <c r="J34" i="2"/>
  <c r="V34" i="4"/>
  <c r="G35" i="2" s="1"/>
  <c r="J35" i="2"/>
  <c r="V35" i="4"/>
  <c r="G36" i="2" s="1"/>
  <c r="J36" i="2"/>
  <c r="V36" i="4"/>
  <c r="G37" i="2" s="1"/>
  <c r="J37" i="2"/>
  <c r="V37" i="4"/>
  <c r="G38" i="2" s="1"/>
  <c r="J38" i="2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8" i="7"/>
  <c r="W7" i="7"/>
  <c r="Y7" i="7"/>
  <c r="P7" i="7"/>
  <c r="N7" i="7"/>
  <c r="C11" i="2"/>
  <c r="N10" i="4"/>
  <c r="F11" i="2" s="1"/>
  <c r="I11" i="2"/>
  <c r="N9" i="4"/>
  <c r="F10" i="2" s="1"/>
  <c r="I10" i="2"/>
  <c r="C12" i="2"/>
  <c r="N11" i="4"/>
  <c r="F12" i="2" s="1"/>
  <c r="I12" i="2"/>
  <c r="C13" i="2"/>
  <c r="N12" i="4"/>
  <c r="F13" i="2" s="1"/>
  <c r="I13" i="2"/>
  <c r="C14" i="2"/>
  <c r="N13" i="4"/>
  <c r="F14" i="2" s="1"/>
  <c r="I14" i="2"/>
  <c r="C15" i="2"/>
  <c r="N14" i="4"/>
  <c r="F15" i="2" s="1"/>
  <c r="I15" i="2"/>
  <c r="C16" i="2"/>
  <c r="N15" i="4"/>
  <c r="F16" i="2" s="1"/>
  <c r="I16" i="2"/>
  <c r="C17" i="2"/>
  <c r="N16" i="4"/>
  <c r="F17" i="2" s="1"/>
  <c r="I17" i="2"/>
  <c r="C18" i="2"/>
  <c r="N17" i="4"/>
  <c r="F18" i="2" s="1"/>
  <c r="I18" i="2"/>
  <c r="C19" i="2"/>
  <c r="N18" i="4"/>
  <c r="F19" i="2" s="1"/>
  <c r="I19" i="2"/>
  <c r="C20" i="2"/>
  <c r="N19" i="4"/>
  <c r="F20" i="2" s="1"/>
  <c r="I20" i="2"/>
  <c r="C21" i="2"/>
  <c r="N20" i="4"/>
  <c r="F21" i="2" s="1"/>
  <c r="I21" i="2"/>
  <c r="C22" i="2"/>
  <c r="N21" i="4"/>
  <c r="F22" i="2" s="1"/>
  <c r="I22" i="2"/>
  <c r="C23" i="2"/>
  <c r="N22" i="4"/>
  <c r="F23" i="2" s="1"/>
  <c r="I23" i="2"/>
  <c r="C24" i="2"/>
  <c r="N23" i="4"/>
  <c r="F24" i="2" s="1"/>
  <c r="I24" i="2"/>
  <c r="C25" i="2"/>
  <c r="N24" i="4"/>
  <c r="F25" i="2" s="1"/>
  <c r="I25" i="2"/>
  <c r="C26" i="2"/>
  <c r="N25" i="4"/>
  <c r="F26" i="2" s="1"/>
  <c r="I26" i="2"/>
  <c r="C27" i="2"/>
  <c r="N26" i="4"/>
  <c r="F27" i="2" s="1"/>
  <c r="I27" i="2"/>
  <c r="C28" i="2"/>
  <c r="N27" i="4"/>
  <c r="F28" i="2" s="1"/>
  <c r="I28" i="2"/>
  <c r="C29" i="2"/>
  <c r="N28" i="4"/>
  <c r="F29" i="2"/>
  <c r="I29" i="2"/>
  <c r="C30" i="2"/>
  <c r="N29" i="4"/>
  <c r="F30" i="2" s="1"/>
  <c r="I30" i="2"/>
  <c r="C31" i="2"/>
  <c r="N30" i="4"/>
  <c r="F31" i="2" s="1"/>
  <c r="I31" i="2"/>
  <c r="C32" i="2"/>
  <c r="N31" i="4"/>
  <c r="F32" i="2" s="1"/>
  <c r="I32" i="2"/>
  <c r="C33" i="2"/>
  <c r="N32" i="4"/>
  <c r="F33" i="2" s="1"/>
  <c r="I33" i="2"/>
  <c r="C34" i="2"/>
  <c r="N33" i="4"/>
  <c r="F34" i="2" s="1"/>
  <c r="I34" i="2"/>
  <c r="C35" i="2"/>
  <c r="C36" i="2"/>
  <c r="C37" i="2"/>
  <c r="C38" i="2"/>
  <c r="N34" i="4"/>
  <c r="F35" i="2" s="1"/>
  <c r="I35" i="2"/>
  <c r="N35" i="4"/>
  <c r="F36" i="2" s="1"/>
  <c r="I36" i="2"/>
  <c r="N36" i="4"/>
  <c r="F37" i="2" s="1"/>
  <c r="I37" i="2"/>
  <c r="N37" i="4"/>
  <c r="F38" i="2" s="1"/>
  <c r="I38" i="2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8" i="4"/>
  <c r="B8" i="4"/>
  <c r="V7" i="4"/>
  <c r="N7" i="4"/>
  <c r="W38" i="4"/>
  <c r="W39" i="4"/>
  <c r="W40" i="4" s="1"/>
  <c r="O38" i="4"/>
  <c r="O39" i="4"/>
  <c r="O40" i="4" s="1"/>
  <c r="S51" i="7"/>
  <c r="B37" i="7"/>
  <c r="A37" i="7"/>
  <c r="B36" i="7"/>
  <c r="A36" i="7"/>
  <c r="B35" i="7"/>
  <c r="A35" i="7"/>
  <c r="B34" i="7"/>
  <c r="A34" i="7"/>
  <c r="B33" i="7"/>
  <c r="A33" i="7"/>
  <c r="B32" i="7"/>
  <c r="A32" i="7"/>
  <c r="B31" i="7"/>
  <c r="A31" i="7"/>
  <c r="B30" i="7"/>
  <c r="A30" i="7"/>
  <c r="B29" i="7"/>
  <c r="A29" i="7"/>
  <c r="B28" i="7"/>
  <c r="A28" i="7"/>
  <c r="B27" i="7"/>
  <c r="A27" i="7"/>
  <c r="B26" i="7"/>
  <c r="A26" i="7"/>
  <c r="B25" i="7"/>
  <c r="A25" i="7"/>
  <c r="B24" i="7"/>
  <c r="A24" i="7"/>
  <c r="B23" i="7"/>
  <c r="A23" i="7"/>
  <c r="B22" i="7"/>
  <c r="A22" i="7"/>
  <c r="B21" i="7"/>
  <c r="A21" i="7"/>
  <c r="B20" i="7"/>
  <c r="A20" i="7"/>
  <c r="B19" i="7"/>
  <c r="A19" i="7"/>
  <c r="B18" i="7"/>
  <c r="A18" i="7"/>
  <c r="B17" i="7"/>
  <c r="A17" i="7"/>
  <c r="B16" i="7"/>
  <c r="A16" i="7"/>
  <c r="B15" i="7"/>
  <c r="A15" i="7"/>
  <c r="B14" i="7"/>
  <c r="A14" i="7"/>
  <c r="B13" i="7"/>
  <c r="A13" i="7"/>
  <c r="B12" i="7"/>
  <c r="A12" i="7"/>
  <c r="B11" i="7"/>
  <c r="A11" i="7"/>
  <c r="B10" i="7"/>
  <c r="A10" i="7"/>
  <c r="B9" i="7"/>
  <c r="A9" i="7"/>
  <c r="B8" i="7"/>
  <c r="A8" i="7"/>
  <c r="Y31" i="7" a="1"/>
  <c r="Y27" i="7" a="1"/>
  <c r="Y9" i="7" a="1"/>
  <c r="P25" i="7" a="1"/>
  <c r="P36" i="7" a="1"/>
  <c r="P34" i="7" a="1"/>
  <c r="P14" i="7" a="1"/>
  <c r="Y8" i="7" a="1"/>
  <c r="Y26" i="7" a="1"/>
  <c r="Y19" i="7" a="1"/>
  <c r="P21" i="7" a="1"/>
  <c r="P12" i="7" a="1"/>
  <c r="Y37" i="7" a="1"/>
  <c r="P17" i="7" a="1"/>
  <c r="P11" i="7" a="1"/>
  <c r="P10" i="7" a="1"/>
  <c r="P20" i="7" a="1"/>
  <c r="P18" i="7" a="1"/>
  <c r="P9" i="7" a="1"/>
  <c r="P13" i="7" a="1"/>
  <c r="Y11" i="7" a="1"/>
  <c r="Y14" i="7" a="1"/>
  <c r="P19" i="7" a="1"/>
  <c r="Y21" i="7" a="1"/>
  <c r="Y10" i="7" a="1"/>
  <c r="Y33" i="7" a="1"/>
  <c r="P28" i="7" a="1"/>
  <c r="P23" i="7" a="1"/>
  <c r="Y25" i="7" a="1"/>
  <c r="Y36" i="7" a="1"/>
  <c r="Y29" i="7" a="1"/>
  <c r="P26" i="7" a="1"/>
  <c r="P22" i="7" a="1"/>
  <c r="Y18" i="7" a="1"/>
  <c r="P27" i="7" a="1"/>
  <c r="P24" i="7" a="1"/>
  <c r="Y22" i="7" a="1"/>
  <c r="Y35" i="7" a="1"/>
  <c r="Y23" i="7" a="1"/>
  <c r="P33" i="7" a="1"/>
  <c r="Y32" i="7" a="1"/>
  <c r="Y13" i="7" a="1"/>
  <c r="P15" i="7" a="1"/>
  <c r="Y16" i="7" a="1"/>
  <c r="P31" i="7" a="1"/>
  <c r="P35" i="7" a="1"/>
  <c r="Y24" i="7" a="1"/>
  <c r="P16" i="7" a="1"/>
  <c r="Y28" i="7" a="1"/>
  <c r="P29" i="7" a="1"/>
  <c r="Y34" i="7" a="1"/>
  <c r="P30" i="7" a="1"/>
  <c r="Y17" i="7" a="1"/>
  <c r="Y30" i="7" a="1"/>
  <c r="Y20" i="7" a="1"/>
  <c r="Y15" i="7" a="1"/>
  <c r="P37" i="7" a="1"/>
  <c r="P32" i="7" a="1"/>
  <c r="Y12" i="7" a="1"/>
  <c r="N38" i="4" l="1"/>
  <c r="V39" i="4"/>
  <c r="V40" i="4" s="1"/>
  <c r="V38" i="4"/>
  <c r="P33" i="7"/>
  <c r="O34" i="2" s="1"/>
  <c r="U34" i="2" s="1"/>
  <c r="P32" i="7"/>
  <c r="O33" i="2" s="1"/>
  <c r="U33" i="2" s="1"/>
  <c r="Y12" i="7"/>
  <c r="Q13" i="2" s="1"/>
  <c r="Y13" i="2" s="1"/>
  <c r="Y17" i="7"/>
  <c r="Q18" i="2" s="1"/>
  <c r="Y18" i="2" s="1"/>
  <c r="P37" i="7"/>
  <c r="O38" i="2" s="1"/>
  <c r="Y35" i="7"/>
  <c r="Q36" i="2" s="1"/>
  <c r="Y36" i="2" s="1"/>
  <c r="Y16" i="7"/>
  <c r="Q17" i="2" s="1"/>
  <c r="Y17" i="2" s="1"/>
  <c r="P36" i="7"/>
  <c r="O37" i="2" s="1"/>
  <c r="P31" i="7"/>
  <c r="O32" i="2" s="1"/>
  <c r="U32" i="2" s="1"/>
  <c r="Y36" i="7"/>
  <c r="Q37" i="2" s="1"/>
  <c r="Y37" i="2" s="1"/>
  <c r="Y34" i="7"/>
  <c r="Q35" i="2" s="1"/>
  <c r="Y35" i="2" s="1"/>
  <c r="Y27" i="7"/>
  <c r="Q28" i="2" s="1"/>
  <c r="Y28" i="2" s="1"/>
  <c r="Y13" i="7"/>
  <c r="Q14" i="2" s="1"/>
  <c r="Y14" i="2" s="1"/>
  <c r="P30" i="7"/>
  <c r="O31" i="2" s="1"/>
  <c r="U31" i="2" s="1"/>
  <c r="Y37" i="7"/>
  <c r="Q38" i="2" s="1"/>
  <c r="Y38" i="2" s="1"/>
  <c r="Y28" i="7"/>
  <c r="Q29" i="2" s="1"/>
  <c r="Y29" i="2" s="1"/>
  <c r="Y26" i="7"/>
  <c r="Q27" i="2" s="1"/>
  <c r="Y19" i="7"/>
  <c r="Q20" i="2" s="1"/>
  <c r="Y20" i="2" s="1"/>
  <c r="Y14" i="7"/>
  <c r="Q15" i="2" s="1"/>
  <c r="Y15" i="2" s="1"/>
  <c r="Y8" i="7"/>
  <c r="Y11" i="7"/>
  <c r="Q12" i="2" s="1"/>
  <c r="Y12" i="2" s="1"/>
  <c r="P35" i="7"/>
  <c r="O36" i="2" s="1"/>
  <c r="Y33" i="7"/>
  <c r="Q34" i="2" s="1"/>
  <c r="Y34" i="2" s="1"/>
  <c r="Y32" i="7"/>
  <c r="Q33" i="2" s="1"/>
  <c r="Y33" i="2" s="1"/>
  <c r="Y31" i="7"/>
  <c r="Q32" i="2" s="1"/>
  <c r="Y32" i="2" s="1"/>
  <c r="Y30" i="7"/>
  <c r="Q31" i="2" s="1"/>
  <c r="Y31" i="2" s="1"/>
  <c r="Y29" i="7"/>
  <c r="Q30" i="2" s="1"/>
  <c r="Y30" i="2" s="1"/>
  <c r="Y20" i="7"/>
  <c r="Q21" i="2" s="1"/>
  <c r="Y18" i="7"/>
  <c r="Q19" i="2" s="1"/>
  <c r="Y19" i="2" s="1"/>
  <c r="P34" i="7"/>
  <c r="O35" i="2" s="1"/>
  <c r="P29" i="7"/>
  <c r="O30" i="2" s="1"/>
  <c r="U30" i="2" s="1"/>
  <c r="Y25" i="7"/>
  <c r="Q26" i="2" s="1"/>
  <c r="Y26" i="2" s="1"/>
  <c r="Y24" i="7"/>
  <c r="Q25" i="2" s="1"/>
  <c r="Y25" i="2" s="1"/>
  <c r="Y23" i="7"/>
  <c r="Q24" i="2" s="1"/>
  <c r="Y24" i="2" s="1"/>
  <c r="Y22" i="7"/>
  <c r="Q23" i="2" s="1"/>
  <c r="Y23" i="2" s="1"/>
  <c r="Y21" i="7"/>
  <c r="Q22" i="2" s="1"/>
  <c r="Y22" i="2" s="1"/>
  <c r="Y15" i="7"/>
  <c r="Q16" i="2" s="1"/>
  <c r="Y16" i="2" s="1"/>
  <c r="Y10" i="7"/>
  <c r="Q11" i="2" s="1"/>
  <c r="Y11" i="2" s="1"/>
  <c r="Y9" i="7"/>
  <c r="Q10" i="2" s="1"/>
  <c r="Y10" i="2" s="1"/>
  <c r="N39" i="4"/>
  <c r="N40" i="4" s="1"/>
  <c r="C10" i="2"/>
  <c r="O9" i="2"/>
  <c r="P25" i="7"/>
  <c r="O26" i="2" s="1"/>
  <c r="U26" i="2" s="1"/>
  <c r="P21" i="7"/>
  <c r="O22" i="2" s="1"/>
  <c r="U22" i="2" s="1"/>
  <c r="P17" i="7"/>
  <c r="O18" i="2" s="1"/>
  <c r="U18" i="2" s="1"/>
  <c r="P12" i="7"/>
  <c r="O13" i="2" s="1"/>
  <c r="U13" i="2" s="1"/>
  <c r="P28" i="7"/>
  <c r="O29" i="2" s="1"/>
  <c r="U29" i="2" s="1"/>
  <c r="P24" i="7"/>
  <c r="O25" i="2" s="1"/>
  <c r="P20" i="7"/>
  <c r="O21" i="2" s="1"/>
  <c r="U21" i="2" s="1"/>
  <c r="P16" i="7"/>
  <c r="O17" i="2" s="1"/>
  <c r="U17" i="2" s="1"/>
  <c r="P11" i="7"/>
  <c r="O12" i="2" s="1"/>
  <c r="U12" i="2" s="1"/>
  <c r="P27" i="7"/>
  <c r="O28" i="2" s="1"/>
  <c r="U28" i="2" s="1"/>
  <c r="P23" i="7"/>
  <c r="O24" i="2" s="1"/>
  <c r="U24" i="2" s="1"/>
  <c r="P19" i="7"/>
  <c r="O20" i="2" s="1"/>
  <c r="U20" i="2" s="1"/>
  <c r="P15" i="7"/>
  <c r="O16" i="2" s="1"/>
  <c r="U16" i="2" s="1"/>
  <c r="P10" i="7"/>
  <c r="O11" i="2" s="1"/>
  <c r="U11" i="2" s="1"/>
  <c r="P26" i="7"/>
  <c r="O27" i="2" s="1"/>
  <c r="U27" i="2" s="1"/>
  <c r="P22" i="7"/>
  <c r="O23" i="2" s="1"/>
  <c r="U23" i="2" s="1"/>
  <c r="P18" i="7"/>
  <c r="O19" i="2" s="1"/>
  <c r="U19" i="2" s="1"/>
  <c r="P13" i="7"/>
  <c r="O14" i="2" s="1"/>
  <c r="U14" i="2" s="1"/>
  <c r="P9" i="7"/>
  <c r="O10" i="2" s="1"/>
  <c r="U10" i="2" s="1"/>
  <c r="P14" i="7"/>
  <c r="Y27" i="2" l="1"/>
  <c r="Z27" i="2" s="1"/>
  <c r="U25" i="2"/>
  <c r="V25" i="2" s="1"/>
  <c r="U37" i="2"/>
  <c r="V37" i="2" s="1"/>
  <c r="U9" i="2"/>
  <c r="V9" i="2" s="1"/>
  <c r="X9" i="2" s="1"/>
  <c r="U35" i="2"/>
  <c r="V35" i="2" s="1"/>
  <c r="U36" i="2"/>
  <c r="V36" i="2" s="1"/>
  <c r="U38" i="2"/>
  <c r="V38" i="2" s="1"/>
  <c r="Y21" i="2"/>
  <c r="Z21" i="2" s="1"/>
  <c r="V34" i="2"/>
  <c r="X34" i="2" s="1"/>
  <c r="V13" i="2"/>
  <c r="X13" i="2" s="1"/>
  <c r="V14" i="2"/>
  <c r="X14" i="2" s="1"/>
  <c r="Z25" i="2"/>
  <c r="AB25" i="2" s="1"/>
  <c r="V32" i="2"/>
  <c r="X32" i="2" s="1"/>
  <c r="Z33" i="2"/>
  <c r="AB33" i="2" s="1"/>
  <c r="V23" i="2"/>
  <c r="X23" i="2" s="1"/>
  <c r="V17" i="2"/>
  <c r="X17" i="2" s="1"/>
  <c r="Z10" i="2"/>
  <c r="AB10" i="2" s="1"/>
  <c r="V30" i="2"/>
  <c r="X30" i="2" s="1"/>
  <c r="Z34" i="2"/>
  <c r="AB34" i="2" s="1"/>
  <c r="Z38" i="2"/>
  <c r="AB38" i="2" s="1"/>
  <c r="V20" i="2"/>
  <c r="X20" i="2" s="1"/>
  <c r="Z24" i="2"/>
  <c r="AB24" i="2" s="1"/>
  <c r="V22" i="2"/>
  <c r="X22" i="2" s="1"/>
  <c r="Z32" i="2"/>
  <c r="AB32" i="2" s="1"/>
  <c r="V19" i="2"/>
  <c r="X19" i="2" s="1"/>
  <c r="Z26" i="2"/>
  <c r="AB26" i="2" s="1"/>
  <c r="V27" i="2"/>
  <c r="X27" i="2" s="1"/>
  <c r="V21" i="2"/>
  <c r="X21" i="2" s="1"/>
  <c r="Z11" i="2"/>
  <c r="AB11" i="2" s="1"/>
  <c r="V31" i="2"/>
  <c r="X31" i="2" s="1"/>
  <c r="Z36" i="2"/>
  <c r="AB36" i="2" s="1"/>
  <c r="Z16" i="2"/>
  <c r="AB16" i="2" s="1"/>
  <c r="Z19" i="2"/>
  <c r="AB19" i="2" s="1"/>
  <c r="Z12" i="2"/>
  <c r="AB12" i="2" s="1"/>
  <c r="V11" i="2"/>
  <c r="X11" i="2" s="1"/>
  <c r="V16" i="2"/>
  <c r="X16" i="2" s="1"/>
  <c r="V29" i="2"/>
  <c r="X29" i="2" s="1"/>
  <c r="Z22" i="2"/>
  <c r="AB22" i="2" s="1"/>
  <c r="Z28" i="2"/>
  <c r="AB28" i="2" s="1"/>
  <c r="Z18" i="2"/>
  <c r="AB18" i="2" s="1"/>
  <c r="Z30" i="2"/>
  <c r="AB30" i="2" s="1"/>
  <c r="Z15" i="2"/>
  <c r="AB15" i="2" s="1"/>
  <c r="Z35" i="2"/>
  <c r="AB35" i="2" s="1"/>
  <c r="Z13" i="2"/>
  <c r="AB13" i="2" s="1"/>
  <c r="V24" i="2"/>
  <c r="X24" i="2" s="1"/>
  <c r="Z20" i="2"/>
  <c r="AB20" i="2" s="1"/>
  <c r="Z37" i="2"/>
  <c r="AB37" i="2" s="1"/>
  <c r="V33" i="2"/>
  <c r="X33" i="2" s="1"/>
  <c r="V18" i="2"/>
  <c r="X18" i="2" s="1"/>
  <c r="V28" i="2"/>
  <c r="X28" i="2" s="1"/>
  <c r="Z23" i="2"/>
  <c r="AB23" i="2" s="1"/>
  <c r="Z31" i="2"/>
  <c r="AB31" i="2" s="1"/>
  <c r="V26" i="2"/>
  <c r="X26" i="2" s="1"/>
  <c r="Z29" i="2"/>
  <c r="AB29" i="2" s="1"/>
  <c r="Z14" i="2"/>
  <c r="Q9" i="2"/>
  <c r="Y9" i="2" s="1"/>
  <c r="Y39" i="7"/>
  <c r="Y40" i="7" s="1"/>
  <c r="Y38" i="7"/>
  <c r="O15" i="2"/>
  <c r="P39" i="7"/>
  <c r="P40" i="7" s="1"/>
  <c r="P38" i="7"/>
  <c r="U15" i="2" l="1"/>
  <c r="V15" i="2" s="1"/>
  <c r="X15" i="2" s="1"/>
  <c r="Z9" i="2"/>
  <c r="AB9" i="2" s="1"/>
  <c r="V12" i="2"/>
  <c r="X12" i="2" s="1"/>
  <c r="Z17" i="2"/>
  <c r="AB17" i="2" s="1"/>
  <c r="V10" i="2"/>
  <c r="X10" i="2" s="1"/>
  <c r="R46" i="2" l="1"/>
  <c r="R44" i="2"/>
  <c r="R45" i="2"/>
  <c r="X46" i="2"/>
  <c r="X45" i="2"/>
  <c r="X47" i="2"/>
  <c r="X44" i="2"/>
  <c r="X48" i="2"/>
  <c r="R47" i="2"/>
  <c r="R48" i="2"/>
  <c r="R43" i="2" l="1"/>
  <c r="X4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<sst xmlns="http://schemas.openxmlformats.org/spreadsheetml/2006/main" count="170" uniqueCount="106">
  <si>
    <t xml:space="preserve">AVALIAÇÃO GLOBAL </t>
  </si>
  <si>
    <t>Turma:</t>
  </si>
  <si>
    <t>ORALIDADE</t>
  </si>
  <si>
    <t>ESCRITA</t>
  </si>
  <si>
    <t>FINAL</t>
  </si>
  <si>
    <t>Nº</t>
  </si>
  <si>
    <t>NOME</t>
  </si>
  <si>
    <t>1º P</t>
  </si>
  <si>
    <t>2º P</t>
  </si>
  <si>
    <t>dadas</t>
  </si>
  <si>
    <t>previstas</t>
  </si>
  <si>
    <t>sucesso</t>
  </si>
  <si>
    <t>nível 2</t>
  </si>
  <si>
    <t>nível 3</t>
  </si>
  <si>
    <t>nível 4</t>
  </si>
  <si>
    <t>nível 5</t>
  </si>
  <si>
    <t>Ano: 7.º</t>
  </si>
  <si>
    <t>A</t>
  </si>
  <si>
    <t>GRELHA DE CORREÇÃO</t>
  </si>
  <si>
    <t>SUBTOTAL</t>
  </si>
  <si>
    <t>TOTAL</t>
  </si>
  <si>
    <t>Questão</t>
  </si>
  <si>
    <t>GRUPO IV- ESCRITA: PARÂMETROS</t>
  </si>
  <si>
    <t>CL</t>
  </si>
  <si>
    <t>A.</t>
  </si>
  <si>
    <t>Género / Formato textual</t>
  </si>
  <si>
    <t>B.</t>
  </si>
  <si>
    <t>Tema e Pertinência da informação</t>
  </si>
  <si>
    <t>C.</t>
  </si>
  <si>
    <t>Organização e coesão textuais</t>
  </si>
  <si>
    <t>D.</t>
  </si>
  <si>
    <t>Morfologia, Sintaxe e Pontuação</t>
  </si>
  <si>
    <t>E.</t>
  </si>
  <si>
    <t>Ortografia</t>
  </si>
  <si>
    <t>4 a 8</t>
  </si>
  <si>
    <t>B</t>
  </si>
  <si>
    <t>Média dos testes</t>
  </si>
  <si>
    <t>N.º de negativas</t>
  </si>
  <si>
    <t>% de negativas</t>
  </si>
  <si>
    <t xml:space="preserve"> </t>
  </si>
  <si>
    <t xml:space="preserve">                   Cotação
Nome
</t>
  </si>
  <si>
    <t>nível 1</t>
  </si>
  <si>
    <t>Desc.</t>
  </si>
  <si>
    <t>C</t>
  </si>
  <si>
    <t>D</t>
  </si>
  <si>
    <t>E</t>
  </si>
  <si>
    <t>AV ajuste</t>
  </si>
  <si>
    <t>Ano Letivo 2020/21</t>
  </si>
  <si>
    <t>1º P Auto Av.</t>
  </si>
  <si>
    <t>2º P Auto Av.</t>
  </si>
  <si>
    <t>DAC</t>
  </si>
  <si>
    <r>
      <rPr>
        <b/>
        <u/>
        <sz val="12"/>
        <color theme="7" tint="-0.249977111117893"/>
        <rFont val="Trebuchet MS"/>
        <family val="2"/>
      </rPr>
      <t>NOTA:</t>
    </r>
    <r>
      <rPr>
        <sz val="12"/>
        <color theme="7" tint="-0.249977111117893"/>
        <rFont val="Trebuchet MS"/>
        <family val="2"/>
      </rPr>
      <t xml:space="preserve">  Campos devem ser preenchidos nas folhas respetivas! Notas poderão ser ajustadas nas colunas Av. Ajuste!</t>
    </r>
  </si>
  <si>
    <r>
      <rPr>
        <b/>
        <sz val="9"/>
        <color rgb="FFFF0000"/>
        <rFont val="Arial"/>
        <family val="2"/>
      </rPr>
      <t>Desc</t>
    </r>
    <r>
      <rPr>
        <b/>
        <sz val="9"/>
        <color theme="1"/>
        <rFont val="Arial"/>
        <family val="2"/>
      </rPr>
      <t>.</t>
    </r>
  </si>
  <si>
    <t>Total Comp.</t>
  </si>
  <si>
    <t>C. Oral</t>
  </si>
  <si>
    <t>SUBTOTAL C. Oral</t>
  </si>
  <si>
    <t>Ademar Monforte</t>
  </si>
  <si>
    <t>Alexandre Simões</t>
  </si>
  <si>
    <t>Ana Inácio</t>
  </si>
  <si>
    <t>Ana Gomes</t>
  </si>
  <si>
    <t>Bruna Lemos</t>
  </si>
  <si>
    <t>Constança Abreu</t>
  </si>
  <si>
    <t>Cristiano Emídio</t>
  </si>
  <si>
    <t>Edgar Gonçalves</t>
  </si>
  <si>
    <t>Fábio Trino</t>
  </si>
  <si>
    <t>Francisco Pedrosa</t>
  </si>
  <si>
    <t>Francisco Miranda</t>
  </si>
  <si>
    <t>Francisco Mota</t>
  </si>
  <si>
    <t>Francisco Marques</t>
  </si>
  <si>
    <t>Jamila Portilha</t>
  </si>
  <si>
    <t>Joelma Emídio</t>
  </si>
  <si>
    <t>José Garcia</t>
  </si>
  <si>
    <t>Leonor Gomes</t>
  </si>
  <si>
    <t>Martim Santos</t>
  </si>
  <si>
    <t>Nikole Lage</t>
  </si>
  <si>
    <t>Tatiana Gomes</t>
  </si>
  <si>
    <t>Manuel Ascenso</t>
  </si>
  <si>
    <t>7.º</t>
  </si>
  <si>
    <t>G</t>
  </si>
  <si>
    <t>7.º G</t>
  </si>
  <si>
    <t>7G</t>
  </si>
  <si>
    <t>1.1</t>
  </si>
  <si>
    <t>1.2</t>
  </si>
  <si>
    <t>1.3</t>
  </si>
  <si>
    <t>1.4</t>
  </si>
  <si>
    <t>1.5</t>
  </si>
  <si>
    <t>1.6</t>
  </si>
  <si>
    <t>1.7</t>
  </si>
  <si>
    <t>1.8</t>
  </si>
  <si>
    <t>Ana Ramos</t>
  </si>
  <si>
    <t>2º Semestre</t>
  </si>
  <si>
    <t>1º Semestre</t>
  </si>
  <si>
    <t>1ºS</t>
  </si>
  <si>
    <t>2ºS</t>
  </si>
  <si>
    <t>1º S</t>
  </si>
  <si>
    <t>2º S</t>
  </si>
  <si>
    <t>1.º S</t>
  </si>
  <si>
    <t>2.º S</t>
  </si>
  <si>
    <t>PRODUÇÃO ESCRITA</t>
  </si>
  <si>
    <t>P. Oral</t>
  </si>
  <si>
    <t>COMP. ESTRATÉGICA</t>
  </si>
  <si>
    <t>COMP. ESCRITA</t>
  </si>
  <si>
    <t>COMPREENSÃO ORAL + PRODUÇÃO ORAL</t>
  </si>
  <si>
    <t>SUBTOTAL Prod. Oral</t>
  </si>
  <si>
    <t>COMPREENSÃO ESCRITA</t>
  </si>
  <si>
    <t>FRANCÊS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</si>
</sst>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\-0;;@"/>
    <numFmt numFmtId="165" formatCode="0.0&quot;%&quot;"/>
  </numFmts>
  <fonts count="5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7"/>
      <name val="Arial Narrow"/>
      <family val="2"/>
    </font>
    <font>
      <sz val="10"/>
      <name val="Trebuchet MS"/>
      <family val="2"/>
    </font>
    <font>
      <sz val="10"/>
      <color theme="7" tint="-0.249977111117893"/>
      <name val="Trebuchet MS"/>
      <family val="2"/>
    </font>
    <font>
      <sz val="14"/>
      <name val="Trebuchet MS"/>
      <family val="2"/>
    </font>
    <font>
      <sz val="10"/>
      <color theme="1"/>
      <name val="Arial"/>
      <family val="2"/>
    </font>
    <font>
      <sz val="10"/>
      <color indexed="60"/>
      <name val="Arial"/>
      <family val="2"/>
    </font>
    <font>
      <sz val="10"/>
      <color rgb="FF0070C0"/>
      <name val="Arial"/>
      <family val="2"/>
    </font>
    <font>
      <b/>
      <sz val="12"/>
      <name val="Trebuchet MS"/>
      <family val="2"/>
    </font>
    <font>
      <sz val="18"/>
      <name val="Trebuchet MS"/>
      <family val="2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8"/>
      <name val="Calibri"/>
      <family val="2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name val="Arial"/>
      <family val="2"/>
    </font>
    <font>
      <sz val="10"/>
      <name val="Comic Sans MS"/>
      <family val="4"/>
    </font>
    <font>
      <sz val="18"/>
      <name val="Arial"/>
      <family val="2"/>
    </font>
    <font>
      <sz val="16"/>
      <name val="Arial"/>
      <family val="2"/>
    </font>
    <font>
      <sz val="11"/>
      <color theme="1"/>
      <name val="Arial"/>
      <family val="2"/>
    </font>
    <font>
      <sz val="9"/>
      <name val="Arial"/>
      <family val="2"/>
    </font>
    <font>
      <b/>
      <sz val="11"/>
      <color rgb="FFFF0000"/>
      <name val="Arial"/>
      <family val="2"/>
    </font>
    <font>
      <b/>
      <sz val="14"/>
      <name val="Arial"/>
      <family val="2"/>
    </font>
    <font>
      <b/>
      <sz val="9"/>
      <color indexed="10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1"/>
      <color theme="1"/>
      <name val="Arial"/>
      <family val="2"/>
    </font>
    <font>
      <sz val="9"/>
      <color rgb="FFFF0000"/>
      <name val="Arial"/>
      <family val="2"/>
    </font>
    <font>
      <b/>
      <u/>
      <sz val="8"/>
      <name val="Arial"/>
      <family val="2"/>
    </font>
    <font>
      <b/>
      <sz val="9"/>
      <color theme="1"/>
      <name val="Arial"/>
      <family val="2"/>
    </font>
    <font>
      <b/>
      <sz val="12"/>
      <name val="Arial"/>
      <family val="2"/>
    </font>
    <font>
      <b/>
      <sz val="7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9"/>
      <color rgb="FFFF000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rgb="FFFF0000"/>
      <name val="Arial"/>
      <family val="2"/>
    </font>
    <font>
      <sz val="8"/>
      <name val="Arial"/>
      <family val="2"/>
    </font>
    <font>
      <sz val="8"/>
      <color rgb="FF4472C4"/>
      <name val="Arial"/>
      <family val="2"/>
    </font>
    <font>
      <sz val="8"/>
      <color rgb="FF333399"/>
      <name val="Arial"/>
      <family val="2"/>
    </font>
    <font>
      <sz val="8"/>
      <name val="Trebuchet MS"/>
      <family val="2"/>
    </font>
    <font>
      <sz val="8"/>
      <color theme="7" tint="-0.249977111117893"/>
      <name val="Trebuchet MS"/>
      <family val="2"/>
    </font>
    <font>
      <b/>
      <sz val="11"/>
      <color theme="6" tint="-0.499984740745262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u/>
      <sz val="12"/>
      <color theme="7" tint="-0.249977111117893"/>
      <name val="Trebuchet MS"/>
      <family val="2"/>
    </font>
    <font>
      <sz val="12"/>
      <color theme="7" tint="-0.249977111117893"/>
      <name val="Trebuchet MS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3" tint="0.79998168889431442"/>
        <bgColor indexed="27"/>
      </patternFill>
    </fill>
    <fill>
      <patternFill patternType="solid">
        <fgColor theme="2"/>
        <bgColor indexed="27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27"/>
      </patternFill>
    </fill>
  </fills>
  <borders count="16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/>
      <top style="thin">
        <color auto="1"/>
      </top>
      <bottom style="thin">
        <color auto="1"/>
      </bottom>
      <diagonal style="thin">
        <color auto="1"/>
      </diagonal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 diagonalDown="1">
      <left/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7" fillId="0" borderId="0"/>
  </cellStyleXfs>
  <cellXfs count="473">
    <xf numFmtId="0" fontId="0" fillId="0" borderId="0" xfId="0"/>
    <xf numFmtId="0" fontId="18" fillId="0" borderId="0" xfId="0" applyFont="1" applyAlignment="1" applyProtection="1">
      <alignment vertical="center"/>
      <protection locked="0"/>
    </xf>
    <xf numFmtId="0" fontId="1" fillId="0" borderId="0" xfId="0" applyFont="1" applyProtection="1">
      <protection locked="0"/>
    </xf>
    <xf numFmtId="0" fontId="19" fillId="0" borderId="0" xfId="0" applyFont="1" applyProtection="1">
      <protection locked="0"/>
    </xf>
    <xf numFmtId="0" fontId="20" fillId="3" borderId="0" xfId="0" applyFont="1" applyFill="1" applyAlignment="1" applyProtection="1">
      <alignment vertic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" fillId="4" borderId="39" xfId="0" applyFont="1" applyFill="1" applyBorder="1" applyAlignment="1" applyProtection="1">
      <alignment horizontal="left" vertical="top"/>
      <protection locked="0"/>
    </xf>
    <xf numFmtId="0" fontId="1" fillId="4" borderId="0" xfId="0" applyFont="1" applyFill="1" applyAlignment="1" applyProtection="1">
      <alignment horizontal="left" vertical="top"/>
      <protection locked="0"/>
    </xf>
    <xf numFmtId="0" fontId="1" fillId="4" borderId="41" xfId="0" applyFont="1" applyFill="1" applyBorder="1" applyAlignment="1" applyProtection="1">
      <alignment horizontal="left" vertical="top"/>
      <protection locked="0"/>
    </xf>
    <xf numFmtId="1" fontId="27" fillId="0" borderId="0" xfId="0" applyNumberFormat="1" applyFont="1" applyAlignment="1" applyProtection="1">
      <alignment horizontal="center" vertical="center"/>
      <protection locked="0"/>
    </xf>
    <xf numFmtId="0" fontId="1" fillId="6" borderId="0" xfId="0" applyFont="1" applyFill="1" applyProtection="1">
      <protection locked="0"/>
    </xf>
    <xf numFmtId="1" fontId="27" fillId="6" borderId="0" xfId="0" applyNumberFormat="1" applyFont="1" applyFill="1" applyAlignment="1" applyProtection="1">
      <alignment horizontal="center" vertical="center"/>
      <protection locked="0"/>
    </xf>
    <xf numFmtId="1" fontId="14" fillId="9" borderId="67" xfId="0" applyNumberFormat="1" applyFont="1" applyFill="1" applyBorder="1" applyAlignment="1" applyProtection="1">
      <alignment horizontal="center" vertical="center"/>
      <protection hidden="1"/>
    </xf>
    <xf numFmtId="2" fontId="23" fillId="10" borderId="0" xfId="0" applyNumberFormat="1" applyFont="1" applyFill="1" applyAlignment="1" applyProtection="1">
      <alignment horizontal="center" vertical="center" wrapText="1"/>
      <protection locked="0"/>
    </xf>
    <xf numFmtId="1" fontId="23" fillId="10" borderId="0" xfId="0" applyNumberFormat="1" applyFont="1" applyFill="1" applyAlignment="1" applyProtection="1">
      <alignment horizontal="left" vertical="center"/>
      <protection locked="0"/>
    </xf>
    <xf numFmtId="0" fontId="23" fillId="10" borderId="0" xfId="0" applyFont="1" applyFill="1" applyAlignment="1" applyProtection="1">
      <alignment horizontal="center" vertical="center"/>
      <protection locked="0"/>
    </xf>
    <xf numFmtId="16" fontId="23" fillId="10" borderId="0" xfId="0" applyNumberFormat="1" applyFont="1" applyFill="1" applyAlignment="1" applyProtection="1">
      <alignment horizontal="center" vertical="center"/>
      <protection locked="0"/>
    </xf>
    <xf numFmtId="0" fontId="23" fillId="10" borderId="0" xfId="0" applyFont="1" applyFill="1" applyProtection="1">
      <protection locked="0"/>
    </xf>
    <xf numFmtId="0" fontId="1" fillId="6" borderId="0" xfId="0" applyFont="1" applyFill="1" applyAlignment="1" applyProtection="1">
      <alignment vertical="center"/>
      <protection locked="0"/>
    </xf>
    <xf numFmtId="0" fontId="23" fillId="0" borderId="0" xfId="0" applyFont="1" applyAlignment="1" applyProtection="1">
      <alignment wrapText="1"/>
      <protection locked="0"/>
    </xf>
    <xf numFmtId="0" fontId="23" fillId="0" borderId="0" xfId="0" applyFont="1" applyProtection="1">
      <protection locked="0"/>
    </xf>
    <xf numFmtId="0" fontId="21" fillId="4" borderId="38" xfId="0" applyFont="1" applyFill="1" applyBorder="1" applyAlignment="1" applyProtection="1">
      <alignment vertical="top"/>
      <protection locked="0"/>
    </xf>
    <xf numFmtId="1" fontId="23" fillId="5" borderId="61" xfId="0" applyNumberFormat="1" applyFont="1" applyFill="1" applyBorder="1" applyAlignment="1" applyProtection="1">
      <alignment horizontal="center" vertical="center"/>
      <protection locked="0"/>
    </xf>
    <xf numFmtId="1" fontId="23" fillId="5" borderId="73" xfId="0" applyNumberFormat="1" applyFont="1" applyFill="1" applyBorder="1" applyAlignment="1" applyProtection="1">
      <alignment horizontal="center" vertical="center"/>
      <protection locked="0"/>
    </xf>
    <xf numFmtId="1" fontId="23" fillId="5" borderId="9" xfId="0" applyNumberFormat="1" applyFont="1" applyFill="1" applyBorder="1" applyAlignment="1" applyProtection="1">
      <alignment horizontal="center" vertical="center"/>
      <protection locked="0"/>
    </xf>
    <xf numFmtId="1" fontId="14" fillId="9" borderId="6" xfId="0" applyNumberFormat="1" applyFont="1" applyFill="1" applyBorder="1" applyAlignment="1" applyProtection="1">
      <alignment horizontal="center" vertical="center"/>
      <protection hidden="1"/>
    </xf>
    <xf numFmtId="0" fontId="21" fillId="4" borderId="15" xfId="0" applyFont="1" applyFill="1" applyBorder="1" applyAlignment="1" applyProtection="1">
      <alignment vertical="top"/>
      <protection locked="0"/>
    </xf>
    <xf numFmtId="0" fontId="14" fillId="6" borderId="7" xfId="0" applyFont="1" applyFill="1" applyBorder="1" applyAlignment="1" applyProtection="1">
      <alignment horizontal="center"/>
      <protection locked="0"/>
    </xf>
    <xf numFmtId="1" fontId="26" fillId="4" borderId="76" xfId="0" applyNumberFormat="1" applyFont="1" applyFill="1" applyBorder="1" applyAlignment="1" applyProtection="1">
      <alignment horizontal="center" vertical="center"/>
      <protection locked="0"/>
    </xf>
    <xf numFmtId="1" fontId="26" fillId="5" borderId="62" xfId="0" applyNumberFormat="1" applyFont="1" applyFill="1" applyBorder="1" applyAlignment="1" applyProtection="1">
      <alignment horizontal="center" vertical="center"/>
      <protection locked="0"/>
    </xf>
    <xf numFmtId="1" fontId="14" fillId="9" borderId="64" xfId="0" applyNumberFormat="1" applyFont="1" applyFill="1" applyBorder="1" applyAlignment="1" applyProtection="1">
      <alignment horizontal="center" vertical="center"/>
      <protection hidden="1"/>
    </xf>
    <xf numFmtId="1" fontId="26" fillId="4" borderId="6" xfId="0" applyNumberFormat="1" applyFont="1" applyFill="1" applyBorder="1" applyAlignment="1" applyProtection="1">
      <alignment horizontal="center" vertical="center"/>
      <protection locked="0"/>
    </xf>
    <xf numFmtId="0" fontId="21" fillId="4" borderId="35" xfId="0" applyFont="1" applyFill="1" applyBorder="1" applyAlignment="1" applyProtection="1">
      <alignment vertical="top"/>
      <protection locked="0"/>
    </xf>
    <xf numFmtId="0" fontId="1" fillId="4" borderId="0" xfId="0" applyFont="1" applyFill="1" applyBorder="1" applyAlignment="1" applyProtection="1">
      <alignment horizontal="left" vertical="top"/>
      <protection locked="0"/>
    </xf>
    <xf numFmtId="0" fontId="14" fillId="6" borderId="61" xfId="0" applyFont="1" applyFill="1" applyBorder="1" applyAlignment="1" applyProtection="1">
      <alignment horizontal="center" vertical="center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23" fillId="3" borderId="9" xfId="0" applyFont="1" applyFill="1" applyBorder="1" applyAlignment="1" applyProtection="1">
      <alignment horizontal="center" vertical="center" shrinkToFit="1"/>
      <protection locked="0"/>
    </xf>
    <xf numFmtId="1" fontId="14" fillId="9" borderId="54" xfId="0" applyNumberFormat="1" applyFont="1" applyFill="1" applyBorder="1" applyAlignment="1" applyProtection="1">
      <alignment horizontal="center" vertical="center"/>
      <protection hidden="1"/>
    </xf>
    <xf numFmtId="1" fontId="28" fillId="0" borderId="0" xfId="0" applyNumberFormat="1" applyFont="1" applyBorder="1" applyAlignment="1" applyProtection="1">
      <alignment horizontal="center" vertical="center"/>
      <protection locked="0"/>
    </xf>
    <xf numFmtId="164" fontId="27" fillId="0" borderId="0" xfId="0" applyNumberFormat="1" applyFont="1" applyBorder="1" applyAlignment="1" applyProtection="1">
      <alignment horizontal="center" vertical="center"/>
      <protection locked="0"/>
    </xf>
    <xf numFmtId="165" fontId="28" fillId="0" borderId="0" xfId="0" applyNumberFormat="1" applyFont="1" applyBorder="1" applyAlignment="1" applyProtection="1">
      <alignment horizontal="center" vertical="center"/>
      <protection locked="0"/>
    </xf>
    <xf numFmtId="1" fontId="26" fillId="5" borderId="38" xfId="0" applyNumberFormat="1" applyFont="1" applyFill="1" applyBorder="1" applyAlignment="1" applyProtection="1">
      <alignment horizontal="center" vertical="center"/>
      <protection locked="0"/>
    </xf>
    <xf numFmtId="1" fontId="26" fillId="5" borderId="15" xfId="0" applyNumberFormat="1" applyFont="1" applyFill="1" applyBorder="1" applyAlignment="1" applyProtection="1">
      <alignment horizontal="center" vertical="center"/>
      <protection locked="0"/>
    </xf>
    <xf numFmtId="0" fontId="24" fillId="6" borderId="75" xfId="0" applyFont="1" applyFill="1" applyBorder="1" applyAlignment="1" applyProtection="1">
      <alignment horizontal="center" vertical="center"/>
      <protection locked="0"/>
    </xf>
    <xf numFmtId="0" fontId="24" fillId="6" borderId="9" xfId="0" applyFont="1" applyFill="1" applyBorder="1" applyAlignment="1" applyProtection="1">
      <alignment horizontal="center"/>
      <protection locked="0"/>
    </xf>
    <xf numFmtId="1" fontId="32" fillId="0" borderId="0" xfId="0" applyNumberFormat="1" applyFont="1" applyBorder="1" applyAlignment="1" applyProtection="1">
      <alignment horizontal="center" vertical="center"/>
      <protection locked="0"/>
    </xf>
    <xf numFmtId="0" fontId="20" fillId="3" borderId="24" xfId="0" applyFont="1" applyFill="1" applyBorder="1" applyAlignment="1" applyProtection="1">
      <alignment vertical="center"/>
      <protection locked="0"/>
    </xf>
    <xf numFmtId="0" fontId="20" fillId="3" borderId="0" xfId="0" applyFont="1" applyFill="1" applyBorder="1" applyAlignment="1" applyProtection="1">
      <alignment vertical="center"/>
      <protection locked="0"/>
    </xf>
    <xf numFmtId="0" fontId="20" fillId="3" borderId="69" xfId="0" applyFont="1" applyFill="1" applyBorder="1" applyAlignment="1" applyProtection="1">
      <alignment vertical="center"/>
      <protection locked="0"/>
    </xf>
    <xf numFmtId="0" fontId="18" fillId="0" borderId="69" xfId="0" applyFont="1" applyBorder="1" applyAlignment="1" applyProtection="1">
      <alignment vertical="center"/>
      <protection locked="0"/>
    </xf>
    <xf numFmtId="0" fontId="24" fillId="6" borderId="7" xfId="0" applyFont="1" applyFill="1" applyBorder="1" applyAlignment="1" applyProtection="1">
      <alignment horizontal="center" vertical="center"/>
      <protection locked="0"/>
    </xf>
    <xf numFmtId="0" fontId="24" fillId="6" borderId="9" xfId="0" applyFont="1" applyFill="1" applyBorder="1" applyAlignment="1" applyProtection="1">
      <alignment horizontal="center" vertical="center"/>
      <protection locked="0"/>
    </xf>
    <xf numFmtId="0" fontId="24" fillId="6" borderId="6" xfId="0" applyFont="1" applyFill="1" applyBorder="1" applyAlignment="1" applyProtection="1">
      <alignment horizontal="center" vertical="center"/>
      <protection locked="0"/>
    </xf>
    <xf numFmtId="1" fontId="33" fillId="5" borderId="46" xfId="0" applyNumberFormat="1" applyFont="1" applyFill="1" applyBorder="1" applyAlignment="1" applyProtection="1">
      <alignment horizontal="center" vertical="center"/>
      <protection locked="0"/>
    </xf>
    <xf numFmtId="1" fontId="33" fillId="5" borderId="47" xfId="0" applyNumberFormat="1" applyFont="1" applyFill="1" applyBorder="1" applyAlignment="1" applyProtection="1">
      <alignment horizontal="center" vertical="center"/>
      <protection locked="0"/>
    </xf>
    <xf numFmtId="1" fontId="14" fillId="9" borderId="39" xfId="0" applyNumberFormat="1" applyFont="1" applyFill="1" applyBorder="1" applyAlignment="1" applyProtection="1">
      <alignment horizontal="center" vertical="center"/>
      <protection hidden="1"/>
    </xf>
    <xf numFmtId="1" fontId="26" fillId="5" borderId="75" xfId="0" applyNumberFormat="1" applyFont="1" applyFill="1" applyBorder="1" applyAlignment="1" applyProtection="1">
      <alignment horizontal="center" vertical="center"/>
      <protection locked="0"/>
    </xf>
    <xf numFmtId="1" fontId="26" fillId="5" borderId="95" xfId="0" applyNumberFormat="1" applyFont="1" applyFill="1" applyBorder="1" applyAlignment="1" applyProtection="1">
      <alignment horizontal="center" vertical="center"/>
      <protection locked="0"/>
    </xf>
    <xf numFmtId="1" fontId="35" fillId="4" borderId="78" xfId="0" applyNumberFormat="1" applyFont="1" applyFill="1" applyBorder="1" applyAlignment="1" applyProtection="1">
      <alignment horizontal="center" vertical="center" wrapText="1"/>
      <protection locked="0"/>
    </xf>
    <xf numFmtId="1" fontId="26" fillId="5" borderId="98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 applyProtection="1">
      <alignment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23" fillId="6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" fontId="14" fillId="0" borderId="82" xfId="0" applyNumberFormat="1" applyFont="1" applyFill="1" applyBorder="1" applyAlignment="1" applyProtection="1">
      <alignment horizontal="center" vertical="center" wrapText="1"/>
    </xf>
    <xf numFmtId="1" fontId="14" fillId="10" borderId="82" xfId="0" applyNumberFormat="1" applyFont="1" applyFill="1" applyBorder="1" applyAlignment="1" applyProtection="1">
      <alignment horizontal="center" vertical="center" wrapText="1"/>
    </xf>
    <xf numFmtId="1" fontId="24" fillId="6" borderId="7" xfId="0" applyNumberFormat="1" applyFont="1" applyFill="1" applyBorder="1" applyAlignment="1" applyProtection="1">
      <alignment horizontal="center" vertical="center"/>
      <protection locked="0" hidden="1"/>
    </xf>
    <xf numFmtId="1" fontId="24" fillId="6" borderId="9" xfId="0" applyNumberFormat="1" applyFont="1" applyFill="1" applyBorder="1" applyAlignment="1" applyProtection="1">
      <alignment horizontal="center" vertical="center"/>
      <protection locked="0" hidden="1"/>
    </xf>
    <xf numFmtId="1" fontId="0" fillId="0" borderId="0" xfId="0" applyNumberFormat="1" applyProtection="1">
      <protection locked="0"/>
    </xf>
    <xf numFmtId="1" fontId="31" fillId="6" borderId="14" xfId="0" applyNumberFormat="1" applyFont="1" applyFill="1" applyBorder="1" applyAlignment="1" applyProtection="1">
      <alignment horizontal="center" vertical="center"/>
      <protection locked="0" hidden="1"/>
    </xf>
    <xf numFmtId="1" fontId="14" fillId="9" borderId="94" xfId="0" applyNumberFormat="1" applyFont="1" applyFill="1" applyBorder="1" applyAlignment="1" applyProtection="1">
      <alignment horizontal="center" vertical="center"/>
      <protection locked="0" hidden="1"/>
    </xf>
    <xf numFmtId="1" fontId="14" fillId="9" borderId="6" xfId="0" applyNumberFormat="1" applyFont="1" applyFill="1" applyBorder="1" applyAlignment="1" applyProtection="1">
      <alignment horizontal="center" vertical="center"/>
      <protection locked="0" hidden="1"/>
    </xf>
    <xf numFmtId="1" fontId="14" fillId="9" borderId="67" xfId="0" applyNumberFormat="1" applyFont="1" applyFill="1" applyBorder="1" applyAlignment="1" applyProtection="1">
      <alignment horizontal="center" vertical="center"/>
      <protection locked="0" hidden="1"/>
    </xf>
    <xf numFmtId="1" fontId="24" fillId="6" borderId="14" xfId="0" applyNumberFormat="1" applyFont="1" applyFill="1" applyBorder="1" applyAlignment="1" applyProtection="1">
      <alignment horizontal="center" vertical="center"/>
      <protection hidden="1"/>
    </xf>
    <xf numFmtId="0" fontId="24" fillId="6" borderId="6" xfId="0" applyFont="1" applyFill="1" applyBorder="1" applyAlignment="1" applyProtection="1">
      <alignment horizontal="center" vertical="center"/>
    </xf>
    <xf numFmtId="1" fontId="24" fillId="6" borderId="6" xfId="0" applyNumberFormat="1" applyFont="1" applyFill="1" applyBorder="1" applyAlignment="1" applyProtection="1">
      <alignment horizontal="center" vertical="center"/>
      <protection hidden="1"/>
    </xf>
    <xf numFmtId="2" fontId="4" fillId="0" borderId="0" xfId="0" applyNumberFormat="1" applyFont="1" applyBorder="1" applyProtection="1">
      <protection locked="0"/>
    </xf>
    <xf numFmtId="2" fontId="0" fillId="0" borderId="0" xfId="0" applyNumberFormat="1" applyProtection="1">
      <protection locked="0"/>
    </xf>
    <xf numFmtId="2" fontId="5" fillId="0" borderId="0" xfId="0" applyNumberFormat="1" applyFont="1" applyFill="1" applyBorder="1" applyProtection="1">
      <protection locked="0"/>
    </xf>
    <xf numFmtId="2" fontId="3" fillId="0" borderId="0" xfId="0" applyNumberFormat="1" applyFont="1" applyProtection="1">
      <protection locked="0"/>
    </xf>
    <xf numFmtId="2" fontId="4" fillId="0" borderId="0" xfId="0" applyNumberFormat="1" applyFont="1" applyFill="1" applyBorder="1" applyProtection="1">
      <protection locked="0"/>
    </xf>
    <xf numFmtId="2" fontId="11" fillId="0" borderId="0" xfId="0" applyNumberFormat="1" applyFont="1" applyFill="1" applyBorder="1" applyProtection="1">
      <protection locked="0"/>
    </xf>
    <xf numFmtId="2" fontId="6" fillId="0" borderId="0" xfId="0" applyNumberFormat="1" applyFont="1" applyFill="1" applyBorder="1" applyProtection="1">
      <protection locked="0"/>
    </xf>
    <xf numFmtId="2" fontId="6" fillId="0" borderId="0" xfId="0" applyNumberFormat="1" applyFont="1" applyFill="1" applyBorder="1" applyAlignment="1" applyProtection="1">
      <alignment horizontal="left"/>
      <protection locked="0"/>
    </xf>
    <xf numFmtId="2" fontId="6" fillId="0" borderId="0" xfId="0" applyNumberFormat="1" applyFont="1" applyBorder="1" applyProtection="1">
      <protection locked="0"/>
    </xf>
    <xf numFmtId="2" fontId="6" fillId="0" borderId="0" xfId="0" applyNumberFormat="1" applyFont="1" applyBorder="1" applyAlignment="1" applyProtection="1">
      <alignment horizontal="left"/>
      <protection locked="0"/>
    </xf>
    <xf numFmtId="2" fontId="6" fillId="0" borderId="0" xfId="0" applyNumberFormat="1" applyFont="1" applyBorder="1" applyAlignment="1" applyProtection="1">
      <alignment horizontal="center"/>
      <protection locked="0"/>
    </xf>
    <xf numFmtId="2" fontId="10" fillId="0" borderId="0" xfId="0" applyNumberFormat="1" applyFont="1" applyBorder="1" applyProtection="1">
      <protection locked="0"/>
    </xf>
    <xf numFmtId="2" fontId="1" fillId="0" borderId="0" xfId="0" applyNumberFormat="1" applyFont="1" applyBorder="1" applyProtection="1"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2" fontId="7" fillId="0" borderId="0" xfId="0" applyNumberFormat="1" applyFont="1" applyProtection="1">
      <protection locked="0"/>
    </xf>
    <xf numFmtId="2" fontId="8" fillId="2" borderId="12" xfId="0" applyNumberFormat="1" applyFont="1" applyFill="1" applyBorder="1" applyAlignment="1" applyProtection="1">
      <alignment vertical="top" wrapText="1"/>
      <protection locked="0"/>
    </xf>
    <xf numFmtId="2" fontId="8" fillId="2" borderId="0" xfId="0" applyNumberFormat="1" applyFont="1" applyFill="1" applyBorder="1" applyAlignment="1" applyProtection="1">
      <alignment vertical="top" wrapText="1"/>
      <protection locked="0"/>
    </xf>
    <xf numFmtId="2" fontId="9" fillId="2" borderId="12" xfId="0" applyNumberFormat="1" applyFont="1" applyFill="1" applyBorder="1" applyAlignment="1" applyProtection="1">
      <alignment horizontal="center" vertical="center" wrapText="1"/>
      <protection locked="0"/>
    </xf>
    <xf numFmtId="2" fontId="9" fillId="2" borderId="0" xfId="0" applyNumberFormat="1" applyFont="1" applyFill="1" applyBorder="1" applyAlignment="1" applyProtection="1">
      <alignment horizontal="center" vertical="center"/>
      <protection locked="0"/>
    </xf>
    <xf numFmtId="2" fontId="1" fillId="0" borderId="0" xfId="0" applyNumberFormat="1" applyFont="1" applyFill="1" applyBorder="1" applyAlignment="1" applyProtection="1">
      <alignment horizontal="center" vertical="center" wrapText="1"/>
      <protection locked="0"/>
    </xf>
    <xf numFmtId="1" fontId="7" fillId="10" borderId="80" xfId="0" applyNumberFormat="1" applyFont="1" applyFill="1" applyBorder="1" applyAlignment="1" applyProtection="1">
      <alignment horizontal="center"/>
      <protection locked="0"/>
    </xf>
    <xf numFmtId="1" fontId="7" fillId="0" borderId="11" xfId="0" applyNumberFormat="1" applyFont="1" applyBorder="1" applyAlignment="1" applyProtection="1">
      <alignment horizontal="center"/>
      <protection locked="0"/>
    </xf>
    <xf numFmtId="1" fontId="7" fillId="10" borderId="11" xfId="0" applyNumberFormat="1" applyFont="1" applyFill="1" applyBorder="1" applyAlignment="1" applyProtection="1">
      <alignment horizontal="center"/>
      <protection locked="0"/>
    </xf>
    <xf numFmtId="2" fontId="36" fillId="0" borderId="0" xfId="0" applyNumberFormat="1" applyFont="1" applyProtection="1">
      <protection locked="0"/>
    </xf>
    <xf numFmtId="0" fontId="36" fillId="0" borderId="0" xfId="0" applyFont="1" applyProtection="1">
      <protection locked="0"/>
    </xf>
    <xf numFmtId="1" fontId="7" fillId="10" borderId="118" xfId="0" applyNumberFormat="1" applyFont="1" applyFill="1" applyBorder="1" applyAlignment="1" applyProtection="1">
      <alignment horizontal="center"/>
      <protection locked="0"/>
    </xf>
    <xf numFmtId="1" fontId="14" fillId="10" borderId="122" xfId="0" applyNumberFormat="1" applyFont="1" applyFill="1" applyBorder="1" applyAlignment="1" applyProtection="1">
      <alignment horizontal="center" vertical="center" wrapText="1"/>
    </xf>
    <xf numFmtId="1" fontId="7" fillId="10" borderId="103" xfId="0" applyNumberFormat="1" applyFont="1" applyFill="1" applyBorder="1" applyAlignment="1" applyProtection="1">
      <alignment horizontal="center"/>
      <protection locked="0"/>
    </xf>
    <xf numFmtId="1" fontId="14" fillId="10" borderId="127" xfId="0" applyNumberFormat="1" applyFont="1" applyFill="1" applyBorder="1" applyAlignment="1" applyProtection="1">
      <alignment horizontal="center" vertical="center" wrapText="1"/>
    </xf>
    <xf numFmtId="1" fontId="7" fillId="0" borderId="6" xfId="0" applyNumberFormat="1" applyFont="1" applyBorder="1" applyAlignment="1" applyProtection="1">
      <alignment horizontal="center"/>
      <protection locked="0"/>
    </xf>
    <xf numFmtId="1" fontId="14" fillId="0" borderId="131" xfId="0" applyNumberFormat="1" applyFont="1" applyFill="1" applyBorder="1" applyAlignment="1" applyProtection="1">
      <alignment horizontal="center" vertical="center" wrapText="1"/>
    </xf>
    <xf numFmtId="0" fontId="29" fillId="7" borderId="51" xfId="0" applyFont="1" applyFill="1" applyBorder="1" applyAlignment="1" applyProtection="1">
      <alignment horizontal="center" vertical="center"/>
      <protection hidden="1"/>
    </xf>
    <xf numFmtId="0" fontId="29" fillId="3" borderId="51" xfId="0" applyFont="1" applyFill="1" applyBorder="1" applyAlignment="1" applyProtection="1">
      <alignment horizontal="center" vertical="center"/>
      <protection hidden="1"/>
    </xf>
    <xf numFmtId="0" fontId="29" fillId="7" borderId="72" xfId="0" applyFont="1" applyFill="1" applyBorder="1" applyAlignment="1" applyProtection="1">
      <alignment horizontal="center" vertical="center"/>
      <protection hidden="1"/>
    </xf>
    <xf numFmtId="0" fontId="29" fillId="3" borderId="61" xfId="0" applyFont="1" applyFill="1" applyBorder="1" applyAlignment="1" applyProtection="1">
      <alignment horizontal="center" vertical="center"/>
      <protection hidden="1"/>
    </xf>
    <xf numFmtId="1" fontId="1" fillId="8" borderId="52" xfId="0" applyNumberFormat="1" applyFont="1" applyFill="1" applyBorder="1" applyAlignment="1" applyProtection="1">
      <alignment horizontal="center" vertical="center"/>
      <protection locked="0"/>
    </xf>
    <xf numFmtId="1" fontId="1" fillId="8" borderId="53" xfId="0" applyNumberFormat="1" applyFont="1" applyFill="1" applyBorder="1" applyAlignment="1" applyProtection="1">
      <alignment horizontal="center" vertical="center"/>
      <protection locked="0"/>
    </xf>
    <xf numFmtId="1" fontId="1" fillId="5" borderId="68" xfId="0" applyNumberFormat="1" applyFont="1" applyFill="1" applyBorder="1" applyAlignment="1" applyProtection="1">
      <alignment horizontal="center" vertical="center"/>
      <protection locked="0"/>
    </xf>
    <xf numFmtId="1" fontId="1" fillId="5" borderId="69" xfId="0" applyNumberFormat="1" applyFont="1" applyFill="1" applyBorder="1" applyAlignment="1" applyProtection="1">
      <alignment horizontal="center" vertical="center"/>
      <protection locked="0"/>
    </xf>
    <xf numFmtId="1" fontId="1" fillId="5" borderId="70" xfId="0" applyNumberFormat="1" applyFont="1" applyFill="1" applyBorder="1" applyAlignment="1" applyProtection="1">
      <alignment horizontal="center" vertical="center"/>
      <protection locked="0"/>
    </xf>
    <xf numFmtId="1" fontId="1" fillId="5" borderId="79" xfId="0" applyNumberFormat="1" applyFont="1" applyFill="1" applyBorder="1" applyAlignment="1" applyProtection="1">
      <alignment horizontal="center" vertical="center"/>
      <protection locked="0"/>
    </xf>
    <xf numFmtId="1" fontId="1" fillId="8" borderId="56" xfId="0" applyNumberFormat="1" applyFont="1" applyFill="1" applyBorder="1" applyAlignment="1" applyProtection="1">
      <alignment horizontal="center" vertical="center"/>
      <protection locked="0"/>
    </xf>
    <xf numFmtId="1" fontId="1" fillId="10" borderId="57" xfId="0" applyNumberFormat="1" applyFont="1" applyFill="1" applyBorder="1" applyAlignment="1" applyProtection="1">
      <alignment horizontal="center" vertical="center"/>
      <protection locked="0"/>
    </xf>
    <xf numFmtId="1" fontId="1" fillId="10" borderId="49" xfId="0" applyNumberFormat="1" applyFont="1" applyFill="1" applyBorder="1" applyAlignment="1" applyProtection="1">
      <alignment horizontal="center" vertical="center"/>
      <protection locked="0"/>
    </xf>
    <xf numFmtId="1" fontId="1" fillId="5" borderId="56" xfId="0" applyNumberFormat="1" applyFont="1" applyFill="1" applyBorder="1" applyAlignment="1" applyProtection="1">
      <alignment horizontal="center" vertical="center"/>
      <protection locked="0"/>
    </xf>
    <xf numFmtId="1" fontId="1" fillId="5" borderId="57" xfId="0" applyNumberFormat="1" applyFont="1" applyFill="1" applyBorder="1" applyAlignment="1" applyProtection="1">
      <alignment horizontal="center" vertical="center"/>
      <protection locked="0"/>
    </xf>
    <xf numFmtId="1" fontId="1" fillId="5" borderId="49" xfId="0" applyNumberFormat="1" applyFont="1" applyFill="1" applyBorder="1" applyAlignment="1" applyProtection="1">
      <alignment horizontal="center" vertical="center"/>
      <protection locked="0"/>
    </xf>
    <xf numFmtId="1" fontId="1" fillId="0" borderId="57" xfId="0" applyNumberFormat="1" applyFont="1" applyBorder="1" applyAlignment="1" applyProtection="1">
      <alignment horizontal="center" vertical="center"/>
      <protection locked="0"/>
    </xf>
    <xf numFmtId="1" fontId="1" fillId="10" borderId="56" xfId="0" applyNumberFormat="1" applyFont="1" applyFill="1" applyBorder="1" applyAlignment="1" applyProtection="1">
      <alignment horizontal="center" vertical="center"/>
      <protection locked="0"/>
    </xf>
    <xf numFmtId="1" fontId="1" fillId="3" borderId="56" xfId="0" applyNumberFormat="1" applyFont="1" applyFill="1" applyBorder="1" applyAlignment="1" applyProtection="1">
      <alignment horizontal="center" vertical="center"/>
      <protection locked="0"/>
    </xf>
    <xf numFmtId="1" fontId="1" fillId="3" borderId="57" xfId="0" applyNumberFormat="1" applyFont="1" applyFill="1" applyBorder="1" applyAlignment="1" applyProtection="1">
      <alignment horizontal="center" vertical="center"/>
      <protection locked="0"/>
    </xf>
    <xf numFmtId="1" fontId="1" fillId="3" borderId="49" xfId="0" applyNumberFormat="1" applyFont="1" applyFill="1" applyBorder="1" applyAlignment="1" applyProtection="1">
      <alignment horizontal="center" vertical="center"/>
      <protection locked="0"/>
    </xf>
    <xf numFmtId="1" fontId="1" fillId="10" borderId="68" xfId="0" applyNumberFormat="1" applyFont="1" applyFill="1" applyBorder="1" applyAlignment="1" applyProtection="1">
      <alignment horizontal="center" vertical="center"/>
      <protection locked="0"/>
    </xf>
    <xf numFmtId="1" fontId="1" fillId="10" borderId="69" xfId="0" applyNumberFormat="1" applyFont="1" applyFill="1" applyBorder="1" applyAlignment="1" applyProtection="1">
      <alignment horizontal="center" vertical="center"/>
      <protection locked="0"/>
    </xf>
    <xf numFmtId="1" fontId="1" fillId="8" borderId="79" xfId="0" applyNumberFormat="1" applyFont="1" applyFill="1" applyBorder="1" applyAlignment="1" applyProtection="1">
      <alignment horizontal="center" vertical="center"/>
      <protection locked="0"/>
    </xf>
    <xf numFmtId="1" fontId="1" fillId="8" borderId="65" xfId="0" applyNumberFormat="1" applyFont="1" applyFill="1" applyBorder="1" applyAlignment="1" applyProtection="1">
      <alignment horizontal="center" vertical="center"/>
      <protection locked="0"/>
    </xf>
    <xf numFmtId="1" fontId="1" fillId="8" borderId="66" xfId="0" applyNumberFormat="1" applyFont="1" applyFill="1" applyBorder="1" applyAlignment="1" applyProtection="1">
      <alignment horizontal="center" vertical="center"/>
      <protection locked="0"/>
    </xf>
    <xf numFmtId="1" fontId="1" fillId="5" borderId="73" xfId="0" applyNumberFormat="1" applyFont="1" applyFill="1" applyBorder="1" applyAlignment="1" applyProtection="1">
      <alignment horizontal="center" vertical="center"/>
      <protection locked="0"/>
    </xf>
    <xf numFmtId="1" fontId="2" fillId="0" borderId="5" xfId="0" applyNumberFormat="1" applyFont="1" applyBorder="1" applyAlignment="1" applyProtection="1">
      <alignment horizontal="center" vertical="center"/>
    </xf>
    <xf numFmtId="164" fontId="2" fillId="0" borderId="6" xfId="0" applyNumberFormat="1" applyFont="1" applyBorder="1" applyAlignment="1" applyProtection="1">
      <alignment horizontal="center" vertical="center"/>
    </xf>
    <xf numFmtId="165" fontId="2" fillId="0" borderId="6" xfId="0" applyNumberFormat="1" applyFont="1" applyBorder="1" applyAlignment="1" applyProtection="1">
      <alignment horizontal="center" vertical="center"/>
    </xf>
    <xf numFmtId="1" fontId="1" fillId="5" borderId="61" xfId="0" applyNumberFormat="1" applyFont="1" applyFill="1" applyBorder="1" applyAlignment="1" applyProtection="1">
      <alignment horizontal="center" vertical="center"/>
      <protection locked="0"/>
    </xf>
    <xf numFmtId="1" fontId="1" fillId="5" borderId="62" xfId="0" applyNumberFormat="1" applyFont="1" applyFill="1" applyBorder="1" applyAlignment="1" applyProtection="1">
      <alignment horizontal="center" vertical="center"/>
      <protection locked="0"/>
    </xf>
    <xf numFmtId="1" fontId="1" fillId="8" borderId="132" xfId="0" applyNumberFormat="1" applyFont="1" applyFill="1" applyBorder="1" applyAlignment="1" applyProtection="1">
      <alignment horizontal="center" vertical="center"/>
      <protection locked="0"/>
    </xf>
    <xf numFmtId="1" fontId="1" fillId="5" borderId="77" xfId="0" applyNumberFormat="1" applyFont="1" applyFill="1" applyBorder="1" applyAlignment="1" applyProtection="1">
      <alignment horizontal="center" vertical="center"/>
      <protection locked="0"/>
    </xf>
    <xf numFmtId="1" fontId="1" fillId="10" borderId="77" xfId="0" applyNumberFormat="1" applyFont="1" applyFill="1" applyBorder="1" applyAlignment="1" applyProtection="1">
      <alignment horizontal="center" vertical="center"/>
      <protection locked="0"/>
    </xf>
    <xf numFmtId="1" fontId="1" fillId="3" borderId="77" xfId="0" applyNumberFormat="1" applyFont="1" applyFill="1" applyBorder="1" applyAlignment="1" applyProtection="1">
      <alignment horizontal="center" vertical="center"/>
      <protection locked="0"/>
    </xf>
    <xf numFmtId="1" fontId="33" fillId="5" borderId="72" xfId="0" applyNumberFormat="1" applyFont="1" applyFill="1" applyBorder="1" applyAlignment="1" applyProtection="1">
      <alignment horizontal="center" vertical="center"/>
      <protection locked="0"/>
    </xf>
    <xf numFmtId="1" fontId="33" fillId="5" borderId="96" xfId="0" applyNumberFormat="1" applyFont="1" applyFill="1" applyBorder="1" applyAlignment="1" applyProtection="1">
      <alignment horizontal="center" vertical="center"/>
      <protection locked="0"/>
    </xf>
    <xf numFmtId="1" fontId="33" fillId="3" borderId="97" xfId="0" applyNumberFormat="1" applyFont="1" applyFill="1" applyBorder="1" applyAlignment="1" applyProtection="1">
      <alignment horizontal="center" vertical="center"/>
      <protection locked="0"/>
    </xf>
    <xf numFmtId="1" fontId="2" fillId="0" borderId="6" xfId="0" applyNumberFormat="1" applyFont="1" applyBorder="1" applyAlignment="1" applyProtection="1">
      <alignment horizontal="center" vertical="center"/>
    </xf>
    <xf numFmtId="1" fontId="1" fillId="8" borderId="51" xfId="0" applyNumberFormat="1" applyFont="1" applyFill="1" applyBorder="1" applyAlignment="1" applyProtection="1">
      <alignment horizontal="center" vertical="center"/>
      <protection locked="0"/>
    </xf>
    <xf numFmtId="0" fontId="38" fillId="10" borderId="81" xfId="0" applyFont="1" applyFill="1" applyBorder="1" applyAlignment="1" applyProtection="1">
      <alignment horizontal="left" wrapText="1"/>
      <protection locked="0"/>
    </xf>
    <xf numFmtId="0" fontId="38" fillId="0" borderId="45" xfId="0" applyFont="1" applyBorder="1" applyAlignment="1" applyProtection="1">
      <alignment horizontal="left" wrapText="1"/>
      <protection locked="0"/>
    </xf>
    <xf numFmtId="0" fontId="38" fillId="10" borderId="45" xfId="0" applyFont="1" applyFill="1" applyBorder="1" applyAlignment="1" applyProtection="1">
      <alignment horizontal="left" wrapText="1"/>
      <protection locked="0"/>
    </xf>
    <xf numFmtId="2" fontId="38" fillId="0" borderId="45" xfId="0" applyNumberFormat="1" applyFont="1" applyBorder="1" applyAlignment="1" applyProtection="1">
      <alignment horizontal="left" wrapText="1"/>
      <protection locked="0"/>
    </xf>
    <xf numFmtId="2" fontId="38" fillId="10" borderId="124" xfId="0" applyNumberFormat="1" applyFont="1" applyFill="1" applyBorder="1" applyAlignment="1" applyProtection="1">
      <alignment horizontal="left" wrapText="1"/>
      <protection locked="0"/>
    </xf>
    <xf numFmtId="2" fontId="39" fillId="0" borderId="0" xfId="0" applyNumberFormat="1" applyFont="1" applyProtection="1">
      <protection locked="0"/>
    </xf>
    <xf numFmtId="2" fontId="41" fillId="2" borderId="23" xfId="0" applyNumberFormat="1" applyFont="1" applyFill="1" applyBorder="1" applyAlignment="1" applyProtection="1">
      <alignment horizontal="center" vertical="center" wrapText="1"/>
      <protection locked="0"/>
    </xf>
    <xf numFmtId="2" fontId="42" fillId="2" borderId="33" xfId="0" applyNumberFormat="1" applyFont="1" applyFill="1" applyBorder="1" applyAlignment="1" applyProtection="1">
      <alignment horizontal="center" vertical="center" wrapText="1"/>
      <protection locked="0"/>
    </xf>
    <xf numFmtId="1" fontId="42" fillId="10" borderId="80" xfId="0" applyNumberFormat="1" applyFont="1" applyFill="1" applyBorder="1" applyAlignment="1" applyProtection="1">
      <alignment horizontal="center" vertical="center" wrapText="1"/>
    </xf>
    <xf numFmtId="1" fontId="42" fillId="0" borderId="11" xfId="0" applyNumberFormat="1" applyFont="1" applyBorder="1" applyAlignment="1" applyProtection="1">
      <alignment horizontal="center" vertical="center"/>
    </xf>
    <xf numFmtId="1" fontId="42" fillId="10" borderId="11" xfId="0" applyNumberFormat="1" applyFont="1" applyFill="1" applyBorder="1" applyAlignment="1" applyProtection="1">
      <alignment horizontal="center" vertical="center"/>
    </xf>
    <xf numFmtId="1" fontId="42" fillId="10" borderId="118" xfId="0" applyNumberFormat="1" applyFont="1" applyFill="1" applyBorder="1" applyAlignment="1" applyProtection="1">
      <alignment horizontal="center" vertical="center"/>
    </xf>
    <xf numFmtId="1" fontId="42" fillId="10" borderId="103" xfId="0" applyNumberFormat="1" applyFont="1" applyFill="1" applyBorder="1" applyAlignment="1" applyProtection="1">
      <alignment horizontal="center" vertical="center"/>
    </xf>
    <xf numFmtId="2" fontId="42" fillId="2" borderId="42" xfId="0" applyNumberFormat="1" applyFont="1" applyFill="1" applyBorder="1" applyAlignment="1" applyProtection="1">
      <alignment horizontal="center" vertical="center" wrapText="1"/>
      <protection locked="0"/>
    </xf>
    <xf numFmtId="2" fontId="42" fillId="2" borderId="44" xfId="0" applyNumberFormat="1" applyFont="1" applyFill="1" applyBorder="1" applyAlignment="1" applyProtection="1">
      <alignment horizontal="center" vertical="center" wrapText="1"/>
      <protection locked="0"/>
    </xf>
    <xf numFmtId="2" fontId="42" fillId="2" borderId="37" xfId="0" applyNumberFormat="1" applyFont="1" applyFill="1" applyBorder="1" applyAlignment="1" applyProtection="1">
      <alignment horizontal="center" vertical="center" wrapText="1"/>
      <protection locked="0"/>
    </xf>
    <xf numFmtId="1" fontId="42" fillId="0" borderId="11" xfId="0" applyNumberFormat="1" applyFont="1" applyBorder="1" applyAlignment="1" applyProtection="1">
      <alignment horizontal="center" vertical="center" wrapText="1"/>
    </xf>
    <xf numFmtId="1" fontId="42" fillId="10" borderId="11" xfId="0" applyNumberFormat="1" applyFont="1" applyFill="1" applyBorder="1" applyAlignment="1" applyProtection="1">
      <alignment horizontal="center" vertical="center" wrapText="1"/>
    </xf>
    <xf numFmtId="1" fontId="42" fillId="10" borderId="118" xfId="0" applyNumberFormat="1" applyFont="1" applyFill="1" applyBorder="1" applyAlignment="1" applyProtection="1">
      <alignment horizontal="center" vertical="center" wrapText="1"/>
    </xf>
    <xf numFmtId="1" fontId="42" fillId="10" borderId="103" xfId="0" applyNumberFormat="1" applyFont="1" applyFill="1" applyBorder="1" applyAlignment="1" applyProtection="1">
      <alignment horizontal="center" vertical="center" wrapText="1"/>
    </xf>
    <xf numFmtId="2" fontId="41" fillId="2" borderId="3" xfId="0" applyNumberFormat="1" applyFont="1" applyFill="1" applyBorder="1" applyAlignment="1" applyProtection="1">
      <alignment horizontal="center" vertical="center" wrapText="1"/>
      <protection locked="0"/>
    </xf>
    <xf numFmtId="2" fontId="41" fillId="2" borderId="14" xfId="0" applyNumberFormat="1" applyFont="1" applyFill="1" applyBorder="1" applyAlignment="1" applyProtection="1">
      <alignment horizontal="center" vertical="center" wrapText="1"/>
      <protection locked="0"/>
    </xf>
    <xf numFmtId="2" fontId="41" fillId="2" borderId="30" xfId="0" applyNumberFormat="1" applyFont="1" applyFill="1" applyBorder="1" applyAlignment="1" applyProtection="1">
      <alignment horizontal="center" vertical="center" wrapText="1"/>
      <protection locked="0"/>
    </xf>
    <xf numFmtId="2" fontId="46" fillId="0" borderId="0" xfId="0" applyNumberFormat="1" applyFont="1" applyFill="1" applyBorder="1" applyProtection="1">
      <protection locked="0"/>
    </xf>
    <xf numFmtId="2" fontId="45" fillId="0" borderId="0" xfId="0" applyNumberFormat="1" applyFont="1" applyFill="1" applyBorder="1" applyAlignment="1" applyProtection="1">
      <alignment horizontal="left"/>
      <protection locked="0"/>
    </xf>
    <xf numFmtId="2" fontId="16" fillId="0" borderId="0" xfId="0" applyNumberFormat="1" applyFont="1" applyProtection="1"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1" fontId="14" fillId="10" borderId="32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29" xfId="0" applyNumberFormat="1" applyFont="1" applyBorder="1" applyAlignment="1" applyProtection="1">
      <alignment horizontal="center" vertical="center" wrapText="1"/>
      <protection locked="0"/>
    </xf>
    <xf numFmtId="1" fontId="14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24" fillId="0" borderId="29" xfId="0" applyNumberFormat="1" applyFont="1" applyBorder="1" applyAlignment="1" applyProtection="1">
      <alignment horizontal="center" vertical="center" wrapText="1"/>
      <protection locked="0"/>
    </xf>
    <xf numFmtId="1" fontId="47" fillId="0" borderId="29" xfId="0" applyNumberFormat="1" applyFont="1" applyBorder="1" applyAlignment="1" applyProtection="1">
      <alignment horizontal="center" vertical="center" wrapText="1"/>
      <protection locked="0"/>
    </xf>
    <xf numFmtId="1" fontId="24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47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13" fillId="10" borderId="137" xfId="0" applyNumberFormat="1" applyFont="1" applyFill="1" applyBorder="1" applyAlignment="1" applyProtection="1">
      <alignment horizontal="center" vertical="center" wrapText="1"/>
      <protection locked="0"/>
    </xf>
    <xf numFmtId="1" fontId="13" fillId="0" borderId="29" xfId="0" applyNumberFormat="1" applyFont="1" applyFill="1" applyBorder="1" applyAlignment="1" applyProtection="1">
      <alignment horizontal="center" vertical="center" wrapText="1"/>
      <protection locked="0"/>
    </xf>
    <xf numFmtId="1" fontId="13" fillId="10" borderId="43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87" xfId="0" applyNumberFormat="1" applyFont="1" applyFill="1" applyBorder="1" applyAlignment="1" applyProtection="1">
      <alignment horizontal="center" vertical="center" wrapText="1"/>
    </xf>
    <xf numFmtId="1" fontId="14" fillId="0" borderId="88" xfId="0" applyNumberFormat="1" applyFont="1" applyFill="1" applyBorder="1" applyAlignment="1" applyProtection="1">
      <alignment horizontal="center" vertical="center" wrapText="1"/>
    </xf>
    <xf numFmtId="1" fontId="14" fillId="10" borderId="88" xfId="0" applyNumberFormat="1" applyFont="1" applyFill="1" applyBorder="1" applyAlignment="1" applyProtection="1">
      <alignment horizontal="center" vertical="center" wrapText="1"/>
    </xf>
    <xf numFmtId="1" fontId="14" fillId="10" borderId="121" xfId="0" applyNumberFormat="1" applyFont="1" applyFill="1" applyBorder="1" applyAlignment="1" applyProtection="1">
      <alignment horizontal="center" vertical="center" wrapText="1"/>
    </xf>
    <xf numFmtId="1" fontId="14" fillId="0" borderId="30" xfId="0" applyNumberFormat="1" applyFont="1" applyFill="1" applyBorder="1" applyAlignment="1" applyProtection="1">
      <alignment horizontal="center" vertical="center" wrapText="1"/>
    </xf>
    <xf numFmtId="1" fontId="14" fillId="10" borderId="126" xfId="0" applyNumberFormat="1" applyFont="1" applyFill="1" applyBorder="1" applyAlignment="1" applyProtection="1">
      <alignment horizontal="center" vertical="center" wrapText="1"/>
    </xf>
    <xf numFmtId="1" fontId="48" fillId="10" borderId="133" xfId="0" applyNumberFormat="1" applyFont="1" applyFill="1" applyBorder="1" applyAlignment="1" applyProtection="1">
      <alignment horizontal="center" vertical="center" wrapText="1"/>
      <protection locked="0"/>
    </xf>
    <xf numFmtId="1" fontId="48" fillId="0" borderId="10" xfId="0" applyNumberFormat="1" applyFont="1" applyBorder="1" applyAlignment="1" applyProtection="1">
      <alignment horizontal="center" vertical="center" wrapText="1"/>
      <protection locked="0"/>
    </xf>
    <xf numFmtId="1" fontId="48" fillId="10" borderId="10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86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85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85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23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0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28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6" xfId="0" applyNumberFormat="1" applyFont="1" applyFill="1" applyBorder="1" applyAlignment="1" applyProtection="1">
      <alignment horizontal="center" vertical="center" wrapText="1"/>
    </xf>
    <xf numFmtId="2" fontId="4" fillId="0" borderId="0" xfId="0" applyNumberFormat="1" applyFont="1" applyBorder="1" applyAlignment="1" applyProtection="1"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1" fontId="33" fillId="5" borderId="61" xfId="0" applyNumberFormat="1" applyFont="1" applyFill="1" applyBorder="1" applyAlignment="1" applyProtection="1">
      <alignment horizontal="center" vertical="center"/>
      <protection locked="0"/>
    </xf>
    <xf numFmtId="1" fontId="33" fillId="5" borderId="73" xfId="0" applyNumberFormat="1" applyFont="1" applyFill="1" applyBorder="1" applyAlignment="1" applyProtection="1">
      <alignment horizontal="center" vertical="center"/>
      <protection locked="0"/>
    </xf>
    <xf numFmtId="0" fontId="0" fillId="0" borderId="40" xfId="0" applyBorder="1" applyProtection="1">
      <protection locked="0"/>
    </xf>
    <xf numFmtId="1" fontId="30" fillId="3" borderId="14" xfId="0" applyNumberFormat="1" applyFont="1" applyFill="1" applyBorder="1" applyAlignment="1" applyProtection="1">
      <alignment horizontal="center" vertical="center"/>
      <protection hidden="1"/>
    </xf>
    <xf numFmtId="1" fontId="1" fillId="8" borderId="55" xfId="0" applyNumberFormat="1" applyFont="1" applyFill="1" applyBorder="1" applyAlignment="1" applyProtection="1">
      <alignment horizontal="center" vertical="center"/>
      <protection locked="0"/>
    </xf>
    <xf numFmtId="1" fontId="1" fillId="5" borderId="0" xfId="0" applyNumberFormat="1" applyFont="1" applyFill="1" applyBorder="1" applyAlignment="1" applyProtection="1">
      <alignment horizontal="center" vertical="center"/>
      <protection locked="0"/>
    </xf>
    <xf numFmtId="1" fontId="1" fillId="10" borderId="0" xfId="0" applyNumberFormat="1" applyFont="1" applyFill="1" applyBorder="1" applyAlignment="1" applyProtection="1">
      <alignment horizontal="center" vertical="center"/>
      <protection locked="0"/>
    </xf>
    <xf numFmtId="1" fontId="33" fillId="5" borderId="71" xfId="0" applyNumberFormat="1" applyFont="1" applyFill="1" applyBorder="1" applyAlignment="1" applyProtection="1">
      <alignment horizontal="center" vertical="center"/>
      <protection locked="0"/>
    </xf>
    <xf numFmtId="0" fontId="24" fillId="6" borderId="35" xfId="0" applyFont="1" applyFill="1" applyBorder="1" applyAlignment="1" applyProtection="1">
      <alignment horizontal="center" vertical="center"/>
      <protection locked="0"/>
    </xf>
    <xf numFmtId="1" fontId="1" fillId="5" borderId="97" xfId="0" applyNumberFormat="1" applyFont="1" applyFill="1" applyBorder="1" applyAlignment="1" applyProtection="1">
      <alignment horizontal="center" vertical="center"/>
      <protection locked="0"/>
    </xf>
    <xf numFmtId="1" fontId="1" fillId="10" borderId="97" xfId="0" applyNumberFormat="1" applyFont="1" applyFill="1" applyBorder="1" applyAlignment="1" applyProtection="1">
      <alignment horizontal="center" vertical="center"/>
      <protection locked="0"/>
    </xf>
    <xf numFmtId="1" fontId="1" fillId="10" borderId="55" xfId="0" applyNumberFormat="1" applyFont="1" applyFill="1" applyBorder="1" applyAlignment="1" applyProtection="1">
      <alignment horizontal="center" vertical="center"/>
      <protection locked="0"/>
    </xf>
    <xf numFmtId="1" fontId="1" fillId="5" borderId="55" xfId="0" applyNumberFormat="1" applyFont="1" applyFill="1" applyBorder="1" applyAlignment="1" applyProtection="1">
      <alignment horizontal="center" vertical="center"/>
      <protection locked="0"/>
    </xf>
    <xf numFmtId="1" fontId="1" fillId="3" borderId="55" xfId="0" applyNumberFormat="1" applyFont="1" applyFill="1" applyBorder="1" applyAlignment="1" applyProtection="1">
      <alignment horizontal="center" vertical="center"/>
      <protection locked="0"/>
    </xf>
    <xf numFmtId="1" fontId="23" fillId="5" borderId="38" xfId="0" applyNumberFormat="1" applyFont="1" applyFill="1" applyBorder="1" applyAlignment="1" applyProtection="1">
      <alignment horizontal="center" vertical="center"/>
      <protection locked="0"/>
    </xf>
    <xf numFmtId="1" fontId="1" fillId="8" borderId="67" xfId="0" applyNumberFormat="1" applyFont="1" applyFill="1" applyBorder="1" applyAlignment="1" applyProtection="1">
      <alignment horizontal="center" vertical="center"/>
    </xf>
    <xf numFmtId="1" fontId="1" fillId="5" borderId="13" xfId="0" applyNumberFormat="1" applyFont="1" applyFill="1" applyBorder="1" applyAlignment="1" applyProtection="1">
      <alignment horizontal="center" vertical="center"/>
    </xf>
    <xf numFmtId="1" fontId="1" fillId="10" borderId="141" xfId="0" applyNumberFormat="1" applyFont="1" applyFill="1" applyBorder="1" applyAlignment="1" applyProtection="1">
      <alignment horizontal="center" vertical="center"/>
    </xf>
    <xf numFmtId="1" fontId="1" fillId="5" borderId="141" xfId="0" applyNumberFormat="1" applyFont="1" applyFill="1" applyBorder="1" applyAlignment="1" applyProtection="1">
      <alignment horizontal="center" vertical="center"/>
    </xf>
    <xf numFmtId="1" fontId="1" fillId="3" borderId="141" xfId="0" applyNumberFormat="1" applyFont="1" applyFill="1" applyBorder="1" applyAlignment="1" applyProtection="1">
      <alignment horizontal="center" vertical="center"/>
    </xf>
    <xf numFmtId="1" fontId="1" fillId="10" borderId="13" xfId="0" applyNumberFormat="1" applyFont="1" applyFill="1" applyBorder="1" applyAlignment="1" applyProtection="1">
      <alignment horizontal="center" vertical="center"/>
    </xf>
    <xf numFmtId="1" fontId="23" fillId="5" borderId="47" xfId="0" applyNumberFormat="1" applyFont="1" applyFill="1" applyBorder="1" applyAlignment="1" applyProtection="1">
      <alignment horizontal="center" vertical="center"/>
      <protection locked="0"/>
    </xf>
    <xf numFmtId="1" fontId="23" fillId="5" borderId="71" xfId="0" applyNumberFormat="1" applyFont="1" applyFill="1" applyBorder="1" applyAlignment="1" applyProtection="1">
      <alignment horizontal="center" vertical="center"/>
      <protection locked="0"/>
    </xf>
    <xf numFmtId="1" fontId="23" fillId="5" borderId="8" xfId="0" applyNumberFormat="1" applyFont="1" applyFill="1" applyBorder="1" applyAlignment="1" applyProtection="1">
      <alignment horizontal="center" vertical="center"/>
    </xf>
    <xf numFmtId="1" fontId="22" fillId="3" borderId="6" xfId="0" applyNumberFormat="1" applyFont="1" applyFill="1" applyBorder="1" applyAlignment="1" applyProtection="1">
      <alignment horizontal="center" vertical="center"/>
      <protection hidden="1"/>
    </xf>
    <xf numFmtId="1" fontId="14" fillId="10" borderId="87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88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88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21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30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26" xfId="0" applyNumberFormat="1" applyFont="1" applyFill="1" applyBorder="1" applyAlignment="1" applyProtection="1">
      <alignment horizontal="center" vertical="center" wrapText="1"/>
      <protection locked="0"/>
    </xf>
    <xf numFmtId="1" fontId="49" fillId="10" borderId="4" xfId="0" applyNumberFormat="1" applyFont="1" applyFill="1" applyBorder="1" applyAlignment="1" applyProtection="1">
      <alignment horizontal="center" vertical="center" wrapText="1"/>
      <protection locked="0"/>
    </xf>
    <xf numFmtId="1" fontId="49" fillId="0" borderId="30" xfId="0" applyNumberFormat="1" applyFont="1" applyFill="1" applyBorder="1" applyAlignment="1" applyProtection="1">
      <alignment horizontal="center" vertical="center" wrapText="1"/>
      <protection locked="0"/>
    </xf>
    <xf numFmtId="1" fontId="14" fillId="3" borderId="6" xfId="0" applyNumberFormat="1" applyFont="1" applyFill="1" applyBorder="1" applyAlignment="1" applyProtection="1">
      <alignment horizontal="center" vertical="center" wrapText="1"/>
    </xf>
    <xf numFmtId="18" fontId="20" fillId="0" borderId="0" xfId="0" applyNumberFormat="1" applyFont="1" applyAlignment="1" applyProtection="1">
      <alignment vertical="center"/>
      <protection locked="0"/>
    </xf>
    <xf numFmtId="0" fontId="38" fillId="3" borderId="45" xfId="0" applyFont="1" applyFill="1" applyBorder="1" applyAlignment="1" applyProtection="1">
      <alignment horizontal="left" wrapText="1"/>
      <protection locked="0"/>
    </xf>
    <xf numFmtId="1" fontId="1" fillId="8" borderId="66" xfId="0" applyNumberFormat="1" applyFont="1" applyFill="1" applyBorder="1" applyAlignment="1" applyProtection="1">
      <alignment horizontal="center" shrinkToFit="1"/>
      <protection locked="0" hidden="1"/>
    </xf>
    <xf numFmtId="1" fontId="1" fillId="11" borderId="57" xfId="0" applyNumberFormat="1" applyFont="1" applyFill="1" applyBorder="1" applyAlignment="1" applyProtection="1">
      <alignment horizontal="center" shrinkToFit="1"/>
      <protection locked="0" hidden="1"/>
    </xf>
    <xf numFmtId="1" fontId="1" fillId="8" borderId="57" xfId="0" applyNumberFormat="1" applyFont="1" applyFill="1" applyBorder="1" applyAlignment="1" applyProtection="1">
      <alignment horizontal="center" shrinkToFit="1"/>
      <protection locked="0" hidden="1"/>
    </xf>
    <xf numFmtId="1" fontId="1" fillId="11" borderId="56" xfId="0" applyNumberFormat="1" applyFont="1" applyFill="1" applyBorder="1" applyAlignment="1" applyProtection="1">
      <alignment horizontal="center" shrinkToFit="1"/>
      <protection locked="0" hidden="1"/>
    </xf>
    <xf numFmtId="1" fontId="1" fillId="11" borderId="59" xfId="0" applyNumberFormat="1" applyFont="1" applyFill="1" applyBorder="1" applyAlignment="1" applyProtection="1">
      <alignment horizontal="center" shrinkToFit="1"/>
      <protection locked="0" hidden="1"/>
    </xf>
    <xf numFmtId="1" fontId="1" fillId="11" borderId="60" xfId="0" applyNumberFormat="1" applyFont="1" applyFill="1" applyBorder="1" applyAlignment="1" applyProtection="1">
      <alignment horizontal="center" shrinkToFit="1"/>
      <protection locked="0" hidden="1"/>
    </xf>
    <xf numFmtId="1" fontId="1" fillId="8" borderId="65" xfId="0" applyNumberFormat="1" applyFont="1" applyFill="1" applyBorder="1" applyAlignment="1" applyProtection="1">
      <alignment horizontal="center"/>
      <protection locked="0"/>
    </xf>
    <xf numFmtId="1" fontId="1" fillId="8" borderId="66" xfId="0" applyNumberFormat="1" applyFont="1" applyFill="1" applyBorder="1" applyAlignment="1" applyProtection="1">
      <alignment horizontal="center"/>
      <protection locked="0"/>
    </xf>
    <xf numFmtId="1" fontId="1" fillId="5" borderId="56" xfId="0" applyNumberFormat="1" applyFont="1" applyFill="1" applyBorder="1" applyAlignment="1" applyProtection="1">
      <alignment horizontal="center"/>
      <protection locked="0"/>
    </xf>
    <xf numFmtId="1" fontId="1" fillId="5" borderId="57" xfId="0" applyNumberFormat="1" applyFont="1" applyFill="1" applyBorder="1" applyAlignment="1" applyProtection="1">
      <alignment horizontal="center"/>
      <protection locked="0"/>
    </xf>
    <xf numFmtId="1" fontId="1" fillId="8" borderId="56" xfId="0" applyNumberFormat="1" applyFont="1" applyFill="1" applyBorder="1" applyAlignment="1" applyProtection="1">
      <alignment horizontal="center"/>
      <protection locked="0"/>
    </xf>
    <xf numFmtId="1" fontId="1" fillId="10" borderId="57" xfId="0" applyNumberFormat="1" applyFont="1" applyFill="1" applyBorder="1" applyAlignment="1" applyProtection="1">
      <alignment horizontal="center"/>
      <protection locked="0"/>
    </xf>
    <xf numFmtId="1" fontId="1" fillId="8" borderId="57" xfId="0" applyNumberFormat="1" applyFont="1" applyFill="1" applyBorder="1" applyAlignment="1" applyProtection="1">
      <alignment horizontal="center"/>
      <protection locked="0"/>
    </xf>
    <xf numFmtId="1" fontId="1" fillId="0" borderId="57" xfId="0" applyNumberFormat="1" applyFont="1" applyBorder="1" applyAlignment="1" applyProtection="1">
      <alignment horizontal="center"/>
      <protection locked="0"/>
    </xf>
    <xf numFmtId="1" fontId="1" fillId="10" borderId="56" xfId="0" applyNumberFormat="1" applyFont="1" applyFill="1" applyBorder="1" applyAlignment="1" applyProtection="1">
      <alignment horizontal="center"/>
      <protection locked="0"/>
    </xf>
    <xf numFmtId="1" fontId="1" fillId="3" borderId="56" xfId="0" applyNumberFormat="1" applyFont="1" applyFill="1" applyBorder="1" applyAlignment="1" applyProtection="1">
      <alignment horizontal="center"/>
      <protection locked="0"/>
    </xf>
    <xf numFmtId="1" fontId="1" fillId="3" borderId="57" xfId="0" applyNumberFormat="1" applyFont="1" applyFill="1" applyBorder="1" applyAlignment="1" applyProtection="1">
      <alignment horizontal="center"/>
      <protection locked="0"/>
    </xf>
    <xf numFmtId="1" fontId="1" fillId="5" borderId="59" xfId="0" applyNumberFormat="1" applyFont="1" applyFill="1" applyBorder="1" applyAlignment="1" applyProtection="1">
      <alignment horizontal="center"/>
      <protection locked="0"/>
    </xf>
    <xf numFmtId="1" fontId="1" fillId="5" borderId="60" xfId="0" applyNumberFormat="1" applyFont="1" applyFill="1" applyBorder="1" applyAlignment="1" applyProtection="1">
      <alignment horizontal="center"/>
      <protection locked="0"/>
    </xf>
    <xf numFmtId="0" fontId="24" fillId="6" borderId="13" xfId="0" applyFont="1" applyFill="1" applyBorder="1" applyAlignment="1" applyProtection="1">
      <alignment horizontal="center" vertical="center"/>
      <protection locked="0"/>
    </xf>
    <xf numFmtId="1" fontId="1" fillId="10" borderId="65" xfId="0" applyNumberFormat="1" applyFont="1" applyFill="1" applyBorder="1" applyAlignment="1" applyProtection="1">
      <alignment horizontal="center" wrapText="1"/>
      <protection locked="0"/>
    </xf>
    <xf numFmtId="1" fontId="1" fillId="8" borderId="142" xfId="0" applyNumberFormat="1" applyFont="1" applyFill="1" applyBorder="1" applyAlignment="1" applyProtection="1">
      <alignment horizontal="center"/>
      <protection locked="0"/>
    </xf>
    <xf numFmtId="1" fontId="1" fillId="0" borderId="56" xfId="0" applyNumberFormat="1" applyFont="1" applyBorder="1" applyAlignment="1" applyProtection="1">
      <alignment horizontal="center"/>
      <protection locked="0"/>
    </xf>
    <xf numFmtId="1" fontId="1" fillId="5" borderId="77" xfId="0" applyNumberFormat="1" applyFont="1" applyFill="1" applyBorder="1" applyAlignment="1" applyProtection="1">
      <alignment horizontal="center"/>
      <protection locked="0"/>
    </xf>
    <xf numFmtId="1" fontId="1" fillId="10" borderId="77" xfId="0" applyNumberFormat="1" applyFont="1" applyFill="1" applyBorder="1" applyAlignment="1" applyProtection="1">
      <alignment horizontal="center"/>
      <protection locked="0"/>
    </xf>
    <xf numFmtId="1" fontId="1" fillId="3" borderId="77" xfId="0" applyNumberFormat="1" applyFont="1" applyFill="1" applyBorder="1" applyAlignment="1" applyProtection="1">
      <alignment horizontal="center"/>
      <protection locked="0"/>
    </xf>
    <xf numFmtId="1" fontId="1" fillId="8" borderId="56" xfId="0" applyNumberFormat="1" applyFont="1" applyFill="1" applyBorder="1" applyAlignment="1" applyProtection="1">
      <alignment horizontal="center" shrinkToFit="1"/>
      <protection locked="0" hidden="1"/>
    </xf>
    <xf numFmtId="1" fontId="1" fillId="5" borderId="92" xfId="0" applyNumberFormat="1" applyFont="1" applyFill="1" applyBorder="1" applyAlignment="1" applyProtection="1">
      <alignment horizontal="center"/>
      <protection locked="0"/>
    </xf>
    <xf numFmtId="1" fontId="14" fillId="3" borderId="127" xfId="0" applyNumberFormat="1" applyFont="1" applyFill="1" applyBorder="1" applyAlignment="1" applyProtection="1">
      <alignment horizontal="center" vertical="center" wrapText="1"/>
    </xf>
    <xf numFmtId="1" fontId="14" fillId="10" borderId="10" xfId="0" applyNumberFormat="1" applyFont="1" applyFill="1" applyBorder="1" applyAlignment="1" applyProtection="1">
      <alignment horizontal="center" vertical="center" wrapText="1"/>
    </xf>
    <xf numFmtId="1" fontId="14" fillId="3" borderId="10" xfId="0" applyNumberFormat="1" applyFont="1" applyFill="1" applyBorder="1" applyAlignment="1" applyProtection="1">
      <alignment horizontal="center" vertical="center" wrapText="1"/>
    </xf>
    <xf numFmtId="1" fontId="14" fillId="3" borderId="163" xfId="0" applyNumberFormat="1" applyFont="1" applyFill="1" applyBorder="1" applyAlignment="1" applyProtection="1">
      <alignment horizontal="center" vertical="center" wrapText="1"/>
    </xf>
    <xf numFmtId="1" fontId="49" fillId="0" borderId="163" xfId="0" applyNumberFormat="1" applyFont="1" applyFill="1" applyBorder="1" applyAlignment="1" applyProtection="1">
      <alignment horizontal="center" vertical="center" wrapText="1"/>
      <protection locked="0"/>
    </xf>
    <xf numFmtId="1" fontId="49" fillId="10" borderId="10" xfId="0" applyNumberFormat="1" applyFont="1" applyFill="1" applyBorder="1" applyAlignment="1" applyProtection="1">
      <alignment horizontal="center" vertical="center" wrapText="1"/>
      <protection locked="0"/>
    </xf>
    <xf numFmtId="1" fontId="42" fillId="0" borderId="93" xfId="0" applyNumberFormat="1" applyFont="1" applyBorder="1" applyAlignment="1" applyProtection="1">
      <alignment horizontal="center" vertical="center" wrapText="1"/>
    </xf>
    <xf numFmtId="1" fontId="42" fillId="0" borderId="36" xfId="0" applyNumberFormat="1" applyFont="1" applyBorder="1" applyAlignment="1" applyProtection="1">
      <alignment horizontal="center" vertical="center" wrapText="1"/>
    </xf>
    <xf numFmtId="1" fontId="42" fillId="10" borderId="93" xfId="0" applyNumberFormat="1" applyFont="1" applyFill="1" applyBorder="1" applyAlignment="1" applyProtection="1">
      <alignment horizontal="center" vertical="center" wrapText="1"/>
    </xf>
    <xf numFmtId="1" fontId="42" fillId="10" borderId="36" xfId="0" applyNumberFormat="1" applyFont="1" applyFill="1" applyBorder="1" applyAlignment="1" applyProtection="1">
      <alignment horizontal="center" vertical="center" wrapText="1"/>
    </xf>
    <xf numFmtId="0" fontId="16" fillId="0" borderId="107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39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9" fontId="12" fillId="0" borderId="39" xfId="0" applyNumberFormat="1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2" fontId="15" fillId="3" borderId="104" xfId="0" applyNumberFormat="1" applyFont="1" applyFill="1" applyBorder="1" applyAlignment="1" applyProtection="1">
      <alignment horizontal="center"/>
      <protection locked="0"/>
    </xf>
    <xf numFmtId="2" fontId="15" fillId="3" borderId="105" xfId="0" applyNumberFormat="1" applyFont="1" applyFill="1" applyBorder="1" applyAlignment="1" applyProtection="1">
      <alignment horizontal="center"/>
      <protection locked="0"/>
    </xf>
    <xf numFmtId="2" fontId="15" fillId="3" borderId="106" xfId="0" applyNumberFormat="1" applyFont="1" applyFill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108" xfId="0" applyFont="1" applyBorder="1" applyAlignment="1">
      <alignment horizontal="center"/>
    </xf>
    <xf numFmtId="1" fontId="42" fillId="10" borderId="120" xfId="0" applyNumberFormat="1" applyFont="1" applyFill="1" applyBorder="1" applyAlignment="1" applyProtection="1">
      <alignment horizontal="center" vertical="center" wrapText="1"/>
    </xf>
    <xf numFmtId="1" fontId="42" fillId="10" borderId="23" xfId="0" applyNumberFormat="1" applyFont="1" applyFill="1" applyBorder="1" applyAlignment="1" applyProtection="1">
      <alignment horizontal="center" vertical="center" wrapText="1"/>
    </xf>
    <xf numFmtId="1" fontId="42" fillId="0" borderId="29" xfId="0" applyNumberFormat="1" applyFont="1" applyBorder="1" applyAlignment="1" applyProtection="1">
      <alignment horizontal="center" vertical="center" wrapText="1"/>
    </xf>
    <xf numFmtId="1" fontId="42" fillId="0" borderId="129" xfId="0" applyNumberFormat="1" applyFont="1" applyBorder="1" applyAlignment="1" applyProtection="1">
      <alignment horizontal="center" vertical="center" wrapText="1"/>
    </xf>
    <xf numFmtId="1" fontId="42" fillId="10" borderId="125" xfId="0" applyNumberFormat="1" applyFont="1" applyFill="1" applyBorder="1" applyAlignment="1" applyProtection="1">
      <alignment horizontal="center" vertical="center" wrapText="1"/>
    </xf>
    <xf numFmtId="1" fontId="42" fillId="10" borderId="28" xfId="0" applyNumberFormat="1" applyFont="1" applyFill="1" applyBorder="1" applyAlignment="1" applyProtection="1">
      <alignment horizontal="center" vertical="center" wrapText="1"/>
    </xf>
    <xf numFmtId="2" fontId="42" fillId="2" borderId="153" xfId="0" applyNumberFormat="1" applyFont="1" applyFill="1" applyBorder="1" applyAlignment="1" applyProtection="1">
      <alignment horizontal="center" vertical="center" wrapText="1"/>
      <protection locked="0"/>
    </xf>
    <xf numFmtId="2" fontId="42" fillId="2" borderId="151" xfId="0" applyNumberFormat="1" applyFont="1" applyFill="1" applyBorder="1" applyAlignment="1" applyProtection="1">
      <alignment horizontal="center" vertical="center" wrapText="1"/>
      <protection locked="0"/>
    </xf>
    <xf numFmtId="2" fontId="42" fillId="2" borderId="156" xfId="0" applyNumberFormat="1" applyFont="1" applyFill="1" applyBorder="1" applyAlignment="1" applyProtection="1">
      <alignment horizontal="center" vertical="center" wrapText="1"/>
      <protection locked="0"/>
    </xf>
    <xf numFmtId="2" fontId="42" fillId="2" borderId="140" xfId="0" applyNumberFormat="1" applyFont="1" applyFill="1" applyBorder="1" applyAlignment="1" applyProtection="1">
      <alignment horizontal="center" vertical="center" wrapText="1"/>
      <protection locked="0"/>
    </xf>
    <xf numFmtId="1" fontId="42" fillId="10" borderId="84" xfId="0" applyNumberFormat="1" applyFont="1" applyFill="1" applyBorder="1" applyAlignment="1" applyProtection="1">
      <alignment horizontal="center" vertical="center" wrapText="1"/>
    </xf>
    <xf numFmtId="1" fontId="42" fillId="10" borderId="83" xfId="0" applyNumberFormat="1" applyFont="1" applyFill="1" applyBorder="1" applyAlignment="1" applyProtection="1">
      <alignment horizontal="center" vertical="center" wrapText="1"/>
    </xf>
    <xf numFmtId="2" fontId="42" fillId="2" borderId="16" xfId="0" applyNumberFormat="1" applyFont="1" applyFill="1" applyBorder="1" applyAlignment="1" applyProtection="1">
      <alignment horizontal="center" vertical="center" textRotation="90" wrapText="1"/>
      <protection locked="0"/>
    </xf>
    <xf numFmtId="2" fontId="42" fillId="2" borderId="17" xfId="0" applyNumberFormat="1" applyFont="1" applyFill="1" applyBorder="1" applyAlignment="1" applyProtection="1">
      <alignment horizontal="center" vertical="center" textRotation="90" wrapText="1"/>
      <protection locked="0"/>
    </xf>
    <xf numFmtId="2" fontId="42" fillId="2" borderId="139" xfId="0" applyNumberFormat="1" applyFont="1" applyFill="1" applyBorder="1" applyAlignment="1" applyProtection="1">
      <alignment horizontal="center" vertical="center" textRotation="90" wrapText="1"/>
      <protection locked="0"/>
    </xf>
    <xf numFmtId="2" fontId="1" fillId="2" borderId="29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30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37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38" xfId="0" applyNumberFormat="1" applyFont="1" applyFill="1" applyBorder="1" applyAlignment="1" applyProtection="1">
      <alignment horizontal="center" vertical="center" wrapText="1"/>
      <protection locked="0"/>
    </xf>
    <xf numFmtId="2" fontId="42" fillId="2" borderId="23" xfId="0" applyNumberFormat="1" applyFont="1" applyFill="1" applyBorder="1" applyAlignment="1" applyProtection="1">
      <alignment horizontal="center" vertical="center" wrapText="1"/>
      <protection locked="0"/>
    </xf>
    <xf numFmtId="2" fontId="42" fillId="2" borderId="31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80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81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18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19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3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2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4" xfId="0" applyNumberFormat="1" applyFont="1" applyFill="1" applyBorder="1" applyAlignment="1" applyProtection="1">
      <alignment horizontal="center" vertical="center" wrapText="1"/>
      <protection locked="0"/>
    </xf>
    <xf numFmtId="2" fontId="3" fillId="0" borderId="0" xfId="0" applyNumberFormat="1" applyFont="1" applyAlignment="1" applyProtection="1">
      <alignment horizontal="center"/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2" fontId="8" fillId="2" borderId="1" xfId="0" applyNumberFormat="1" applyFont="1" applyFill="1" applyBorder="1" applyAlignment="1" applyProtection="1">
      <alignment vertical="top" wrapText="1"/>
      <protection locked="0"/>
    </xf>
    <xf numFmtId="2" fontId="8" fillId="2" borderId="2" xfId="0" applyNumberFormat="1" applyFont="1" applyFill="1" applyBorder="1" applyAlignment="1" applyProtection="1">
      <alignment vertical="top" wrapText="1"/>
      <protection locked="0"/>
    </xf>
    <xf numFmtId="2" fontId="43" fillId="4" borderId="19" xfId="0" applyNumberFormat="1" applyFont="1" applyFill="1" applyBorder="1" applyAlignment="1" applyProtection="1">
      <alignment horizontal="center" vertical="center" wrapText="1"/>
      <protection locked="0"/>
    </xf>
    <xf numFmtId="2" fontId="43" fillId="4" borderId="20" xfId="0" applyNumberFormat="1" applyFont="1" applyFill="1" applyBorder="1" applyAlignment="1" applyProtection="1">
      <alignment horizontal="center" vertical="center" wrapText="1"/>
      <protection locked="0"/>
    </xf>
    <xf numFmtId="2" fontId="43" fillId="4" borderId="26" xfId="0" applyNumberFormat="1" applyFont="1" applyFill="1" applyBorder="1" applyAlignment="1" applyProtection="1">
      <alignment horizontal="center" vertical="center" wrapText="1"/>
      <protection locked="0"/>
    </xf>
    <xf numFmtId="2" fontId="43" fillId="4" borderId="27" xfId="0" applyNumberFormat="1" applyFont="1" applyFill="1" applyBorder="1" applyAlignment="1" applyProtection="1">
      <alignment horizontal="center" vertical="center" wrapText="1"/>
      <protection locked="0"/>
    </xf>
    <xf numFmtId="2" fontId="41" fillId="0" borderId="144" xfId="0" applyNumberFormat="1" applyFont="1" applyFill="1" applyBorder="1" applyAlignment="1" applyProtection="1">
      <alignment horizontal="center" vertical="center" wrapText="1"/>
      <protection locked="0"/>
    </xf>
    <xf numFmtId="2" fontId="41" fillId="0" borderId="145" xfId="0" applyNumberFormat="1" applyFont="1" applyFill="1" applyBorder="1" applyAlignment="1" applyProtection="1">
      <alignment horizontal="center" vertical="center" wrapText="1"/>
      <protection locked="0"/>
    </xf>
    <xf numFmtId="2" fontId="43" fillId="4" borderId="25" xfId="0" applyNumberFormat="1" applyFont="1" applyFill="1" applyBorder="1" applyAlignment="1" applyProtection="1">
      <alignment horizontal="center" vertical="center" wrapText="1"/>
      <protection locked="0"/>
    </xf>
    <xf numFmtId="2" fontId="43" fillId="4" borderId="2" xfId="0" applyNumberFormat="1" applyFont="1" applyFill="1" applyBorder="1" applyAlignment="1" applyProtection="1">
      <alignment horizontal="center" vertical="center" wrapText="1"/>
      <protection locked="0"/>
    </xf>
    <xf numFmtId="2" fontId="43" fillId="4" borderId="0" xfId="0" applyNumberFormat="1" applyFont="1" applyFill="1" applyBorder="1" applyAlignment="1" applyProtection="1">
      <alignment horizontal="center" vertical="center" wrapText="1"/>
      <protection locked="0"/>
    </xf>
    <xf numFmtId="2" fontId="41" fillId="0" borderId="2" xfId="0" applyNumberFormat="1" applyFont="1" applyFill="1" applyBorder="1" applyAlignment="1" applyProtection="1">
      <alignment horizontal="center" vertical="center" wrapText="1"/>
      <protection locked="0"/>
    </xf>
    <xf numFmtId="2" fontId="41" fillId="0" borderId="3" xfId="0" applyNumberFormat="1" applyFont="1" applyFill="1" applyBorder="1" applyAlignment="1" applyProtection="1">
      <alignment horizontal="center" vertical="center" wrapText="1"/>
      <protection locked="0"/>
    </xf>
    <xf numFmtId="2" fontId="41" fillId="0" borderId="27" xfId="0" applyNumberFormat="1" applyFont="1" applyFill="1" applyBorder="1" applyAlignment="1" applyProtection="1">
      <alignment horizontal="center" vertical="center" wrapText="1"/>
      <protection locked="0"/>
    </xf>
    <xf numFmtId="2" fontId="41" fillId="0" borderId="126" xfId="0" applyNumberFormat="1" applyFont="1" applyFill="1" applyBorder="1" applyAlignment="1" applyProtection="1">
      <alignment horizontal="center" vertical="center" wrapText="1"/>
      <protection locked="0"/>
    </xf>
    <xf numFmtId="2" fontId="42" fillId="2" borderId="22" xfId="0" applyNumberFormat="1" applyFont="1" applyFill="1" applyBorder="1" applyAlignment="1" applyProtection="1">
      <alignment horizontal="center" vertical="center" wrapText="1"/>
      <protection locked="0"/>
    </xf>
    <xf numFmtId="2" fontId="42" fillId="2" borderId="21" xfId="0" applyNumberFormat="1" applyFont="1" applyFill="1" applyBorder="1" applyAlignment="1" applyProtection="1">
      <alignment horizontal="center" vertical="center" wrapText="1"/>
      <protection locked="0"/>
    </xf>
    <xf numFmtId="2" fontId="44" fillId="2" borderId="32" xfId="0" applyNumberFormat="1" applyFont="1" applyFill="1" applyBorder="1" applyAlignment="1" applyProtection="1">
      <alignment horizontal="center" vertical="center" wrapText="1"/>
      <protection locked="0"/>
    </xf>
    <xf numFmtId="2" fontId="44" fillId="2" borderId="18" xfId="0" applyNumberFormat="1" applyFont="1" applyFill="1" applyBorder="1" applyAlignment="1" applyProtection="1">
      <alignment horizontal="center" vertical="center" wrapText="1"/>
      <protection locked="0"/>
    </xf>
    <xf numFmtId="2" fontId="40" fillId="2" borderId="29" xfId="0" applyNumberFormat="1" applyFont="1" applyFill="1" applyBorder="1" applyAlignment="1" applyProtection="1">
      <alignment horizontal="center" vertical="center" wrapText="1"/>
      <protection locked="0"/>
    </xf>
    <xf numFmtId="2" fontId="40" fillId="2" borderId="9" xfId="0" applyNumberFormat="1" applyFont="1" applyFill="1" applyBorder="1" applyAlignment="1" applyProtection="1">
      <alignment horizontal="center" vertical="center" wrapText="1"/>
      <protection locked="0"/>
    </xf>
    <xf numFmtId="2" fontId="40" fillId="2" borderId="7" xfId="0" applyNumberFormat="1" applyFont="1" applyFill="1" applyBorder="1" applyAlignment="1" applyProtection="1">
      <alignment horizontal="center" vertical="center" wrapText="1"/>
      <protection locked="0"/>
    </xf>
    <xf numFmtId="2" fontId="43" fillId="2" borderId="134" xfId="0" applyNumberFormat="1" applyFont="1" applyFill="1" applyBorder="1" applyAlignment="1" applyProtection="1">
      <alignment horizontal="center" vertical="center" wrapText="1"/>
      <protection locked="0"/>
    </xf>
    <xf numFmtId="2" fontId="43" fillId="2" borderId="135" xfId="0" applyNumberFormat="1" applyFont="1" applyFill="1" applyBorder="1" applyAlignment="1" applyProtection="1">
      <alignment horizontal="center" vertical="center" wrapText="1"/>
      <protection locked="0"/>
    </xf>
    <xf numFmtId="2" fontId="43" fillId="2" borderId="136" xfId="0" applyNumberFormat="1" applyFont="1" applyFill="1" applyBorder="1" applyAlignment="1" applyProtection="1">
      <alignment horizontal="center" vertical="center" wrapText="1"/>
      <protection locked="0"/>
    </xf>
    <xf numFmtId="2" fontId="6" fillId="0" borderId="0" xfId="0" applyNumberFormat="1" applyFont="1" applyFill="1" applyBorder="1" applyAlignment="1" applyProtection="1">
      <alignment horizontal="center"/>
      <protection locked="0"/>
    </xf>
    <xf numFmtId="2" fontId="51" fillId="0" borderId="0" xfId="0" applyNumberFormat="1" applyFont="1" applyFill="1" applyBorder="1" applyAlignment="1" applyProtection="1">
      <alignment horizontal="center" wrapText="1"/>
      <protection locked="0"/>
    </xf>
    <xf numFmtId="2" fontId="16" fillId="0" borderId="116" xfId="0" applyNumberFormat="1" applyFont="1" applyBorder="1" applyAlignment="1" applyProtection="1">
      <alignment horizontal="center"/>
      <protection locked="0"/>
    </xf>
    <xf numFmtId="2" fontId="16" fillId="0" borderId="117" xfId="0" applyNumberFormat="1" applyFont="1" applyBorder="1" applyAlignment="1" applyProtection="1">
      <alignment horizontal="center"/>
      <protection locked="0"/>
    </xf>
    <xf numFmtId="1" fontId="12" fillId="0" borderId="111" xfId="0" applyNumberFormat="1" applyFont="1" applyBorder="1" applyAlignment="1" applyProtection="1">
      <alignment horizontal="center"/>
    </xf>
    <xf numFmtId="1" fontId="12" fillId="0" borderId="109" xfId="0" applyNumberFormat="1" applyFont="1" applyBorder="1" applyAlignment="1" applyProtection="1">
      <alignment horizontal="center"/>
    </xf>
    <xf numFmtId="1" fontId="12" fillId="0" borderId="110" xfId="0" applyNumberFormat="1" applyFont="1" applyBorder="1" applyAlignment="1" applyProtection="1">
      <alignment horizontal="center"/>
    </xf>
    <xf numFmtId="1" fontId="12" fillId="0" borderId="107" xfId="0" applyNumberFormat="1" applyFont="1" applyBorder="1" applyAlignment="1" applyProtection="1">
      <alignment horizontal="center"/>
      <protection locked="0"/>
    </xf>
    <xf numFmtId="1" fontId="12" fillId="0" borderId="2" xfId="0" applyNumberFormat="1" applyFont="1" applyBorder="1" applyAlignment="1" applyProtection="1">
      <alignment horizontal="center"/>
      <protection locked="0"/>
    </xf>
    <xf numFmtId="1" fontId="12" fillId="0" borderId="3" xfId="0" applyNumberFormat="1" applyFont="1" applyBorder="1" applyAlignment="1" applyProtection="1">
      <alignment horizontal="center"/>
      <protection locked="0"/>
    </xf>
    <xf numFmtId="1" fontId="12" fillId="0" borderId="39" xfId="0" applyNumberFormat="1" applyFont="1" applyBorder="1" applyAlignment="1" applyProtection="1">
      <alignment horizontal="center"/>
      <protection locked="0"/>
    </xf>
    <xf numFmtId="1" fontId="12" fillId="0" borderId="0" xfId="0" applyNumberFormat="1" applyFont="1" applyBorder="1" applyAlignment="1" applyProtection="1">
      <alignment horizontal="center"/>
      <protection locked="0"/>
    </xf>
    <xf numFmtId="1" fontId="12" fillId="0" borderId="4" xfId="0" applyNumberFormat="1" applyFont="1" applyBorder="1" applyAlignment="1" applyProtection="1">
      <alignment horizontal="center"/>
      <protection locked="0"/>
    </xf>
    <xf numFmtId="0" fontId="12" fillId="0" borderId="0" xfId="2" applyFont="1"/>
    <xf numFmtId="1" fontId="12" fillId="0" borderId="39" xfId="0" quotePrefix="1" applyNumberFormat="1" applyFont="1" applyBorder="1" applyAlignment="1" applyProtection="1">
      <alignment horizontal="center"/>
    </xf>
    <xf numFmtId="1" fontId="12" fillId="0" borderId="0" xfId="0" applyNumberFormat="1" applyFont="1" applyBorder="1" applyAlignment="1" applyProtection="1">
      <alignment horizontal="center"/>
    </xf>
    <xf numFmtId="1" fontId="12" fillId="0" borderId="4" xfId="0" applyNumberFormat="1" applyFont="1" applyBorder="1" applyAlignment="1" applyProtection="1">
      <alignment horizontal="center"/>
    </xf>
    <xf numFmtId="1" fontId="12" fillId="0" borderId="39" xfId="0" applyNumberFormat="1" applyFont="1" applyBorder="1" applyAlignment="1" applyProtection="1">
      <alignment horizontal="center"/>
    </xf>
    <xf numFmtId="2" fontId="15" fillId="3" borderId="114" xfId="0" applyNumberFormat="1" applyFont="1" applyFill="1" applyBorder="1" applyAlignment="1" applyProtection="1">
      <alignment horizontal="center"/>
      <protection locked="0"/>
    </xf>
    <xf numFmtId="2" fontId="15" fillId="3" borderId="115" xfId="0" applyNumberFormat="1" applyFont="1" applyFill="1" applyBorder="1" applyAlignment="1" applyProtection="1">
      <alignment horizontal="center"/>
      <protection locked="0"/>
    </xf>
    <xf numFmtId="2" fontId="16" fillId="0" borderId="114" xfId="0" applyNumberFormat="1" applyFont="1" applyBorder="1" applyAlignment="1" applyProtection="1">
      <alignment horizontal="center"/>
      <protection locked="0"/>
    </xf>
    <xf numFmtId="2" fontId="16" fillId="0" borderId="115" xfId="0" applyNumberFormat="1" applyFont="1" applyBorder="1" applyAlignment="1" applyProtection="1">
      <alignment horizontal="center"/>
      <protection locked="0"/>
    </xf>
    <xf numFmtId="2" fontId="15" fillId="3" borderId="112" xfId="0" applyNumberFormat="1" applyFont="1" applyFill="1" applyBorder="1" applyAlignment="1" applyProtection="1">
      <alignment horizontal="center"/>
      <protection locked="0"/>
    </xf>
    <xf numFmtId="2" fontId="15" fillId="3" borderId="113" xfId="0" applyNumberFormat="1" applyFont="1" applyFill="1" applyBorder="1" applyAlignment="1" applyProtection="1">
      <alignment horizontal="center"/>
      <protection locked="0"/>
    </xf>
    <xf numFmtId="1" fontId="42" fillId="0" borderId="34" xfId="0" applyNumberFormat="1" applyFont="1" applyBorder="1" applyAlignment="1" applyProtection="1">
      <alignment horizontal="center" vertical="center" wrapText="1"/>
    </xf>
    <xf numFmtId="1" fontId="42" fillId="0" borderId="152" xfId="0" applyNumberFormat="1" applyFont="1" applyBorder="1" applyAlignment="1" applyProtection="1">
      <alignment horizontal="center" vertical="center" wrapText="1"/>
    </xf>
    <xf numFmtId="1" fontId="42" fillId="0" borderId="88" xfId="0" applyNumberFormat="1" applyFont="1" applyBorder="1" applyAlignment="1" applyProtection="1">
      <alignment horizontal="center" vertical="center" wrapText="1"/>
    </xf>
    <xf numFmtId="0" fontId="16" fillId="0" borderId="102" xfId="0" applyFont="1" applyBorder="1" applyAlignment="1">
      <alignment horizontal="center"/>
    </xf>
    <xf numFmtId="0" fontId="16" fillId="0" borderId="109" xfId="0" applyFont="1" applyBorder="1" applyAlignment="1">
      <alignment horizontal="center"/>
    </xf>
    <xf numFmtId="0" fontId="16" fillId="0" borderId="44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40" xfId="0" applyFont="1" applyBorder="1" applyAlignment="1">
      <alignment horizontal="center"/>
    </xf>
    <xf numFmtId="0" fontId="12" fillId="0" borderId="39" xfId="0" applyFont="1" applyBorder="1" applyAlignment="1">
      <alignment horizontal="center"/>
    </xf>
    <xf numFmtId="1" fontId="42" fillId="10" borderId="7" xfId="0" applyNumberFormat="1" applyFont="1" applyFill="1" applyBorder="1" applyAlignment="1" applyProtection="1">
      <alignment horizontal="center" vertical="center"/>
    </xf>
    <xf numFmtId="1" fontId="42" fillId="10" borderId="30" xfId="0" applyNumberFormat="1" applyFont="1" applyFill="1" applyBorder="1" applyAlignment="1" applyProtection="1">
      <alignment horizontal="center" vertical="center"/>
    </xf>
    <xf numFmtId="1" fontId="42" fillId="0" borderId="7" xfId="0" applyNumberFormat="1" applyFont="1" applyBorder="1" applyAlignment="1" applyProtection="1">
      <alignment horizontal="center" vertical="center"/>
    </xf>
    <xf numFmtId="1" fontId="42" fillId="0" borderId="30" xfId="0" applyNumberFormat="1" applyFont="1" applyBorder="1" applyAlignment="1" applyProtection="1">
      <alignment horizontal="center" vertical="center"/>
    </xf>
    <xf numFmtId="1" fontId="42" fillId="10" borderId="154" xfId="0" applyNumberFormat="1" applyFont="1" applyFill="1" applyBorder="1" applyAlignment="1" applyProtection="1">
      <alignment horizontal="center" vertical="center" wrapText="1"/>
    </xf>
    <xf numFmtId="1" fontId="42" fillId="10" borderId="155" xfId="0" applyNumberFormat="1" applyFont="1" applyFill="1" applyBorder="1" applyAlignment="1" applyProtection="1">
      <alignment horizontal="center" vertical="center" wrapText="1"/>
    </xf>
    <xf numFmtId="1" fontId="42" fillId="10" borderId="148" xfId="0" applyNumberFormat="1" applyFont="1" applyFill="1" applyBorder="1" applyAlignment="1" applyProtection="1">
      <alignment horizontal="center" vertical="center" wrapText="1"/>
    </xf>
    <xf numFmtId="1" fontId="42" fillId="10" borderId="161" xfId="0" applyNumberFormat="1" applyFont="1" applyFill="1" applyBorder="1" applyAlignment="1" applyProtection="1">
      <alignment horizontal="center" vertical="center" wrapText="1"/>
    </xf>
    <xf numFmtId="1" fontId="42" fillId="10" borderId="149" xfId="0" applyNumberFormat="1" applyFont="1" applyFill="1" applyBorder="1" applyAlignment="1" applyProtection="1">
      <alignment horizontal="center" vertical="center" wrapText="1"/>
    </xf>
    <xf numFmtId="1" fontId="42" fillId="0" borderId="130" xfId="0" applyNumberFormat="1" applyFont="1" applyBorder="1" applyAlignment="1" applyProtection="1">
      <alignment horizontal="center" vertical="center" wrapText="1"/>
    </xf>
    <xf numFmtId="1" fontId="42" fillId="0" borderId="9" xfId="0" applyNumberFormat="1" applyFont="1" applyBorder="1" applyAlignment="1" applyProtection="1">
      <alignment horizontal="center" vertical="center" wrapText="1"/>
    </xf>
    <xf numFmtId="1" fontId="42" fillId="0" borderId="30" xfId="0" applyNumberFormat="1" applyFont="1" applyBorder="1" applyAlignment="1" applyProtection="1">
      <alignment horizontal="center" vertical="center" wrapText="1"/>
    </xf>
    <xf numFmtId="1" fontId="42" fillId="10" borderId="146" xfId="0" applyNumberFormat="1" applyFont="1" applyFill="1" applyBorder="1" applyAlignment="1" applyProtection="1">
      <alignment horizontal="center" vertical="center" wrapText="1"/>
    </xf>
    <xf numFmtId="1" fontId="42" fillId="10" borderId="162" xfId="0" applyNumberFormat="1" applyFont="1" applyFill="1" applyBorder="1" applyAlignment="1" applyProtection="1">
      <alignment horizontal="center" vertical="center" wrapText="1"/>
    </xf>
    <xf numFmtId="1" fontId="42" fillId="10" borderId="147" xfId="0" applyNumberFormat="1" applyFont="1" applyFill="1" applyBorder="1" applyAlignment="1" applyProtection="1">
      <alignment horizontal="center" vertical="center" wrapText="1"/>
    </xf>
    <xf numFmtId="2" fontId="42" fillId="2" borderId="157" xfId="0" applyNumberFormat="1" applyFont="1" applyFill="1" applyBorder="1" applyAlignment="1" applyProtection="1">
      <alignment horizontal="center" vertical="center" wrapText="1"/>
      <protection locked="0"/>
    </xf>
    <xf numFmtId="2" fontId="42" fillId="2" borderId="158" xfId="0" applyNumberFormat="1" applyFont="1" applyFill="1" applyBorder="1" applyAlignment="1" applyProtection="1">
      <alignment horizontal="center" vertical="center" wrapText="1"/>
      <protection locked="0"/>
    </xf>
    <xf numFmtId="2" fontId="42" fillId="2" borderId="159" xfId="0" applyNumberFormat="1" applyFont="1" applyFill="1" applyBorder="1" applyAlignment="1" applyProtection="1">
      <alignment horizontal="center" vertical="center" wrapText="1"/>
      <protection locked="0"/>
    </xf>
    <xf numFmtId="1" fontId="42" fillId="10" borderId="150" xfId="0" applyNumberFormat="1" applyFont="1" applyFill="1" applyBorder="1" applyAlignment="1" applyProtection="1">
      <alignment horizontal="center" vertical="center" wrapText="1"/>
    </xf>
    <xf numFmtId="1" fontId="42" fillId="10" borderId="160" xfId="0" applyNumberFormat="1" applyFont="1" applyFill="1" applyBorder="1" applyAlignment="1" applyProtection="1">
      <alignment horizontal="center" vertical="center" wrapText="1"/>
    </xf>
    <xf numFmtId="1" fontId="42" fillId="10" borderId="87" xfId="0" applyNumberFormat="1" applyFont="1" applyFill="1" applyBorder="1" applyAlignment="1" applyProtection="1">
      <alignment horizontal="center" vertical="center" wrapText="1"/>
    </xf>
    <xf numFmtId="1" fontId="42" fillId="10" borderId="34" xfId="0" applyNumberFormat="1" applyFont="1" applyFill="1" applyBorder="1" applyAlignment="1" applyProtection="1">
      <alignment horizontal="center" vertical="center" wrapText="1"/>
    </xf>
    <xf numFmtId="1" fontId="42" fillId="10" borderId="152" xfId="0" applyNumberFormat="1" applyFont="1" applyFill="1" applyBorder="1" applyAlignment="1" applyProtection="1">
      <alignment horizontal="center" vertical="center" wrapText="1"/>
    </xf>
    <xf numFmtId="1" fontId="42" fillId="10" borderId="88" xfId="0" applyNumberFormat="1" applyFont="1" applyFill="1" applyBorder="1" applyAlignment="1" applyProtection="1">
      <alignment horizontal="center" vertical="center" wrapText="1"/>
    </xf>
    <xf numFmtId="164" fontId="29" fillId="8" borderId="62" xfId="0" applyNumberFormat="1" applyFont="1" applyFill="1" applyBorder="1" applyAlignment="1" applyProtection="1">
      <alignment horizontal="left" vertical="center" shrinkToFit="1"/>
      <protection hidden="1"/>
    </xf>
    <xf numFmtId="164" fontId="29" fillId="8" borderId="9" xfId="0" applyNumberFormat="1" applyFont="1" applyFill="1" applyBorder="1" applyAlignment="1" applyProtection="1">
      <alignment horizontal="left" vertical="center" shrinkToFit="1"/>
      <protection hidden="1"/>
    </xf>
    <xf numFmtId="164" fontId="29" fillId="8" borderId="14" xfId="0" applyNumberFormat="1" applyFont="1" applyFill="1" applyBorder="1" applyAlignment="1" applyProtection="1">
      <alignment horizontal="left" vertical="center" shrinkToFit="1"/>
      <protection hidden="1"/>
    </xf>
    <xf numFmtId="0" fontId="14" fillId="6" borderId="90" xfId="0" applyFont="1" applyFill="1" applyBorder="1" applyAlignment="1" applyProtection="1">
      <alignment horizontal="left" vertical="top" wrapText="1"/>
      <protection locked="0"/>
    </xf>
    <xf numFmtId="0" fontId="14" fillId="6" borderId="91" xfId="0" applyFont="1" applyFill="1" applyBorder="1" applyAlignment="1" applyProtection="1">
      <alignment horizontal="left" vertical="top" wrapText="1"/>
      <protection locked="0"/>
    </xf>
    <xf numFmtId="0" fontId="14" fillId="6" borderId="143" xfId="0" applyFont="1" applyFill="1" applyBorder="1" applyAlignment="1" applyProtection="1">
      <alignment horizontal="left" vertical="top" wrapText="1"/>
      <protection locked="0"/>
    </xf>
    <xf numFmtId="0" fontId="30" fillId="0" borderId="7" xfId="0" applyFont="1" applyBorder="1" applyAlignment="1" applyProtection="1">
      <alignment horizontal="center" vertical="center" shrinkToFit="1"/>
      <protection locked="0"/>
    </xf>
    <xf numFmtId="0" fontId="22" fillId="0" borderId="9" xfId="0" applyFont="1" applyBorder="1" applyAlignment="1" applyProtection="1">
      <alignment horizontal="center" vertical="center" shrinkToFit="1"/>
      <protection locked="0"/>
    </xf>
    <xf numFmtId="0" fontId="22" fillId="0" borderId="14" xfId="0" applyFont="1" applyBorder="1" applyAlignment="1" applyProtection="1">
      <alignment horizontal="center" vertical="center" shrinkToFit="1"/>
      <protection locked="0"/>
    </xf>
    <xf numFmtId="0" fontId="25" fillId="4" borderId="39" xfId="0" applyFont="1" applyFill="1" applyBorder="1" applyAlignment="1" applyProtection="1">
      <alignment horizontal="center" vertical="center"/>
      <protection locked="0"/>
    </xf>
    <xf numFmtId="0" fontId="25" fillId="4" borderId="0" xfId="0" applyFont="1" applyFill="1" applyBorder="1" applyAlignment="1" applyProtection="1">
      <alignment horizontal="center" vertical="center"/>
      <protection locked="0"/>
    </xf>
    <xf numFmtId="0" fontId="25" fillId="4" borderId="40" xfId="0" applyFont="1" applyFill="1" applyBorder="1" applyAlignment="1" applyProtection="1">
      <alignment horizontal="center" vertical="center"/>
      <protection locked="0"/>
    </xf>
    <xf numFmtId="0" fontId="29" fillId="3" borderId="15" xfId="0" applyFont="1" applyFill="1" applyBorder="1" applyAlignment="1" applyProtection="1">
      <alignment horizontal="center" vertical="center" shrinkToFit="1"/>
      <protection locked="0"/>
    </xf>
    <xf numFmtId="0" fontId="29" fillId="3" borderId="38" xfId="0" applyFont="1" applyFill="1" applyBorder="1" applyAlignment="1" applyProtection="1">
      <alignment horizontal="center" vertical="center" shrinkToFit="1"/>
      <protection locked="0"/>
    </xf>
    <xf numFmtId="0" fontId="29" fillId="3" borderId="35" xfId="0" applyFont="1" applyFill="1" applyBorder="1" applyAlignment="1" applyProtection="1">
      <alignment horizontal="center" vertical="center" shrinkToFit="1"/>
      <protection locked="0"/>
    </xf>
    <xf numFmtId="0" fontId="29" fillId="3" borderId="41" xfId="0" applyFont="1" applyFill="1" applyBorder="1" applyAlignment="1" applyProtection="1">
      <alignment horizontal="center" vertical="center" shrinkToFit="1"/>
      <protection locked="0"/>
    </xf>
    <xf numFmtId="0" fontId="29" fillId="3" borderId="24" xfId="0" applyFont="1" applyFill="1" applyBorder="1" applyAlignment="1" applyProtection="1">
      <alignment horizontal="center" vertical="center" shrinkToFit="1"/>
      <protection locked="0"/>
    </xf>
    <xf numFmtId="0" fontId="29" fillId="3" borderId="58" xfId="0" applyFont="1" applyFill="1" applyBorder="1" applyAlignment="1" applyProtection="1">
      <alignment horizontal="center" vertical="center" shrinkToFit="1"/>
      <protection locked="0"/>
    </xf>
    <xf numFmtId="0" fontId="29" fillId="4" borderId="8" xfId="0" applyFont="1" applyFill="1" applyBorder="1" applyAlignment="1" applyProtection="1">
      <alignment horizontal="center" vertical="center" textRotation="90" shrinkToFit="1"/>
      <protection locked="0"/>
    </xf>
    <xf numFmtId="0" fontId="29" fillId="4" borderId="13" xfId="0" applyFont="1" applyFill="1" applyBorder="1" applyAlignment="1" applyProtection="1">
      <alignment horizontal="center" vertical="center" textRotation="90" shrinkToFit="1"/>
      <protection locked="0"/>
    </xf>
    <xf numFmtId="0" fontId="29" fillId="4" borderId="5" xfId="0" applyFont="1" applyFill="1" applyBorder="1" applyAlignment="1" applyProtection="1">
      <alignment horizontal="center" vertical="center" textRotation="90" shrinkToFit="1"/>
      <protection locked="0"/>
    </xf>
    <xf numFmtId="0" fontId="25" fillId="4" borderId="41" xfId="0" applyFont="1" applyFill="1" applyBorder="1" applyAlignment="1" applyProtection="1">
      <alignment horizontal="right" vertical="center"/>
      <protection locked="0"/>
    </xf>
    <xf numFmtId="0" fontId="25" fillId="4" borderId="24" xfId="0" applyFont="1" applyFill="1" applyBorder="1" applyAlignment="1" applyProtection="1">
      <alignment horizontal="right" vertical="center"/>
      <protection locked="0"/>
    </xf>
    <xf numFmtId="0" fontId="25" fillId="4" borderId="58" xfId="0" applyFont="1" applyFill="1" applyBorder="1" applyAlignment="1" applyProtection="1">
      <alignment horizontal="right" vertical="center"/>
      <protection locked="0"/>
    </xf>
    <xf numFmtId="164" fontId="29" fillId="11" borderId="62" xfId="0" applyNumberFormat="1" applyFont="1" applyFill="1" applyBorder="1" applyAlignment="1" applyProtection="1">
      <alignment horizontal="left" vertical="center" shrinkToFit="1"/>
      <protection hidden="1"/>
    </xf>
    <xf numFmtId="164" fontId="29" fillId="11" borderId="9" xfId="0" applyNumberFormat="1" applyFont="1" applyFill="1" applyBorder="1" applyAlignment="1" applyProtection="1">
      <alignment horizontal="left" vertical="center" shrinkToFit="1"/>
      <protection hidden="1"/>
    </xf>
    <xf numFmtId="164" fontId="29" fillId="11" borderId="14" xfId="0" applyNumberFormat="1" applyFont="1" applyFill="1" applyBorder="1" applyAlignment="1" applyProtection="1">
      <alignment horizontal="left" vertical="center" shrinkToFit="1"/>
      <protection hidden="1"/>
    </xf>
    <xf numFmtId="0" fontId="1" fillId="0" borderId="7" xfId="0" applyFont="1" applyBorder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14" fillId="6" borderId="89" xfId="0" applyFont="1" applyFill="1" applyBorder="1" applyAlignment="1" applyProtection="1">
      <alignment horizontal="left" vertical="top" wrapText="1"/>
      <protection locked="0"/>
    </xf>
    <xf numFmtId="0" fontId="14" fillId="6" borderId="89" xfId="0" applyFont="1" applyFill="1" applyBorder="1" applyAlignment="1" applyProtection="1">
      <alignment horizontal="left" vertical="top"/>
      <protection locked="0"/>
    </xf>
    <xf numFmtId="0" fontId="14" fillId="6" borderId="90" xfId="0" applyFont="1" applyFill="1" applyBorder="1" applyAlignment="1" applyProtection="1">
      <alignment horizontal="left" vertical="top"/>
      <protection locked="0"/>
    </xf>
    <xf numFmtId="0" fontId="25" fillId="4" borderId="0" xfId="0" applyFont="1" applyFill="1" applyAlignment="1" applyProtection="1">
      <alignment horizontal="center" vertical="center"/>
      <protection locked="0"/>
    </xf>
    <xf numFmtId="164" fontId="29" fillId="8" borderId="53" xfId="0" applyNumberFormat="1" applyFont="1" applyFill="1" applyBorder="1" applyAlignment="1" applyProtection="1">
      <alignment horizontal="left" vertical="center" shrinkToFit="1"/>
      <protection hidden="1"/>
    </xf>
    <xf numFmtId="164" fontId="29" fillId="8" borderId="55" xfId="0" applyNumberFormat="1" applyFont="1" applyFill="1" applyBorder="1" applyAlignment="1" applyProtection="1">
      <alignment horizontal="left" vertical="center" shrinkToFit="1"/>
      <protection hidden="1"/>
    </xf>
    <xf numFmtId="164" fontId="29" fillId="8" borderId="74" xfId="0" applyNumberFormat="1" applyFont="1" applyFill="1" applyBorder="1" applyAlignment="1" applyProtection="1">
      <alignment horizontal="left" vertical="center" shrinkToFit="1"/>
      <protection hidden="1"/>
    </xf>
    <xf numFmtId="164" fontId="29" fillId="11" borderId="63" xfId="0" applyNumberFormat="1" applyFont="1" applyFill="1" applyBorder="1" applyAlignment="1" applyProtection="1">
      <alignment horizontal="left" vertical="center" shrinkToFit="1"/>
      <protection hidden="1"/>
    </xf>
    <xf numFmtId="164" fontId="29" fillId="11" borderId="50" xfId="0" applyNumberFormat="1" applyFont="1" applyFill="1" applyBorder="1" applyAlignment="1" applyProtection="1">
      <alignment horizontal="left" vertical="center" shrinkToFit="1"/>
      <protection hidden="1"/>
    </xf>
    <xf numFmtId="164" fontId="29" fillId="11" borderId="64" xfId="0" applyNumberFormat="1" applyFont="1" applyFill="1" applyBorder="1" applyAlignment="1" applyProtection="1">
      <alignment horizontal="left" vertical="center" shrinkToFit="1"/>
      <protection hidden="1"/>
    </xf>
    <xf numFmtId="164" fontId="29" fillId="8" borderId="99" xfId="0" applyNumberFormat="1" applyFont="1" applyFill="1" applyBorder="1" applyAlignment="1" applyProtection="1">
      <alignment horizontal="left" vertical="center" shrinkToFit="1"/>
      <protection hidden="1"/>
    </xf>
    <xf numFmtId="164" fontId="29" fillId="8" borderId="100" xfId="0" applyNumberFormat="1" applyFont="1" applyFill="1" applyBorder="1" applyAlignment="1" applyProtection="1">
      <alignment horizontal="left" vertical="center" shrinkToFit="1"/>
      <protection hidden="1"/>
    </xf>
    <xf numFmtId="164" fontId="29" fillId="8" borderId="101" xfId="0" applyNumberFormat="1" applyFont="1" applyFill="1" applyBorder="1" applyAlignment="1" applyProtection="1">
      <alignment horizontal="left" vertical="center" shrinkToFit="1"/>
      <protection hidden="1"/>
    </xf>
    <xf numFmtId="0" fontId="21" fillId="4" borderId="15" xfId="0" applyFont="1" applyFill="1" applyBorder="1" applyAlignment="1" applyProtection="1">
      <alignment horizontal="left" vertical="top"/>
      <protection locked="0"/>
    </xf>
    <xf numFmtId="0" fontId="21" fillId="4" borderId="38" xfId="0" applyFont="1" applyFill="1" applyBorder="1" applyAlignment="1" applyProtection="1">
      <alignment horizontal="left" vertical="top"/>
      <protection locked="0"/>
    </xf>
    <xf numFmtId="0" fontId="22" fillId="0" borderId="7" xfId="0" applyFont="1" applyBorder="1" applyAlignment="1" applyProtection="1">
      <alignment horizontal="center" vertical="center" shrinkToFit="1"/>
      <protection locked="0"/>
    </xf>
    <xf numFmtId="0" fontId="34" fillId="4" borderId="24" xfId="0" applyFont="1" applyFill="1" applyBorder="1" applyAlignment="1" applyProtection="1">
      <alignment horizontal="center" vertical="top"/>
      <protection locked="0"/>
    </xf>
    <xf numFmtId="0" fontId="1" fillId="4" borderId="24" xfId="0" applyFont="1" applyFill="1" applyBorder="1" applyAlignment="1" applyProtection="1">
      <alignment horizontal="center" vertical="top"/>
      <protection locked="0"/>
    </xf>
    <xf numFmtId="0" fontId="1" fillId="4" borderId="58" xfId="0" applyFont="1" applyFill="1" applyBorder="1" applyAlignment="1" applyProtection="1">
      <alignment horizontal="center" vertical="top"/>
      <protection locked="0"/>
    </xf>
    <xf numFmtId="164" fontId="29" fillId="8" borderId="48" xfId="0" applyNumberFormat="1" applyFont="1" applyFill="1" applyBorder="1" applyAlignment="1" applyProtection="1">
      <alignment horizontal="left" vertical="center" shrinkToFit="1"/>
      <protection hidden="1"/>
    </xf>
    <xf numFmtId="164" fontId="29" fillId="8" borderId="38" xfId="0" applyNumberFormat="1" applyFont="1" applyFill="1" applyBorder="1" applyAlignment="1" applyProtection="1">
      <alignment horizontal="left" vertical="center" shrinkToFit="1"/>
      <protection hidden="1"/>
    </xf>
    <xf numFmtId="164" fontId="29" fillId="8" borderId="35" xfId="0" applyNumberFormat="1" applyFont="1" applyFill="1" applyBorder="1" applyAlignment="1" applyProtection="1">
      <alignment horizontal="left" vertical="center" shrinkToFit="1"/>
      <protection hidden="1"/>
    </xf>
    <xf numFmtId="164" fontId="29" fillId="8" borderId="63" xfId="0" applyNumberFormat="1" applyFont="1" applyFill="1" applyBorder="1" applyAlignment="1" applyProtection="1">
      <alignment horizontal="left" vertical="center" shrinkToFit="1"/>
      <protection hidden="1"/>
    </xf>
    <xf numFmtId="164" fontId="29" fillId="8" borderId="50" xfId="0" applyNumberFormat="1" applyFont="1" applyFill="1" applyBorder="1" applyAlignment="1" applyProtection="1">
      <alignment horizontal="left" vertical="center" shrinkToFit="1"/>
      <protection hidden="1"/>
    </xf>
    <xf numFmtId="164" fontId="29" fillId="8" borderId="64" xfId="0" applyNumberFormat="1" applyFont="1" applyFill="1" applyBorder="1" applyAlignment="1" applyProtection="1">
      <alignment horizontal="left" vertical="center" shrinkToFit="1"/>
      <protection hidden="1"/>
    </xf>
    <xf numFmtId="0" fontId="23" fillId="6" borderId="0" xfId="0" applyFont="1" applyFill="1" applyAlignment="1" applyProtection="1">
      <alignment horizontal="center" vertical="center"/>
      <protection locked="0"/>
    </xf>
    <xf numFmtId="0" fontId="21" fillId="4" borderId="35" xfId="0" applyFont="1" applyFill="1" applyBorder="1" applyAlignment="1" applyProtection="1">
      <alignment horizontal="left" vertical="top"/>
      <protection locked="0"/>
    </xf>
    <xf numFmtId="1" fontId="42" fillId="10" borderId="80" xfId="0" applyNumberFormat="1" applyFont="1" applyFill="1" applyBorder="1" applyAlignment="1" applyProtection="1">
      <alignment horizontal="center" vertical="center" wrapText="1"/>
      <protection locked="0"/>
    </xf>
    <xf numFmtId="1" fontId="42" fillId="10" borderId="32" xfId="0" applyNumberFormat="1" applyFont="1" applyFill="1" applyBorder="1" applyAlignment="1" applyProtection="1">
      <alignment horizontal="center" vertical="center" wrapText="1"/>
      <protection locked="0"/>
    </xf>
    <xf numFmtId="1" fontId="42" fillId="10" borderId="155" xfId="0" applyNumberFormat="1" applyFont="1" applyFill="1" applyBorder="1" applyAlignment="1" applyProtection="1">
      <alignment horizontal="center" vertical="center" wrapText="1"/>
      <protection locked="0"/>
    </xf>
    <xf numFmtId="1" fontId="42" fillId="0" borderId="11" xfId="0" applyNumberFormat="1" applyFont="1" applyBorder="1" applyAlignment="1" applyProtection="1">
      <alignment horizontal="center" vertical="center" wrapText="1"/>
      <protection locked="0"/>
    </xf>
    <xf numFmtId="1" fontId="42" fillId="0" borderId="29" xfId="0" applyNumberFormat="1" applyFont="1" applyBorder="1" applyAlignment="1" applyProtection="1">
      <alignment horizontal="center" vertical="center" wrapText="1"/>
      <protection locked="0"/>
    </xf>
    <xf numFmtId="1" fontId="42" fillId="0" borderId="30" xfId="0" applyNumberFormat="1" applyFont="1" applyBorder="1" applyAlignment="1" applyProtection="1">
      <alignment horizontal="center" vertical="center" wrapText="1"/>
      <protection locked="0"/>
    </xf>
    <xf numFmtId="1" fontId="42" fillId="10" borderId="11" xfId="0" applyNumberFormat="1" applyFont="1" applyFill="1" applyBorder="1" applyAlignment="1" applyProtection="1">
      <alignment horizontal="center" vertical="center" wrapText="1"/>
      <protection locked="0"/>
    </xf>
    <xf numFmtId="1" fontId="42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42" fillId="10" borderId="30" xfId="0" applyNumberFormat="1" applyFont="1" applyFill="1" applyBorder="1" applyAlignment="1" applyProtection="1">
      <alignment horizontal="center" vertical="center" wrapText="1"/>
      <protection locked="0"/>
    </xf>
    <xf numFmtId="1" fontId="42" fillId="10" borderId="118" xfId="0" applyNumberFormat="1" applyFont="1" applyFill="1" applyBorder="1" applyAlignment="1" applyProtection="1">
      <alignment horizontal="center" vertical="center" wrapText="1"/>
      <protection locked="0"/>
    </xf>
    <xf numFmtId="1" fontId="42" fillId="10" borderId="103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Normal" xfId="0" builtinId="0"/>
    <cellStyle name="Normal 2" xfId="2" xr:uid="{00000000-0005-0000-0000-000001000000}"/>
    <cellStyle name="Normal 2 2" xfId="1" xr:uid="{00000000-0005-0000-0000-000002000000}"/>
  </cellStyles>
  <dxfs count="6"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AO49"/>
  <sheetViews>
    <sheetView zoomScale="130" zoomScaleNormal="130" workbookViewId="0">
      <pane xSplit="2" ySplit="8" topLeftCell="C9" activePane="bottomRight" state="frozen"/>
      <selection activeCell="U42" sqref="U42"/>
      <selection pane="topRight" activeCell="U42" sqref="U42"/>
      <selection pane="bottomLeft" activeCell="U42" sqref="U42"/>
      <selection pane="bottomRight" activeCell="M9" sqref="M9:N9"/>
    </sheetView>
  </sheetViews>
  <sheetFormatPr defaultRowHeight="15" x14ac:dyDescent="0.25"/>
  <cols>
    <col min="1" max="1" width="2.7109375" style="77" customWidth="1"/>
    <col min="2" max="2" width="16.140625" style="77" customWidth="1"/>
    <col min="3" max="3" width="6" style="77" customWidth="1"/>
    <col min="4" max="4" width="2.7109375" style="77" customWidth="1"/>
    <col min="5" max="5" width="4.5703125" style="77" customWidth="1"/>
    <col min="6" max="6" width="3.7109375" style="77" customWidth="1"/>
    <col min="7" max="7" width="2.42578125" style="77" customWidth="1"/>
    <col min="8" max="8" width="4.140625" style="77" customWidth="1"/>
    <col min="9" max="9" width="3.7109375" style="77" customWidth="1"/>
    <col min="10" max="10" width="2.85546875" style="77" customWidth="1"/>
    <col min="11" max="12" width="4.85546875" style="77" customWidth="1"/>
    <col min="13" max="13" width="4.140625" style="77" customWidth="1"/>
    <col min="14" max="14" width="4.5703125" style="77" customWidth="1"/>
    <col min="15" max="15" width="8.7109375" style="77" customWidth="1"/>
    <col min="16" max="16" width="2.7109375" style="77" customWidth="1"/>
    <col min="17" max="17" width="4.140625" style="77" customWidth="1"/>
    <col min="18" max="18" width="2.7109375" style="77" customWidth="1"/>
    <col min="19" max="20" width="2.85546875" style="77" customWidth="1"/>
    <col min="21" max="21" width="3.7109375" style="77" customWidth="1"/>
    <col min="22" max="22" width="4.140625" style="77" customWidth="1"/>
    <col min="23" max="23" width="4.85546875" style="77" customWidth="1"/>
    <col min="24" max="24" width="4.28515625" style="77" customWidth="1"/>
    <col min="25" max="25" width="3.7109375" style="77" customWidth="1"/>
    <col min="26" max="26" width="4" style="173" customWidth="1"/>
    <col min="27" max="27" width="3.85546875" style="77" customWidth="1"/>
    <col min="28" max="28" width="6.5703125" style="77" customWidth="1"/>
    <col min="29" max="30" width="3.42578125" style="77" customWidth="1"/>
    <col min="31" max="31" width="3.7109375" style="77" customWidth="1"/>
    <col min="32" max="34" width="4.28515625" style="77" customWidth="1"/>
    <col min="35" max="35" width="3.5703125" style="77" customWidth="1"/>
    <col min="36" max="36" width="7.7109375" style="77" customWidth="1"/>
    <col min="37" max="37" width="5.7109375" style="77" customWidth="1"/>
    <col min="38" max="39" width="7.7109375" style="77" customWidth="1"/>
    <col min="40" max="40" width="6.42578125" style="77" customWidth="1"/>
    <col min="41" max="41" width="7.7109375" style="77" customWidth="1"/>
    <col min="42" max="16384" width="9.140625" style="77"/>
  </cols>
  <sheetData>
    <row r="1" spans="1:41" ht="15.75" customHeight="1" x14ac:dyDescent="0.3">
      <c r="A1" s="319"/>
      <c r="B1" s="319"/>
      <c r="C1" s="76"/>
      <c r="D1" s="347" t="s">
        <v>51</v>
      </c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7"/>
      <c r="T1" s="347"/>
      <c r="U1" s="347"/>
      <c r="V1" s="347"/>
      <c r="W1" s="347"/>
      <c r="X1" s="347"/>
      <c r="Y1" s="347"/>
      <c r="Z1" s="347"/>
      <c r="AA1" s="347"/>
      <c r="AB1" s="347"/>
      <c r="AC1" s="347"/>
      <c r="AD1" s="347"/>
      <c r="AE1" s="347"/>
      <c r="AF1" s="347"/>
      <c r="AG1" s="347"/>
      <c r="AH1" s="347"/>
      <c r="AI1" s="347"/>
      <c r="AJ1" s="347"/>
      <c r="AK1" s="76"/>
      <c r="AL1" s="76"/>
      <c r="AM1" s="76"/>
      <c r="AN1" s="76"/>
    </row>
    <row r="2" spans="1:41" ht="22.5" customHeight="1" x14ac:dyDescent="0.3">
      <c r="A2" s="319"/>
      <c r="B2" s="319"/>
      <c r="C2" s="78"/>
      <c r="D2" s="347"/>
      <c r="E2" s="347"/>
      <c r="F2" s="347"/>
      <c r="G2" s="347"/>
      <c r="H2" s="347"/>
      <c r="I2" s="347"/>
      <c r="J2" s="347"/>
      <c r="K2" s="347"/>
      <c r="L2" s="347"/>
      <c r="M2" s="347"/>
      <c r="N2" s="347"/>
      <c r="O2" s="347"/>
      <c r="P2" s="347"/>
      <c r="Q2" s="347"/>
      <c r="R2" s="347"/>
      <c r="S2" s="347"/>
      <c r="T2" s="347"/>
      <c r="U2" s="347"/>
      <c r="V2" s="347"/>
      <c r="W2" s="347"/>
      <c r="X2" s="347"/>
      <c r="Y2" s="347"/>
      <c r="Z2" s="347"/>
      <c r="AA2" s="347"/>
      <c r="AB2" s="347"/>
      <c r="AC2" s="347"/>
      <c r="AD2" s="347"/>
      <c r="AE2" s="347"/>
      <c r="AF2" s="347"/>
      <c r="AG2" s="347"/>
      <c r="AH2" s="347"/>
      <c r="AI2" s="347"/>
      <c r="AJ2" s="347"/>
      <c r="AK2" s="76"/>
      <c r="AL2" s="76"/>
      <c r="AM2" s="76"/>
      <c r="AN2" s="76"/>
    </row>
    <row r="3" spans="1:41" ht="19.5" customHeight="1" x14ac:dyDescent="0.3">
      <c r="A3" s="79"/>
      <c r="B3" s="76"/>
      <c r="C3" s="76"/>
      <c r="D3" s="76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171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</row>
    <row r="4" spans="1:41" ht="23.25" x14ac:dyDescent="0.35">
      <c r="A4" s="81" t="s">
        <v>0</v>
      </c>
      <c r="B4" s="80"/>
      <c r="C4" s="80"/>
      <c r="D4" s="80"/>
      <c r="E4" s="80"/>
      <c r="F4" s="80"/>
      <c r="G4" s="80"/>
      <c r="H4" s="80"/>
      <c r="I4" s="80"/>
      <c r="J4" s="346" t="s">
        <v>47</v>
      </c>
      <c r="K4" s="346"/>
      <c r="L4" s="346"/>
      <c r="M4" s="346"/>
      <c r="N4" s="346"/>
      <c r="O4" s="346"/>
      <c r="P4" s="346"/>
      <c r="Q4" s="82"/>
      <c r="R4" s="82"/>
      <c r="S4" s="82"/>
      <c r="T4" s="82"/>
      <c r="U4" s="82"/>
      <c r="V4" s="82"/>
      <c r="W4" s="82"/>
      <c r="X4" s="82"/>
      <c r="Y4" s="83"/>
      <c r="Z4" s="172"/>
      <c r="AA4" s="82"/>
      <c r="AB4" s="84"/>
      <c r="AC4" s="85" t="s">
        <v>16</v>
      </c>
      <c r="AD4" s="85"/>
      <c r="AE4" s="84" t="s">
        <v>77</v>
      </c>
      <c r="AF4" s="86"/>
      <c r="AG4" s="201" t="s">
        <v>1</v>
      </c>
      <c r="AH4" s="201"/>
      <c r="AI4" s="201"/>
      <c r="AJ4" s="87" t="s">
        <v>78</v>
      </c>
      <c r="AK4" s="87"/>
      <c r="AL4" s="84"/>
      <c r="AM4" s="80"/>
      <c r="AN4" s="80"/>
    </row>
    <row r="5" spans="1:41" ht="15.75" thickBot="1" x14ac:dyDescent="0.3">
      <c r="A5" s="88"/>
      <c r="B5" s="88"/>
      <c r="C5" s="320" t="s">
        <v>105</v>
      </c>
      <c r="D5" s="320"/>
      <c r="E5" s="320"/>
      <c r="F5" s="320"/>
      <c r="G5" s="320"/>
      <c r="H5" s="320"/>
      <c r="I5" s="320"/>
      <c r="J5" s="320"/>
      <c r="K5" s="320"/>
      <c r="L5" s="320"/>
      <c r="M5" s="320"/>
      <c r="N5" s="320"/>
      <c r="O5" s="320"/>
      <c r="P5" s="320"/>
      <c r="Q5" s="320"/>
      <c r="R5" s="320"/>
      <c r="S5" s="320"/>
      <c r="T5" s="320"/>
      <c r="U5" s="320"/>
      <c r="V5" s="320"/>
      <c r="W5" s="320"/>
      <c r="X5" s="320"/>
      <c r="Y5" s="320"/>
      <c r="Z5" s="320"/>
      <c r="AA5" s="320"/>
      <c r="AB5" s="320"/>
      <c r="AC5" s="320"/>
      <c r="AD5" s="320"/>
      <c r="AE5" s="320"/>
      <c r="AF5" s="320"/>
      <c r="AG5" s="89"/>
      <c r="AH5" s="174"/>
      <c r="AI5" s="88"/>
      <c r="AJ5" s="88"/>
      <c r="AK5" s="88"/>
      <c r="AL5" s="88"/>
      <c r="AM5" s="88"/>
      <c r="AN5" s="88"/>
      <c r="AO5" s="90"/>
    </row>
    <row r="6" spans="1:41" ht="22.5" customHeight="1" x14ac:dyDescent="0.25">
      <c r="A6" s="321">
        <v>4</v>
      </c>
      <c r="B6" s="322"/>
      <c r="C6" s="343" t="s">
        <v>3</v>
      </c>
      <c r="D6" s="344"/>
      <c r="E6" s="345"/>
      <c r="F6" s="338" t="s">
        <v>2</v>
      </c>
      <c r="G6" s="339"/>
      <c r="H6" s="339"/>
      <c r="I6" s="339"/>
      <c r="J6" s="339"/>
      <c r="K6" s="168">
        <v>0.4</v>
      </c>
      <c r="L6" s="323" t="s">
        <v>100</v>
      </c>
      <c r="M6" s="324"/>
      <c r="N6" s="327">
        <v>0.2</v>
      </c>
      <c r="O6" s="329" t="s">
        <v>98</v>
      </c>
      <c r="P6" s="330"/>
      <c r="Q6" s="330"/>
      <c r="R6" s="330"/>
      <c r="S6" s="332">
        <v>0.2</v>
      </c>
      <c r="T6" s="333"/>
      <c r="U6" s="311" t="s">
        <v>4</v>
      </c>
      <c r="V6" s="312"/>
      <c r="W6" s="302" t="s">
        <v>48</v>
      </c>
      <c r="X6" s="302" t="s">
        <v>46</v>
      </c>
      <c r="Y6" s="315" t="s">
        <v>4</v>
      </c>
      <c r="Z6" s="316"/>
      <c r="AA6" s="302" t="s">
        <v>49</v>
      </c>
      <c r="AB6" s="302" t="s">
        <v>46</v>
      </c>
      <c r="AC6" s="90"/>
    </row>
    <row r="7" spans="1:41" ht="22.5" customHeight="1" x14ac:dyDescent="0.25">
      <c r="A7" s="91"/>
      <c r="B7" s="92"/>
      <c r="C7" s="336" t="s">
        <v>101</v>
      </c>
      <c r="D7" s="337"/>
      <c r="E7" s="154">
        <v>0.2</v>
      </c>
      <c r="F7" s="340" t="s">
        <v>54</v>
      </c>
      <c r="G7" s="341"/>
      <c r="H7" s="169">
        <v>0.2</v>
      </c>
      <c r="I7" s="342" t="s">
        <v>99</v>
      </c>
      <c r="J7" s="341"/>
      <c r="K7" s="170">
        <v>0.2</v>
      </c>
      <c r="L7" s="325"/>
      <c r="M7" s="326"/>
      <c r="N7" s="328"/>
      <c r="O7" s="325"/>
      <c r="P7" s="326"/>
      <c r="Q7" s="331"/>
      <c r="R7" s="331"/>
      <c r="S7" s="334"/>
      <c r="T7" s="335"/>
      <c r="U7" s="313"/>
      <c r="V7" s="314"/>
      <c r="W7" s="303"/>
      <c r="X7" s="303"/>
      <c r="Y7" s="317"/>
      <c r="Z7" s="318"/>
      <c r="AA7" s="303"/>
      <c r="AB7" s="303"/>
      <c r="AC7" s="90"/>
    </row>
    <row r="8" spans="1:41" ht="15.75" customHeight="1" thickBot="1" x14ac:dyDescent="0.3">
      <c r="A8" s="93" t="s">
        <v>5</v>
      </c>
      <c r="B8" s="94" t="s">
        <v>6</v>
      </c>
      <c r="C8" s="155" t="s">
        <v>92</v>
      </c>
      <c r="D8" s="296" t="s">
        <v>93</v>
      </c>
      <c r="E8" s="297"/>
      <c r="F8" s="161" t="s">
        <v>92</v>
      </c>
      <c r="G8" s="298" t="s">
        <v>93</v>
      </c>
      <c r="H8" s="299"/>
      <c r="I8" s="162" t="s">
        <v>92</v>
      </c>
      <c r="J8" s="298" t="s">
        <v>93</v>
      </c>
      <c r="K8" s="299"/>
      <c r="L8" s="163" t="s">
        <v>94</v>
      </c>
      <c r="M8" s="395" t="s">
        <v>95</v>
      </c>
      <c r="N8" s="396"/>
      <c r="O8" s="309" t="s">
        <v>94</v>
      </c>
      <c r="P8" s="310"/>
      <c r="Q8" s="395" t="s">
        <v>95</v>
      </c>
      <c r="R8" s="397"/>
      <c r="S8" s="397"/>
      <c r="T8" s="297"/>
      <c r="U8" s="305" t="s">
        <v>96</v>
      </c>
      <c r="V8" s="306"/>
      <c r="W8" s="304"/>
      <c r="X8" s="304"/>
      <c r="Y8" s="307" t="s">
        <v>97</v>
      </c>
      <c r="Z8" s="308"/>
      <c r="AA8" s="304"/>
      <c r="AB8" s="304"/>
      <c r="AC8" s="90"/>
    </row>
    <row r="9" spans="1:41" ht="13.5" customHeight="1" thickBot="1" x14ac:dyDescent="0.3">
      <c r="A9" s="96">
        <v>1</v>
      </c>
      <c r="B9" s="148" t="s">
        <v>56</v>
      </c>
      <c r="C9" s="156">
        <f>IF('Comp. Escrita'!R8="","",'Comp. Escrita'!R8)</f>
        <v>60</v>
      </c>
      <c r="D9" s="384">
        <f>IF('Comp. Escrita'!AC8="","",'Comp. Escrita'!AC8)</f>
        <v>40</v>
      </c>
      <c r="E9" s="385"/>
      <c r="F9" s="156">
        <f>IF(Oralidade!N8="","",Oralidade!N8)</f>
        <v>80</v>
      </c>
      <c r="G9" s="384">
        <f>IF(Oralidade!V8="","",Oralidade!V8)</f>
        <v>70</v>
      </c>
      <c r="H9" s="385"/>
      <c r="I9" s="156">
        <f>IF(Oralidade!O8="","",Oralidade!O8)</f>
        <v>55</v>
      </c>
      <c r="J9" s="384">
        <f>IF(Oralidade!W8="","",Oralidade!W8)</f>
        <v>55</v>
      </c>
      <c r="K9" s="385"/>
      <c r="L9" s="462"/>
      <c r="M9" s="463"/>
      <c r="N9" s="464"/>
      <c r="O9" s="300">
        <f>IF('Prod. Escrita'!P8="","",'Prod. Escrita'!P8)</f>
        <v>74.5</v>
      </c>
      <c r="P9" s="301"/>
      <c r="Q9" s="398">
        <f>IF('Prod. Escrita'!Y8="","",'Prod. Escrita'!Y8)</f>
        <v>60</v>
      </c>
      <c r="R9" s="399"/>
      <c r="S9" s="399"/>
      <c r="T9" s="400"/>
      <c r="U9" s="269" t="str">
        <f>IF(AREAS((C9,F9,I9,L9,O9))-COUNT(C9,F9,I9,L9,O9)=0,ROUND(SUM($C9*$E$7,$F9*$H$7,$I9*$K$7,$L9*$N$6,$O9*$S$6),0),"")</f>
        <v/>
      </c>
      <c r="V9" s="104" t="str">
        <f>IF((U9=""),"",IF(U9&gt;89,5,IF(U9&gt;69,4,IF(U9&gt;49,3,IF(U9&gt;19,2,IF(U9&gt;0,1))))))</f>
        <v/>
      </c>
      <c r="W9" s="191">
        <v>3</v>
      </c>
      <c r="X9" s="175" t="str">
        <f>V9</f>
        <v/>
      </c>
      <c r="Y9" s="200" t="str">
        <f>IF(AREAS((D9,G9,J9,M9,Q9))-COUNT(D9,G9,J9,M9,Q9)=0,ROUND(SUM($D9*$E$7,$G9*$H$7,$J9*$K$7,$M9*$N$6,$Q9*$S$6),0),"")</f>
        <v/>
      </c>
      <c r="Z9" s="185" t="str">
        <f>IF((Y9=""),"",IF(Y9&gt;89,5,IF(Y9&gt;69,4,IF(Y9&gt;49,3,IF(Y9&gt;19,2,IF(Y9&gt;0,1))))))</f>
        <v/>
      </c>
      <c r="AA9" s="229"/>
      <c r="AB9" s="194" t="str">
        <f>Z9</f>
        <v/>
      </c>
      <c r="AC9" s="90"/>
    </row>
    <row r="10" spans="1:41" ht="13.5" customHeight="1" thickBot="1" x14ac:dyDescent="0.3">
      <c r="A10" s="97">
        <v>2</v>
      </c>
      <c r="B10" s="149" t="s">
        <v>57</v>
      </c>
      <c r="C10" s="157">
        <f>IF('Comp. Escrita'!R9="","",'Comp. Escrita'!R9)</f>
        <v>30</v>
      </c>
      <c r="D10" s="382">
        <f>IF('Comp. Escrita'!AC9="","",'Comp. Escrita'!AC9)</f>
        <v>60</v>
      </c>
      <c r="E10" s="383"/>
      <c r="F10" s="164">
        <f>IF(Oralidade!N9="","",Oralidade!N9)</f>
        <v>60</v>
      </c>
      <c r="G10" s="382">
        <f>IF(Oralidade!V9="","",Oralidade!V9)</f>
        <v>70</v>
      </c>
      <c r="H10" s="383"/>
      <c r="I10" s="164">
        <f>IF(Oralidade!O9="","",Oralidade!O9)</f>
        <v>50</v>
      </c>
      <c r="J10" s="382">
        <f>IF(Oralidade!W9="","",Oralidade!W9)</f>
        <v>55</v>
      </c>
      <c r="K10" s="383"/>
      <c r="L10" s="465"/>
      <c r="M10" s="466"/>
      <c r="N10" s="467"/>
      <c r="O10" s="274">
        <f>IF('Prod. Escrita'!P9="","",'Prod. Escrita'!P9)</f>
        <v>67.5</v>
      </c>
      <c r="P10" s="275"/>
      <c r="Q10" s="370">
        <f>IF('Prod. Escrita'!Y9="","",'Prod. Escrita'!Y9)</f>
        <v>50</v>
      </c>
      <c r="R10" s="371"/>
      <c r="S10" s="371"/>
      <c r="T10" s="372"/>
      <c r="U10" s="270" t="str">
        <f>IF(AREAS((C10,F10,I10,L10,O10))-COUNT(C10,F10,I10,L10,O10)=0,ROUND(SUM($C10*$E$7,$F10*$H$7,$I10*$K$7,$L10*$N$6,$O10*$S$6),0),"")</f>
        <v/>
      </c>
      <c r="V10" s="64" t="str">
        <f t="shared" ref="V10:V38" si="0">IF((U10=""),"",IF(U10&gt;89,5,IF(U10&gt;69,4,IF(U10&gt;49,3,IF(U10&gt;19,2,IF(U10&gt;0,1))))))</f>
        <v/>
      </c>
      <c r="W10" s="192">
        <v>3</v>
      </c>
      <c r="X10" s="176" t="str">
        <f t="shared" ref="X10:X34" si="1">V10</f>
        <v/>
      </c>
      <c r="Y10" s="237" t="str">
        <f>IF(AREAS((D10,G10,J10,M10,Q10))-COUNT(D10,G10,J10,M10,Q10)=0,ROUND(SUM($D10*$E$7,$G10*$H$7,$J10*$K$7,$M10*$N$6,$Q10*$S$6),0),"")</f>
        <v/>
      </c>
      <c r="Z10" s="185" t="str">
        <f t="shared" ref="Z10:Z38" si="2">IF((Y10=""),"",IF(Y10&gt;89,5,IF(Y10&gt;69,4,IF(Y10&gt;49,3,IF(Y10&gt;19,2,IF(Y10&gt;0,1))))))</f>
        <v/>
      </c>
      <c r="AA10" s="230"/>
      <c r="AB10" s="195" t="str">
        <f t="shared" ref="AB10:AB38" si="3">Z10</f>
        <v/>
      </c>
      <c r="AC10" s="90"/>
    </row>
    <row r="11" spans="1:41" ht="13.5" customHeight="1" thickBot="1" x14ac:dyDescent="0.3">
      <c r="A11" s="98">
        <v>3</v>
      </c>
      <c r="B11" s="150" t="s">
        <v>58</v>
      </c>
      <c r="C11" s="158">
        <f>IF('Comp. Escrita'!R10="","",'Comp. Escrita'!R10)</f>
        <v>90</v>
      </c>
      <c r="D11" s="380">
        <f>IF('Comp. Escrita'!AC10="","",'Comp. Escrita'!AC10)</f>
        <v>80</v>
      </c>
      <c r="E11" s="381"/>
      <c r="F11" s="165">
        <f>IF(Oralidade!N10="","",Oralidade!N10)</f>
        <v>90</v>
      </c>
      <c r="G11" s="380">
        <f>IF(Oralidade!V10="","",Oralidade!V10)</f>
        <v>56</v>
      </c>
      <c r="H11" s="381"/>
      <c r="I11" s="165">
        <f>IF(Oralidade!O10="","",Oralidade!O10)</f>
        <v>70</v>
      </c>
      <c r="J11" s="380">
        <f>IF(Oralidade!W10="","",Oralidade!W10)</f>
        <v>70</v>
      </c>
      <c r="K11" s="381"/>
      <c r="L11" s="468"/>
      <c r="M11" s="469"/>
      <c r="N11" s="470"/>
      <c r="O11" s="276">
        <f>IF('Prod. Escrita'!P10="","",'Prod. Escrita'!P10)</f>
        <v>85</v>
      </c>
      <c r="P11" s="277"/>
      <c r="Q11" s="401">
        <f>IF('Prod. Escrita'!Y10="","",'Prod. Escrita'!Y10)</f>
        <v>67.5</v>
      </c>
      <c r="R11" s="402"/>
      <c r="S11" s="402"/>
      <c r="T11" s="403"/>
      <c r="U11" s="269" t="str">
        <f>IF(AREAS((C11,F11,I11,L11,O11))-COUNT(C11,F11,I11,L11,O11)=0,ROUND(SUM($C11*$E$7,$F11*$H$7,$I11*$K$7,$L11*$N$6,$O11*$S$6),0),"")</f>
        <v/>
      </c>
      <c r="V11" s="65" t="str">
        <f t="shared" si="0"/>
        <v/>
      </c>
      <c r="W11" s="193">
        <v>4</v>
      </c>
      <c r="X11" s="177" t="str">
        <f t="shared" si="1"/>
        <v/>
      </c>
      <c r="Y11" s="200" t="str">
        <f>IF(AREAS((D11,G11,J11,M11,Q11))-COUNT(D11,G11,J11,M11,Q11)=0,ROUND(SUM($D11*$E$7,$G11*$H$7,$J11*$K$7,$M11*$N$6,$Q11*$S$6),0),"")</f>
        <v/>
      </c>
      <c r="Z11" s="185" t="str">
        <f t="shared" si="2"/>
        <v/>
      </c>
      <c r="AA11" s="231"/>
      <c r="AB11" s="196" t="str">
        <f t="shared" si="3"/>
        <v/>
      </c>
      <c r="AC11" s="90"/>
    </row>
    <row r="12" spans="1:41" ht="13.5" customHeight="1" thickBot="1" x14ac:dyDescent="0.3">
      <c r="A12" s="97">
        <v>4</v>
      </c>
      <c r="B12" s="149" t="s">
        <v>59</v>
      </c>
      <c r="C12" s="157">
        <f>IF('Comp. Escrita'!R11="","",'Comp. Escrita'!R11)</f>
        <v>90</v>
      </c>
      <c r="D12" s="382">
        <f>IF('Comp. Escrita'!AC11="","",'Comp. Escrita'!AC11)</f>
        <v>80</v>
      </c>
      <c r="E12" s="383"/>
      <c r="F12" s="164">
        <f>IF(Oralidade!N11="","",Oralidade!N11)</f>
        <v>70</v>
      </c>
      <c r="G12" s="382">
        <f>IF(Oralidade!V11="","",Oralidade!V11)</f>
        <v>56</v>
      </c>
      <c r="H12" s="383"/>
      <c r="I12" s="164">
        <f>IF(Oralidade!O11="","",Oralidade!O11)</f>
        <v>65</v>
      </c>
      <c r="J12" s="382">
        <f>IF(Oralidade!W11="","",Oralidade!W11)</f>
        <v>56</v>
      </c>
      <c r="K12" s="383"/>
      <c r="L12" s="465"/>
      <c r="M12" s="466"/>
      <c r="N12" s="467"/>
      <c r="O12" s="274">
        <f>IF('Prod. Escrita'!P11="","",'Prod. Escrita'!P11)</f>
        <v>79.5</v>
      </c>
      <c r="P12" s="275"/>
      <c r="Q12" s="370">
        <f>IF('Prod. Escrita'!Y11="","",'Prod. Escrita'!Y11)</f>
        <v>62.5</v>
      </c>
      <c r="R12" s="371"/>
      <c r="S12" s="371"/>
      <c r="T12" s="372"/>
      <c r="U12" s="270" t="str">
        <f>IF(AREAS((C12,F12,I12,L12,O12))-COUNT(C12,F12,I12,L12,O12)=0,ROUND(SUM($C12*$E$7,$F12*$H$7,$I12*$K$7,$L12*$N$6,$O12*$S$6),0),"")</f>
        <v/>
      </c>
      <c r="V12" s="64" t="str">
        <f t="shared" si="0"/>
        <v/>
      </c>
      <c r="W12" s="192">
        <v>4</v>
      </c>
      <c r="X12" s="176" t="str">
        <f t="shared" si="1"/>
        <v/>
      </c>
      <c r="Y12" s="237" t="str">
        <f>IF(AREAS((D12,G12,J12,M12,Q12))-COUNT(D12,G12,J12,M12,Q12)=0,ROUND(SUM($D12*$E$7,$G12*$H$7,$J12*$K$7,$M12*$N$6,$Q12*$S$6),0),"")</f>
        <v/>
      </c>
      <c r="Z12" s="185" t="str">
        <f t="shared" si="2"/>
        <v/>
      </c>
      <c r="AA12" s="230"/>
      <c r="AB12" s="195" t="str">
        <f t="shared" si="3"/>
        <v/>
      </c>
      <c r="AC12" s="90"/>
    </row>
    <row r="13" spans="1:41" ht="13.5" customHeight="1" thickBot="1" x14ac:dyDescent="0.3">
      <c r="A13" s="98">
        <v>5</v>
      </c>
      <c r="B13" s="150" t="s">
        <v>60</v>
      </c>
      <c r="C13" s="158">
        <f>IF('Comp. Escrita'!R12="","",'Comp. Escrita'!R12)</f>
        <v>70</v>
      </c>
      <c r="D13" s="380">
        <f>IF('Comp. Escrita'!AC12="","",'Comp. Escrita'!AC12)</f>
        <v>40</v>
      </c>
      <c r="E13" s="381"/>
      <c r="F13" s="165">
        <f>IF(Oralidade!N12="","",Oralidade!N12)</f>
        <v>80</v>
      </c>
      <c r="G13" s="380">
        <f>IF(Oralidade!V12="","",Oralidade!V12)</f>
        <v>14</v>
      </c>
      <c r="H13" s="381"/>
      <c r="I13" s="165">
        <f>IF(Oralidade!O12="","",Oralidade!O12)</f>
        <v>50</v>
      </c>
      <c r="J13" s="380">
        <f>IF(Oralidade!W12="","",Oralidade!W12)</f>
        <v>40</v>
      </c>
      <c r="K13" s="381"/>
      <c r="L13" s="468"/>
      <c r="M13" s="469"/>
      <c r="N13" s="470"/>
      <c r="O13" s="276">
        <f>IF('Prod. Escrita'!P12="","",'Prod. Escrita'!P12)</f>
        <v>52.5</v>
      </c>
      <c r="P13" s="277"/>
      <c r="Q13" s="401">
        <f>IF('Prod. Escrita'!Y12="","",'Prod. Escrita'!Y12)</f>
        <v>60</v>
      </c>
      <c r="R13" s="402"/>
      <c r="S13" s="402"/>
      <c r="T13" s="403"/>
      <c r="U13" s="269" t="str">
        <f>IF(AREAS((C13,F13,I13,L13,O13))-COUNT(C13,F13,I13,L13,O13)=0,ROUND(SUM($C13*$E$7,$F13*$H$7,$I13*$K$7,$L13*$N$6,$O13*$S$6),0),"")</f>
        <v/>
      </c>
      <c r="V13" s="65" t="str">
        <f t="shared" si="0"/>
        <v/>
      </c>
      <c r="W13" s="193">
        <v>3</v>
      </c>
      <c r="X13" s="177" t="str">
        <f t="shared" si="1"/>
        <v/>
      </c>
      <c r="Y13" s="200" t="str">
        <f>IF(AREAS((D13,G13,J13,M13,Q13))-COUNT(D13,G13,J13,M13,Q13)=0,ROUND(SUM($D13*$E$7,$G13*$H$7,$J13*$K$7,$M13*$N$6,$Q13*$S$6),0),"")</f>
        <v/>
      </c>
      <c r="Z13" s="185" t="str">
        <f t="shared" si="2"/>
        <v/>
      </c>
      <c r="AA13" s="231"/>
      <c r="AB13" s="196" t="str">
        <f t="shared" si="3"/>
        <v/>
      </c>
      <c r="AC13" s="90"/>
    </row>
    <row r="14" spans="1:41" ht="13.5" customHeight="1" thickBot="1" x14ac:dyDescent="0.3">
      <c r="A14" s="97">
        <v>6</v>
      </c>
      <c r="B14" s="149" t="s">
        <v>61</v>
      </c>
      <c r="C14" s="157">
        <f>IF('Comp. Escrita'!R13="","",'Comp. Escrita'!R13)</f>
        <v>60</v>
      </c>
      <c r="D14" s="382">
        <f>IF('Comp. Escrita'!AC13="","",'Comp. Escrita'!AC13)</f>
        <v>40</v>
      </c>
      <c r="E14" s="383"/>
      <c r="F14" s="164">
        <f>IF(Oralidade!N13="","",Oralidade!N13)</f>
        <v>90</v>
      </c>
      <c r="G14" s="382">
        <f>IF(Oralidade!V13="","",Oralidade!V13)</f>
        <v>100</v>
      </c>
      <c r="H14" s="383"/>
      <c r="I14" s="164">
        <f>IF(Oralidade!O13="","",Oralidade!O13)</f>
        <v>80</v>
      </c>
      <c r="J14" s="382">
        <f>IF(Oralidade!W13="","",Oralidade!W13)</f>
        <v>75</v>
      </c>
      <c r="K14" s="383"/>
      <c r="L14" s="465"/>
      <c r="M14" s="466"/>
      <c r="N14" s="467"/>
      <c r="O14" s="274">
        <f>IF('Prod. Escrita'!P13="","",'Prod. Escrita'!P13)</f>
        <v>75</v>
      </c>
      <c r="P14" s="275"/>
      <c r="Q14" s="370">
        <f>IF('Prod. Escrita'!Y13="","",'Prod. Escrita'!Y13)</f>
        <v>75</v>
      </c>
      <c r="R14" s="371"/>
      <c r="S14" s="371"/>
      <c r="T14" s="372"/>
      <c r="U14" s="270" t="str">
        <f>IF(AREAS((C14,F14,I14,L14,O14))-COUNT(C14,F14,I14,L14,O14)=0,ROUND(SUM($C14*$E$7,$F14*$H$7,$I14*$K$7,$L14*$N$6,$O14*$S$6),0),"")</f>
        <v/>
      </c>
      <c r="V14" s="64" t="str">
        <f t="shared" si="0"/>
        <v/>
      </c>
      <c r="W14" s="192">
        <v>4</v>
      </c>
      <c r="X14" s="178" t="str">
        <f t="shared" si="1"/>
        <v/>
      </c>
      <c r="Y14" s="237" t="str">
        <f>IF(AREAS((D14,G14,J14,M14,Q14))-COUNT(D14,G14,J14,M14,Q14)=0,ROUND(SUM($D14*$E$7,$G14*$H$7,$J14*$K$7,$M14*$N$6,$Q14*$S$6),0),"")</f>
        <v/>
      </c>
      <c r="Z14" s="185" t="str">
        <f t="shared" si="2"/>
        <v/>
      </c>
      <c r="AA14" s="230"/>
      <c r="AB14" s="195">
        <v>4</v>
      </c>
      <c r="AC14" s="90"/>
    </row>
    <row r="15" spans="1:41" ht="13.5" customHeight="1" thickBot="1" x14ac:dyDescent="0.3">
      <c r="A15" s="98">
        <v>7</v>
      </c>
      <c r="B15" s="149" t="s">
        <v>62</v>
      </c>
      <c r="C15" s="158">
        <f>IF('Comp. Escrita'!R14="","",'Comp. Escrita'!R14)</f>
        <v>50</v>
      </c>
      <c r="D15" s="380">
        <f>IF('Comp. Escrita'!AC14="","",'Comp. Escrita'!AC14)</f>
        <v>60</v>
      </c>
      <c r="E15" s="381"/>
      <c r="F15" s="165">
        <f>IF(Oralidade!N14="","",Oralidade!N14)</f>
        <v>70</v>
      </c>
      <c r="G15" s="380">
        <f>IF(Oralidade!V14="","",Oralidade!V14)</f>
        <v>1</v>
      </c>
      <c r="H15" s="381"/>
      <c r="I15" s="165">
        <f>IF(Oralidade!O14="","",Oralidade!O14)</f>
        <v>30</v>
      </c>
      <c r="J15" s="380">
        <f>IF(Oralidade!W14="","",Oralidade!W14)</f>
        <v>1</v>
      </c>
      <c r="K15" s="381"/>
      <c r="L15" s="468"/>
      <c r="M15" s="469"/>
      <c r="N15" s="470"/>
      <c r="O15" s="276">
        <f>IF('Prod. Escrita'!P14="","",'Prod. Escrita'!P14)</f>
        <v>67.5</v>
      </c>
      <c r="P15" s="277"/>
      <c r="Q15" s="401">
        <f>IF('Prod. Escrita'!Y14="","",'Prod. Escrita'!Y14)</f>
        <v>0.5</v>
      </c>
      <c r="R15" s="402"/>
      <c r="S15" s="402"/>
      <c r="T15" s="403"/>
      <c r="U15" s="269" t="str">
        <f>IF(AREAS((C15,F15,I15,L15,O15))-COUNT(C15,F15,I15,L15,O15)=0,ROUND(SUM($C15*$E$7,$F15*$H$7,$I15*$K$7,$L15*$N$6,$O15*$S$6),0),"")</f>
        <v/>
      </c>
      <c r="V15" s="65" t="str">
        <f t="shared" si="0"/>
        <v/>
      </c>
      <c r="W15" s="193"/>
      <c r="X15" s="177" t="str">
        <f t="shared" si="1"/>
        <v/>
      </c>
      <c r="Y15" s="200" t="str">
        <f>IF(AREAS((D15,G15,J15,M15,Q15))-COUNT(D15,G15,J15,M15,Q15)=0,ROUND(SUM($D15*$E$7,$G15*$H$7,$J15*$K$7,$M15*$N$6,$Q15*$S$6),0),"")</f>
        <v/>
      </c>
      <c r="Z15" s="185" t="str">
        <f t="shared" si="2"/>
        <v/>
      </c>
      <c r="AA15" s="231"/>
      <c r="AB15" s="196" t="str">
        <f t="shared" si="3"/>
        <v/>
      </c>
      <c r="AC15" s="90"/>
    </row>
    <row r="16" spans="1:41" ht="13.5" customHeight="1" thickBot="1" x14ac:dyDescent="0.3">
      <c r="A16" s="97">
        <v>8</v>
      </c>
      <c r="B16" s="149" t="s">
        <v>63</v>
      </c>
      <c r="C16" s="157">
        <f>IF('Comp. Escrita'!R15="","",'Comp. Escrita'!R15)</f>
        <v>30</v>
      </c>
      <c r="D16" s="382">
        <f>IF('Comp. Escrita'!AC15="","",'Comp. Escrita'!AC15)</f>
        <v>40</v>
      </c>
      <c r="E16" s="383"/>
      <c r="F16" s="164">
        <f>IF(Oralidade!N15="","",Oralidade!N15)</f>
        <v>90</v>
      </c>
      <c r="G16" s="382">
        <f>IF(Oralidade!V15="","",Oralidade!V15)</f>
        <v>100</v>
      </c>
      <c r="H16" s="383"/>
      <c r="I16" s="164">
        <f>IF(Oralidade!O15="","",Oralidade!O15)</f>
        <v>70</v>
      </c>
      <c r="J16" s="382">
        <f>IF(Oralidade!W15="","",Oralidade!W15)</f>
        <v>65</v>
      </c>
      <c r="K16" s="383"/>
      <c r="L16" s="465"/>
      <c r="M16" s="466"/>
      <c r="N16" s="467"/>
      <c r="O16" s="274">
        <f>IF('Prod. Escrita'!P15="","",'Prod. Escrita'!P15)</f>
        <v>72.5</v>
      </c>
      <c r="P16" s="275"/>
      <c r="Q16" s="370">
        <f>IF('Prod. Escrita'!Y15="","",'Prod. Escrita'!Y15)</f>
        <v>62.5</v>
      </c>
      <c r="R16" s="371"/>
      <c r="S16" s="371"/>
      <c r="T16" s="372"/>
      <c r="U16" s="270" t="str">
        <f>IF(AREAS((C16,F16,I16,L16,O16))-COUNT(C16,F16,I16,L16,O16)=0,ROUND(SUM($C16*$E$7,$F16*$H$7,$I16*$K$7,$L16*$N$6,$O16*$S$6),0),"")</f>
        <v/>
      </c>
      <c r="V16" s="64" t="str">
        <f t="shared" si="0"/>
        <v/>
      </c>
      <c r="W16" s="192">
        <v>3</v>
      </c>
      <c r="X16" s="176" t="str">
        <f t="shared" si="1"/>
        <v/>
      </c>
      <c r="Y16" s="237" t="str">
        <f>IF(AREAS((D16,G16,J16,M16,Q16))-COUNT(D16,G16,J16,M16,Q16)=0,ROUND(SUM($D16*$E$7,$G16*$H$7,$J16*$K$7,$M16*$N$6,$Q16*$S$6),0),"")</f>
        <v/>
      </c>
      <c r="Z16" s="185" t="str">
        <f t="shared" si="2"/>
        <v/>
      </c>
      <c r="AA16" s="230"/>
      <c r="AB16" s="195" t="str">
        <f t="shared" si="3"/>
        <v/>
      </c>
      <c r="AC16" s="90"/>
    </row>
    <row r="17" spans="1:37" ht="13.5" customHeight="1" thickBot="1" x14ac:dyDescent="0.3">
      <c r="A17" s="98">
        <v>9</v>
      </c>
      <c r="B17" s="150" t="s">
        <v>64</v>
      </c>
      <c r="C17" s="158">
        <f>IF('Comp. Escrita'!R16="","",'Comp. Escrita'!R16)</f>
        <v>60</v>
      </c>
      <c r="D17" s="380">
        <f>IF('Comp. Escrita'!AC16="","",'Comp. Escrita'!AC16)</f>
        <v>60</v>
      </c>
      <c r="E17" s="381"/>
      <c r="F17" s="165">
        <f>IF(Oralidade!N16="","",Oralidade!N16)</f>
        <v>80</v>
      </c>
      <c r="G17" s="380">
        <f>IF(Oralidade!V16="","",Oralidade!V16)</f>
        <v>57</v>
      </c>
      <c r="H17" s="381"/>
      <c r="I17" s="165">
        <f>IF(Oralidade!O16="","",Oralidade!O16)</f>
        <v>80</v>
      </c>
      <c r="J17" s="380">
        <f>IF(Oralidade!W16="","",Oralidade!W16)</f>
        <v>55</v>
      </c>
      <c r="K17" s="381"/>
      <c r="L17" s="468"/>
      <c r="M17" s="469"/>
      <c r="N17" s="470"/>
      <c r="O17" s="276">
        <f>IF('Prod. Escrita'!P16="","",'Prod. Escrita'!P16)</f>
        <v>72</v>
      </c>
      <c r="P17" s="277"/>
      <c r="Q17" s="401">
        <f>IF('Prod. Escrita'!Y16="","",'Prod. Escrita'!Y16)</f>
        <v>50</v>
      </c>
      <c r="R17" s="402"/>
      <c r="S17" s="402"/>
      <c r="T17" s="403"/>
      <c r="U17" s="269" t="str">
        <f>IF(AREAS((C17,F17,I17,L17,O17))-COUNT(C17,F17,I17,L17,O17)=0,ROUND(SUM($C17*$E$7,$F17*$H$7,$I17*$K$7,$L17*$N$6,$O17*$S$6),0),"")</f>
        <v/>
      </c>
      <c r="V17" s="65" t="str">
        <f t="shared" si="0"/>
        <v/>
      </c>
      <c r="W17" s="193">
        <v>4</v>
      </c>
      <c r="X17" s="177" t="str">
        <f t="shared" si="1"/>
        <v/>
      </c>
      <c r="Y17" s="200" t="str">
        <f>IF(AREAS((D17,G17,J17,M17,Q17))-COUNT(D17,G17,J17,M17,Q17)=0,ROUND(SUM($D17*$E$7,$G17*$H$7,$J17*$K$7,$M17*$N$6,$Q17*$S$6),0),"")</f>
        <v/>
      </c>
      <c r="Z17" s="185" t="str">
        <f t="shared" si="2"/>
        <v/>
      </c>
      <c r="AA17" s="231"/>
      <c r="AB17" s="196" t="str">
        <f t="shared" si="3"/>
        <v/>
      </c>
      <c r="AC17" s="90"/>
    </row>
    <row r="18" spans="1:37" ht="13.5" customHeight="1" thickBot="1" x14ac:dyDescent="0.3">
      <c r="A18" s="97">
        <v>10</v>
      </c>
      <c r="B18" s="149" t="s">
        <v>65</v>
      </c>
      <c r="C18" s="157">
        <f>IF('Comp. Escrita'!R17="","",'Comp. Escrita'!R17)</f>
        <v>20</v>
      </c>
      <c r="D18" s="382">
        <f>IF('Comp. Escrita'!AC17="","",'Comp. Escrita'!AC17)</f>
        <v>40</v>
      </c>
      <c r="E18" s="383"/>
      <c r="F18" s="164">
        <f>IF(Oralidade!N17="","",Oralidade!N17)</f>
        <v>90</v>
      </c>
      <c r="G18" s="382">
        <f>IF(Oralidade!V17="","",Oralidade!V17)</f>
        <v>100</v>
      </c>
      <c r="H18" s="383"/>
      <c r="I18" s="164">
        <f>IF(Oralidade!O17="","",Oralidade!O17)</f>
        <v>60</v>
      </c>
      <c r="J18" s="382">
        <f>IF(Oralidade!W17="","",Oralidade!W17)</f>
        <v>55</v>
      </c>
      <c r="K18" s="383"/>
      <c r="L18" s="465"/>
      <c r="M18" s="466"/>
      <c r="N18" s="467"/>
      <c r="O18" s="274">
        <f>IF('Prod. Escrita'!P17="","",'Prod. Escrita'!P17)</f>
        <v>66.5</v>
      </c>
      <c r="P18" s="275"/>
      <c r="Q18" s="370">
        <f>IF('Prod. Escrita'!Y17="","",'Prod. Escrita'!Y17)</f>
        <v>62.5</v>
      </c>
      <c r="R18" s="371"/>
      <c r="S18" s="371"/>
      <c r="T18" s="372"/>
      <c r="U18" s="270" t="str">
        <f>IF(AREAS((C18,F18,I18,L18,O18))-COUNT(C18,F18,I18,L18,O18)=0,ROUND(SUM($C18*$E$7,$F18*$H$7,$I18*$K$7,$L18*$N$6,$O18*$S$6),0),"")</f>
        <v/>
      </c>
      <c r="V18" s="64" t="str">
        <f t="shared" si="0"/>
        <v/>
      </c>
      <c r="W18" s="192">
        <v>3</v>
      </c>
      <c r="X18" s="179" t="str">
        <f t="shared" si="1"/>
        <v/>
      </c>
      <c r="Y18" s="237" t="str">
        <f>IF(AREAS((D18,G18,J18,M18,Q18))-COUNT(D18,G18,J18,M18,Q18)=0,ROUND(SUM($D18*$E$7,$G18*$H$7,$J18*$K$7,$M18*$N$6,$Q18*$S$6),0),"")</f>
        <v/>
      </c>
      <c r="Z18" s="185" t="str">
        <f t="shared" si="2"/>
        <v/>
      </c>
      <c r="AA18" s="230"/>
      <c r="AB18" s="195" t="str">
        <f t="shared" si="3"/>
        <v/>
      </c>
      <c r="AC18" s="90"/>
    </row>
    <row r="19" spans="1:37" ht="13.5" customHeight="1" thickBot="1" x14ac:dyDescent="0.3">
      <c r="A19" s="98">
        <v>11</v>
      </c>
      <c r="B19" s="150" t="s">
        <v>66</v>
      </c>
      <c r="C19" s="158">
        <f>IF('Comp. Escrita'!R18="","",'Comp. Escrita'!R18)</f>
        <v>30</v>
      </c>
      <c r="D19" s="380">
        <f>IF('Comp. Escrita'!AC18="","",'Comp. Escrita'!AC18)</f>
        <v>40</v>
      </c>
      <c r="E19" s="381"/>
      <c r="F19" s="165">
        <f>IF(Oralidade!N18="","",Oralidade!N18)</f>
        <v>70</v>
      </c>
      <c r="G19" s="380">
        <f>IF(Oralidade!V18="","",Oralidade!V18)</f>
        <v>56</v>
      </c>
      <c r="H19" s="381"/>
      <c r="I19" s="165">
        <f>IF(Oralidade!O18="","",Oralidade!O18)</f>
        <v>40</v>
      </c>
      <c r="J19" s="380">
        <f>IF(Oralidade!W18="","",Oralidade!W18)</f>
        <v>45</v>
      </c>
      <c r="K19" s="381"/>
      <c r="L19" s="468"/>
      <c r="M19" s="469"/>
      <c r="N19" s="470"/>
      <c r="O19" s="276">
        <f>IF('Prod. Escrita'!P18="","",'Prod. Escrita'!P18)</f>
        <v>52.5</v>
      </c>
      <c r="P19" s="277"/>
      <c r="Q19" s="401">
        <f>IF('Prod. Escrita'!Y18="","",'Prod. Escrita'!Y18)</f>
        <v>42.5</v>
      </c>
      <c r="R19" s="402"/>
      <c r="S19" s="402"/>
      <c r="T19" s="403"/>
      <c r="U19" s="269" t="str">
        <f>IF(AREAS((C19,F19,I19,L19,O19))-COUNT(C19,F19,I19,L19,O19)=0,ROUND(SUM($C19*$E$7,$F19*$H$7,$I19*$K$7,$L19*$N$6,$O19*$S$6),0),"")</f>
        <v/>
      </c>
      <c r="V19" s="65" t="str">
        <f t="shared" si="0"/>
        <v/>
      </c>
      <c r="W19" s="193">
        <v>3</v>
      </c>
      <c r="X19" s="177" t="str">
        <f t="shared" si="1"/>
        <v/>
      </c>
      <c r="Y19" s="200" t="str">
        <f>IF(AREAS((D19,G19,J19,M19,Q19))-COUNT(D19,G19,J19,M19,Q19)=0,ROUND(SUM($D19*$E$7,$G19*$H$7,$J19*$K$7,$M19*$N$6,$Q19*$S$6),0),"")</f>
        <v/>
      </c>
      <c r="Z19" s="185" t="str">
        <f t="shared" si="2"/>
        <v/>
      </c>
      <c r="AA19" s="231"/>
      <c r="AB19" s="196" t="str">
        <f t="shared" si="3"/>
        <v/>
      </c>
      <c r="AC19" s="90"/>
    </row>
    <row r="20" spans="1:37" ht="13.5" customHeight="1" thickBot="1" x14ac:dyDescent="0.3">
      <c r="A20" s="97">
        <v>12</v>
      </c>
      <c r="B20" s="149" t="s">
        <v>67</v>
      </c>
      <c r="C20" s="157">
        <f>IF('Comp. Escrita'!R19="","",'Comp. Escrita'!R19)</f>
        <v>60</v>
      </c>
      <c r="D20" s="382">
        <f>IF('Comp. Escrita'!AC19="","",'Comp. Escrita'!AC19)</f>
        <v>40</v>
      </c>
      <c r="E20" s="383"/>
      <c r="F20" s="164">
        <f>IF(Oralidade!N19="","",Oralidade!N19)</f>
        <v>80</v>
      </c>
      <c r="G20" s="382">
        <f>IF(Oralidade!V19="","",Oralidade!V19)</f>
        <v>100</v>
      </c>
      <c r="H20" s="383"/>
      <c r="I20" s="164">
        <f>IF(Oralidade!O19="","",Oralidade!O19)</f>
        <v>80</v>
      </c>
      <c r="J20" s="382">
        <f>IF(Oralidade!W19="","",Oralidade!W19)</f>
        <v>65</v>
      </c>
      <c r="K20" s="383"/>
      <c r="L20" s="465"/>
      <c r="M20" s="466"/>
      <c r="N20" s="467"/>
      <c r="O20" s="274">
        <f>IF('Prod. Escrita'!P19="","",'Prod. Escrita'!P19)</f>
        <v>82</v>
      </c>
      <c r="P20" s="275"/>
      <c r="Q20" s="370">
        <f>IF('Prod. Escrita'!Y19="","",'Prod. Escrita'!Y19)</f>
        <v>52.5</v>
      </c>
      <c r="R20" s="371"/>
      <c r="S20" s="371"/>
      <c r="T20" s="372"/>
      <c r="U20" s="270" t="str">
        <f>IF(AREAS((C20,F20,I20,L20,O20))-COUNT(C20,F20,I20,L20,O20)=0,ROUND(SUM($C20*$E$7,$F20*$H$7,$I20*$K$7,$L20*$N$6,$O20*$S$6),0),"")</f>
        <v/>
      </c>
      <c r="V20" s="64" t="str">
        <f t="shared" si="0"/>
        <v/>
      </c>
      <c r="W20" s="192">
        <v>4</v>
      </c>
      <c r="X20" s="176" t="str">
        <f t="shared" si="1"/>
        <v/>
      </c>
      <c r="Y20" s="237" t="str">
        <f>IF(AREAS((D20,G20,J20,M20,Q20))-COUNT(D20,G20,J20,M20,Q20)=0,ROUND(SUM($D20*$E$7,$G20*$H$7,$J20*$K$7,$M20*$N$6,$Q20*$S$6),0),"")</f>
        <v/>
      </c>
      <c r="Z20" s="185" t="str">
        <f t="shared" si="2"/>
        <v/>
      </c>
      <c r="AA20" s="230"/>
      <c r="AB20" s="195" t="str">
        <f t="shared" si="3"/>
        <v/>
      </c>
      <c r="AC20" s="90"/>
      <c r="AH20" s="99"/>
    </row>
    <row r="21" spans="1:37" ht="13.5" customHeight="1" thickBot="1" x14ac:dyDescent="0.3">
      <c r="A21" s="98">
        <v>13</v>
      </c>
      <c r="B21" s="150" t="s">
        <v>68</v>
      </c>
      <c r="C21" s="158">
        <f>IF('Comp. Escrita'!R20="","",'Comp. Escrita'!R20)</f>
        <v>50</v>
      </c>
      <c r="D21" s="380">
        <f>IF('Comp. Escrita'!AC20="","",'Comp. Escrita'!AC20)</f>
        <v>20</v>
      </c>
      <c r="E21" s="381"/>
      <c r="F21" s="165">
        <f>IF(Oralidade!N20="","",Oralidade!N20)</f>
        <v>90</v>
      </c>
      <c r="G21" s="380">
        <f>IF(Oralidade!V20="","",Oralidade!V20)</f>
        <v>100</v>
      </c>
      <c r="H21" s="381"/>
      <c r="I21" s="165">
        <f>IF(Oralidade!O20="","",Oralidade!O20)</f>
        <v>60</v>
      </c>
      <c r="J21" s="380">
        <f>IF(Oralidade!W20="","",Oralidade!W20)</f>
        <v>60</v>
      </c>
      <c r="K21" s="381"/>
      <c r="L21" s="468"/>
      <c r="M21" s="469"/>
      <c r="N21" s="470"/>
      <c r="O21" s="276">
        <f>IF('Prod. Escrita'!P20="","",'Prod. Escrita'!P20)</f>
        <v>64.5</v>
      </c>
      <c r="P21" s="277"/>
      <c r="Q21" s="401">
        <f>IF('Prod. Escrita'!Y20="","",'Prod. Escrita'!Y20)</f>
        <v>57.5</v>
      </c>
      <c r="R21" s="402"/>
      <c r="S21" s="402"/>
      <c r="T21" s="403"/>
      <c r="U21" s="269" t="str">
        <f>IF(AREAS((C21,F21,I21,L21,O21))-COUNT(C21,F21,I21,L21,O21)=0,ROUND(SUM($C21*$E$7,$F21*$H$7,$I21*$K$7,$L21*$N$6,$O21*$S$6),0),"")</f>
        <v/>
      </c>
      <c r="V21" s="65" t="str">
        <f t="shared" si="0"/>
        <v/>
      </c>
      <c r="W21" s="193">
        <v>4</v>
      </c>
      <c r="X21" s="177" t="str">
        <f t="shared" si="1"/>
        <v/>
      </c>
      <c r="Y21" s="200" t="str">
        <f>IF(AREAS((D21,G21,J21,M21,Q21))-COUNT(D21,G21,J21,M21,Q21)=0,ROUND(SUM($D21*$E$7,$G21*$H$7,$J21*$K$7,$M21*$N$6,$Q21*$S$6),0),"")</f>
        <v/>
      </c>
      <c r="Z21" s="185" t="str">
        <f t="shared" si="2"/>
        <v/>
      </c>
      <c r="AA21" s="231"/>
      <c r="AB21" s="196">
        <v>3</v>
      </c>
      <c r="AC21" s="90"/>
    </row>
    <row r="22" spans="1:37" ht="13.5" customHeight="1" thickBot="1" x14ac:dyDescent="0.3">
      <c r="A22" s="97">
        <v>14</v>
      </c>
      <c r="B22" s="149" t="s">
        <v>69</v>
      </c>
      <c r="C22" s="157">
        <f>IF('Comp. Escrita'!R21="","",'Comp. Escrita'!R21)</f>
        <v>90</v>
      </c>
      <c r="D22" s="382">
        <f>IF('Comp. Escrita'!AC21="","",'Comp. Escrita'!AC21)</f>
        <v>40</v>
      </c>
      <c r="E22" s="383"/>
      <c r="F22" s="164">
        <f>IF(Oralidade!N21="","",Oralidade!N21)</f>
        <v>100</v>
      </c>
      <c r="G22" s="382">
        <f>IF(Oralidade!V21="","",Oralidade!V21)</f>
        <v>100</v>
      </c>
      <c r="H22" s="383"/>
      <c r="I22" s="164">
        <f>IF(Oralidade!O21="","",Oralidade!O21)</f>
        <v>90</v>
      </c>
      <c r="J22" s="382">
        <f>IF(Oralidade!W21="","",Oralidade!W21)</f>
        <v>80</v>
      </c>
      <c r="K22" s="383"/>
      <c r="L22" s="465"/>
      <c r="M22" s="466"/>
      <c r="N22" s="467"/>
      <c r="O22" s="274">
        <f>IF('Prod. Escrita'!P21="","",'Prod. Escrita'!P21)</f>
        <v>94.5</v>
      </c>
      <c r="P22" s="275"/>
      <c r="Q22" s="370">
        <f>IF('Prod. Escrita'!Y21="","",'Prod. Escrita'!Y21)</f>
        <v>75</v>
      </c>
      <c r="R22" s="371"/>
      <c r="S22" s="371"/>
      <c r="T22" s="372"/>
      <c r="U22" s="270" t="str">
        <f>IF(AREAS((C22,F22,I22,L22,O22))-COUNT(C22,F22,I22,L22,O22)=0,ROUND(SUM($C22*$E$7,$F22*$H$7,$I22*$K$7,$L22*$N$6,$O22*$S$6),0),"")</f>
        <v/>
      </c>
      <c r="V22" s="64" t="str">
        <f t="shared" si="0"/>
        <v/>
      </c>
      <c r="W22" s="192">
        <v>5</v>
      </c>
      <c r="X22" s="176" t="str">
        <f t="shared" si="1"/>
        <v/>
      </c>
      <c r="Y22" s="237" t="str">
        <f>IF(AREAS((D22,G22,J22,M22,Q22))-COUNT(D22,G22,J22,M22,Q22)=0,ROUND(SUM($D22*$E$7,$G22*$H$7,$J22*$K$7,$M22*$N$6,$Q22*$S$6),0),"")</f>
        <v/>
      </c>
      <c r="Z22" s="185" t="str">
        <f t="shared" si="2"/>
        <v/>
      </c>
      <c r="AA22" s="230"/>
      <c r="AB22" s="195" t="str">
        <f t="shared" si="3"/>
        <v/>
      </c>
      <c r="AC22" s="90"/>
    </row>
    <row r="23" spans="1:37" ht="13.5" customHeight="1" thickBot="1" x14ac:dyDescent="0.3">
      <c r="A23" s="98">
        <v>15</v>
      </c>
      <c r="B23" s="150" t="s">
        <v>70</v>
      </c>
      <c r="C23" s="158">
        <f>IF('Comp. Escrita'!R22="","",'Comp. Escrita'!R22)</f>
        <v>0</v>
      </c>
      <c r="D23" s="380">
        <f>IF('Comp. Escrita'!AC22="","",'Comp. Escrita'!AC22)</f>
        <v>60</v>
      </c>
      <c r="E23" s="381"/>
      <c r="F23" s="165">
        <f>IF(Oralidade!N22="","",Oralidade!N22)</f>
        <v>80</v>
      </c>
      <c r="G23" s="380">
        <f>IF(Oralidade!V22="","",Oralidade!V22)</f>
        <v>1</v>
      </c>
      <c r="H23" s="381"/>
      <c r="I23" s="165">
        <f>IF(Oralidade!O22="","",Oralidade!O22)</f>
        <v>30</v>
      </c>
      <c r="J23" s="380">
        <f>IF(Oralidade!W22="","",Oralidade!W22)</f>
        <v>1</v>
      </c>
      <c r="K23" s="381"/>
      <c r="L23" s="468"/>
      <c r="M23" s="469"/>
      <c r="N23" s="470"/>
      <c r="O23" s="276">
        <f>IF('Prod. Escrita'!P22="","",'Prod. Escrita'!P22)</f>
        <v>44.5</v>
      </c>
      <c r="P23" s="277"/>
      <c r="Q23" s="401">
        <f>IF('Prod. Escrita'!Y22="","",'Prod. Escrita'!Y22)</f>
        <v>0.5</v>
      </c>
      <c r="R23" s="402"/>
      <c r="S23" s="402"/>
      <c r="T23" s="403"/>
      <c r="U23" s="269" t="str">
        <f>IF(AREAS((C23,F23,I23,L23,O23))-COUNT(C23,F23,I23,L23,O23)=0,ROUND(SUM($C23*$E$7,$F23*$H$7,$I23*$K$7,$L23*$N$6,$O23*$S$6),0),"")</f>
        <v/>
      </c>
      <c r="V23" s="65" t="str">
        <f t="shared" si="0"/>
        <v/>
      </c>
      <c r="W23" s="193"/>
      <c r="X23" s="177" t="str">
        <f t="shared" si="1"/>
        <v/>
      </c>
      <c r="Y23" s="200" t="str">
        <f>IF(AREAS((D23,G23,J23,M23,Q23))-COUNT(D23,G23,J23,M23,Q23)=0,ROUND(SUM($D23*$E$7,$G23*$H$7,$J23*$K$7,$M23*$N$6,$Q23*$S$6),0),"")</f>
        <v/>
      </c>
      <c r="Z23" s="185" t="str">
        <f t="shared" si="2"/>
        <v/>
      </c>
      <c r="AA23" s="231"/>
      <c r="AB23" s="196" t="str">
        <f t="shared" si="3"/>
        <v/>
      </c>
      <c r="AC23" s="90"/>
    </row>
    <row r="24" spans="1:37" ht="13.5" customHeight="1" thickBot="1" x14ac:dyDescent="0.3">
      <c r="A24" s="97">
        <v>16</v>
      </c>
      <c r="B24" s="149" t="s">
        <v>71</v>
      </c>
      <c r="C24" s="157">
        <f>IF('Comp. Escrita'!R23="","",'Comp. Escrita'!R23)</f>
        <v>30</v>
      </c>
      <c r="D24" s="382">
        <f>IF('Comp. Escrita'!AC23="","",'Comp. Escrita'!AC23)</f>
        <v>20</v>
      </c>
      <c r="E24" s="383"/>
      <c r="F24" s="164">
        <f>IF(Oralidade!N23="","",Oralidade!N23)</f>
        <v>90</v>
      </c>
      <c r="G24" s="382">
        <f>IF(Oralidade!V23="","",Oralidade!V23)</f>
        <v>43</v>
      </c>
      <c r="H24" s="383"/>
      <c r="I24" s="164">
        <f>IF(Oralidade!O23="","",Oralidade!O23)</f>
        <v>40</v>
      </c>
      <c r="J24" s="382">
        <f>IF(Oralidade!W23="","",Oralidade!W23)</f>
        <v>40</v>
      </c>
      <c r="K24" s="383"/>
      <c r="L24" s="465"/>
      <c r="M24" s="466"/>
      <c r="N24" s="467"/>
      <c r="O24" s="274">
        <f>IF('Prod. Escrita'!P23="","",'Prod. Escrita'!P23)</f>
        <v>25</v>
      </c>
      <c r="P24" s="275"/>
      <c r="Q24" s="370">
        <f>IF('Prod. Escrita'!Y23="","",'Prod. Escrita'!Y23)</f>
        <v>0.5</v>
      </c>
      <c r="R24" s="371"/>
      <c r="S24" s="371"/>
      <c r="T24" s="372"/>
      <c r="U24" s="270" t="str">
        <f>IF(AREAS((C24,F24,I24,L24,O24))-COUNT(C24,F24,I24,L24,O24)=0,ROUND(SUM($C24*$E$7,$F24*$H$7,$I24*$K$7,$L24*$N$6,$O24*$S$6),0),"")</f>
        <v/>
      </c>
      <c r="V24" s="64" t="str">
        <f t="shared" si="0"/>
        <v/>
      </c>
      <c r="W24" s="192"/>
      <c r="X24" s="179" t="str">
        <f t="shared" si="1"/>
        <v/>
      </c>
      <c r="Y24" s="237" t="str">
        <f>IF(AREAS((D24,G24,J24,M24,Q24))-COUNT(D24,G24,J24,M24,Q24)=0,ROUND(SUM($D24*$E$7,$G24*$H$7,$J24*$K$7,$M24*$N$6,$Q24*$S$6),0),"")</f>
        <v/>
      </c>
      <c r="Z24" s="185" t="str">
        <f t="shared" si="2"/>
        <v/>
      </c>
      <c r="AA24" s="230"/>
      <c r="AB24" s="195" t="str">
        <f t="shared" si="3"/>
        <v/>
      </c>
      <c r="AC24" s="90"/>
    </row>
    <row r="25" spans="1:37" ht="13.5" customHeight="1" thickBot="1" x14ac:dyDescent="0.3">
      <c r="A25" s="98">
        <v>17</v>
      </c>
      <c r="B25" s="150" t="s">
        <v>72</v>
      </c>
      <c r="C25" s="158">
        <f>IF('Comp. Escrita'!R24="","",'Comp. Escrita'!R24)</f>
        <v>90</v>
      </c>
      <c r="D25" s="380">
        <f>IF('Comp. Escrita'!AC24="","",'Comp. Escrita'!AC24)</f>
        <v>80</v>
      </c>
      <c r="E25" s="381"/>
      <c r="F25" s="165">
        <f>IF(Oralidade!N24="","",Oralidade!N24)</f>
        <v>90</v>
      </c>
      <c r="G25" s="380">
        <f>IF(Oralidade!V24="","",Oralidade!V24)</f>
        <v>85</v>
      </c>
      <c r="H25" s="381"/>
      <c r="I25" s="165">
        <f>IF(Oralidade!O24="","",Oralidade!O24)</f>
        <v>75</v>
      </c>
      <c r="J25" s="380">
        <f>IF(Oralidade!W24="","",Oralidade!W24)</f>
        <v>75</v>
      </c>
      <c r="K25" s="381"/>
      <c r="L25" s="468"/>
      <c r="M25" s="469"/>
      <c r="N25" s="470"/>
      <c r="O25" s="276">
        <f>IF('Prod. Escrita'!P24="","",'Prod. Escrita'!P24)</f>
        <v>85</v>
      </c>
      <c r="P25" s="277"/>
      <c r="Q25" s="401">
        <f>IF('Prod. Escrita'!Y24="","",'Prod. Escrita'!Y24)</f>
        <v>67.5</v>
      </c>
      <c r="R25" s="402"/>
      <c r="S25" s="402"/>
      <c r="T25" s="403"/>
      <c r="U25" s="269" t="str">
        <f>IF(AREAS((C25,F25,I25,L25,O25))-COUNT(C25,F25,I25,L25,O25)=0,ROUND(SUM($C25*$E$7,$F25*$H$7,$I25*$K$7,$L25*$N$6,$O25*$S$6),0),"")</f>
        <v/>
      </c>
      <c r="V25" s="65" t="str">
        <f t="shared" si="0"/>
        <v/>
      </c>
      <c r="W25" s="193">
        <v>4</v>
      </c>
      <c r="X25" s="180">
        <v>4</v>
      </c>
      <c r="Y25" s="200" t="str">
        <f>IF(AREAS((D25,G25,J25,M25,Q25))-COUNT(D25,G25,J25,M25,Q25)=0,ROUND(SUM($D25*$E$7,$G25*$H$7,$J25*$K$7,$M25*$N$6,$Q25*$S$6),0),"")</f>
        <v/>
      </c>
      <c r="Z25" s="185" t="str">
        <f t="shared" si="2"/>
        <v/>
      </c>
      <c r="AA25" s="231"/>
      <c r="AB25" s="196" t="str">
        <f t="shared" si="3"/>
        <v/>
      </c>
      <c r="AC25" s="90"/>
    </row>
    <row r="26" spans="1:37" ht="13.5" customHeight="1" thickBot="1" x14ac:dyDescent="0.3">
      <c r="A26" s="97">
        <v>18</v>
      </c>
      <c r="B26" s="149" t="s">
        <v>73</v>
      </c>
      <c r="C26" s="157">
        <f>IF('Comp. Escrita'!R25="","",'Comp. Escrita'!R25)</f>
        <v>60</v>
      </c>
      <c r="D26" s="382">
        <f>IF('Comp. Escrita'!AC25="","",'Comp. Escrita'!AC25)</f>
        <v>0</v>
      </c>
      <c r="E26" s="383"/>
      <c r="F26" s="164">
        <f>IF(Oralidade!N25="","",Oralidade!N25)</f>
        <v>80</v>
      </c>
      <c r="G26" s="382">
        <f>IF(Oralidade!V25="","",Oralidade!V25)</f>
        <v>56</v>
      </c>
      <c r="H26" s="383"/>
      <c r="I26" s="164">
        <f>IF(Oralidade!O25="","",Oralidade!O25)</f>
        <v>55</v>
      </c>
      <c r="J26" s="382">
        <f>IF(Oralidade!W25="","",Oralidade!W25)</f>
        <v>55</v>
      </c>
      <c r="K26" s="383"/>
      <c r="L26" s="465"/>
      <c r="M26" s="466"/>
      <c r="N26" s="467"/>
      <c r="O26" s="274">
        <f>IF('Prod. Escrita'!P25="","",'Prod. Escrita'!P25)</f>
        <v>70</v>
      </c>
      <c r="P26" s="275"/>
      <c r="Q26" s="370">
        <f>IF('Prod. Escrita'!Y25="","",'Prod. Escrita'!Y25)</f>
        <v>65</v>
      </c>
      <c r="R26" s="371"/>
      <c r="S26" s="371"/>
      <c r="T26" s="372"/>
      <c r="U26" s="270" t="str">
        <f>IF(AREAS((C26,F26,I26,L26,O26))-COUNT(C26,F26,I26,L26,O26)=0,ROUND(SUM($C26*$E$7,$F26*$H$7,$I26*$K$7,$L26*$N$6,$O26*$S$6),0),"")</f>
        <v/>
      </c>
      <c r="V26" s="64" t="str">
        <f t="shared" si="0"/>
        <v/>
      </c>
      <c r="W26" s="192">
        <v>3</v>
      </c>
      <c r="X26" s="178" t="str">
        <f t="shared" si="1"/>
        <v/>
      </c>
      <c r="Y26" s="237" t="str">
        <f>IF(AREAS((D26,G26,J26,M26,Q26))-COUNT(D26,G26,J26,M26,Q26)=0,ROUND(SUM($D26*$E$7,$G26*$H$7,$J26*$K$7,$M26*$N$6,$Q26*$S$6),0),"")</f>
        <v/>
      </c>
      <c r="Z26" s="185" t="str">
        <f t="shared" si="2"/>
        <v/>
      </c>
      <c r="AA26" s="230"/>
      <c r="AB26" s="195" t="str">
        <f t="shared" si="3"/>
        <v/>
      </c>
      <c r="AC26" s="90"/>
    </row>
    <row r="27" spans="1:37" ht="13.5" customHeight="1" thickBot="1" x14ac:dyDescent="0.3">
      <c r="A27" s="98">
        <v>19</v>
      </c>
      <c r="B27" s="150" t="s">
        <v>74</v>
      </c>
      <c r="C27" s="158">
        <f>IF('Comp. Escrita'!R26="","",'Comp. Escrita'!R26)</f>
        <v>30</v>
      </c>
      <c r="D27" s="380">
        <f>IF('Comp. Escrita'!AC26="","",'Comp. Escrita'!AC26)</f>
        <v>0</v>
      </c>
      <c r="E27" s="381"/>
      <c r="F27" s="165">
        <f>IF(Oralidade!N26="","",Oralidade!N26)</f>
        <v>90</v>
      </c>
      <c r="G27" s="380">
        <f>IF(Oralidade!V26="","",Oralidade!V26)</f>
        <v>28</v>
      </c>
      <c r="H27" s="381"/>
      <c r="I27" s="165">
        <f>IF(Oralidade!O26="","",Oralidade!O26)</f>
        <v>40</v>
      </c>
      <c r="J27" s="380">
        <f>IF(Oralidade!W26="","",Oralidade!W26)</f>
        <v>40</v>
      </c>
      <c r="K27" s="381"/>
      <c r="L27" s="468"/>
      <c r="M27" s="469"/>
      <c r="N27" s="470"/>
      <c r="O27" s="276">
        <f>IF('Prod. Escrita'!P26="","",'Prod. Escrita'!P26)</f>
        <v>70</v>
      </c>
      <c r="P27" s="277"/>
      <c r="Q27" s="401">
        <f>IF('Prod. Escrita'!Y26="","",'Prod. Escrita'!Y26)</f>
        <v>0.5</v>
      </c>
      <c r="R27" s="402"/>
      <c r="S27" s="402"/>
      <c r="T27" s="403"/>
      <c r="U27" s="269" t="str">
        <f>IF(AREAS((C27,F27,I27,L27,O27))-COUNT(C27,F27,I27,L27,O27)=0,ROUND(SUM($C27*$E$7,$F27*$H$7,$I27*$K$7,$L27*$N$6,$O27*$S$6),0),"")</f>
        <v/>
      </c>
      <c r="V27" s="65" t="str">
        <f t="shared" si="0"/>
        <v/>
      </c>
      <c r="W27" s="193"/>
      <c r="X27" s="181" t="str">
        <f t="shared" si="1"/>
        <v/>
      </c>
      <c r="Y27" s="200" t="str">
        <f>IF(AREAS((D27,G27,J27,M27,Q27))-COUNT(D27,G27,J27,M27,Q27)=0,ROUND(SUM($D27*$E$7,$G27*$H$7,$J27*$K$7,$M27*$N$6,$Q27*$S$6),0),"")</f>
        <v/>
      </c>
      <c r="Z27" s="185" t="str">
        <f t="shared" si="2"/>
        <v/>
      </c>
      <c r="AA27" s="231"/>
      <c r="AB27" s="196">
        <v>2</v>
      </c>
      <c r="AC27" s="90"/>
    </row>
    <row r="28" spans="1:37" ht="13.5" customHeight="1" thickBot="1" x14ac:dyDescent="0.3">
      <c r="A28" s="97">
        <v>20</v>
      </c>
      <c r="B28" s="149" t="s">
        <v>75</v>
      </c>
      <c r="C28" s="157">
        <f>IF('Comp. Escrita'!R27="","",'Comp. Escrita'!R27)</f>
        <v>60</v>
      </c>
      <c r="D28" s="382">
        <f>IF('Comp. Escrita'!AC27="","",'Comp. Escrita'!AC27)</f>
        <v>40</v>
      </c>
      <c r="E28" s="383"/>
      <c r="F28" s="164">
        <f>IF(Oralidade!N27="","",Oralidade!N27)</f>
        <v>90</v>
      </c>
      <c r="G28" s="382">
        <f>IF(Oralidade!V27="","",Oralidade!V27)</f>
        <v>86</v>
      </c>
      <c r="H28" s="383"/>
      <c r="I28" s="164">
        <f>IF(Oralidade!O27="","",Oralidade!O27)</f>
        <v>70</v>
      </c>
      <c r="J28" s="382">
        <f>IF(Oralidade!W27="","",Oralidade!W27)</f>
        <v>80</v>
      </c>
      <c r="K28" s="383"/>
      <c r="L28" s="465"/>
      <c r="M28" s="466"/>
      <c r="N28" s="467"/>
      <c r="O28" s="274">
        <f>IF('Prod. Escrita'!P27="","",'Prod. Escrita'!P27)</f>
        <v>92</v>
      </c>
      <c r="P28" s="275"/>
      <c r="Q28" s="370">
        <f>IF('Prod. Escrita'!Y27="","",'Prod. Escrita'!Y27)</f>
        <v>70</v>
      </c>
      <c r="R28" s="371"/>
      <c r="S28" s="371"/>
      <c r="T28" s="372"/>
      <c r="U28" s="270" t="str">
        <f>IF(AREAS((C28,F28,I28,L28,O28))-COUNT(C28,F28,I28,L28,O28)=0,ROUND(SUM($C28*$E$7,$F28*$H$7,$I28*$K$7,$L28*$N$6,$O28*$S$6),0),"")</f>
        <v/>
      </c>
      <c r="V28" s="64" t="str">
        <f t="shared" si="0"/>
        <v/>
      </c>
      <c r="W28" s="192">
        <v>4</v>
      </c>
      <c r="X28" s="179" t="str">
        <f t="shared" si="1"/>
        <v/>
      </c>
      <c r="Y28" s="237" t="str">
        <f>IF(AREAS((D28,G28,J28,M28,Q28))-COUNT(D28,G28,J28,M28,Q28)=0,ROUND(SUM($D28*$E$7,$G28*$H$7,$J28*$K$7,$M28*$N$6,$Q28*$S$6),0),"")</f>
        <v/>
      </c>
      <c r="Z28" s="185" t="str">
        <f t="shared" si="2"/>
        <v/>
      </c>
      <c r="AA28" s="230"/>
      <c r="AB28" s="195" t="str">
        <f t="shared" si="3"/>
        <v/>
      </c>
      <c r="AC28" s="90"/>
    </row>
    <row r="29" spans="1:37" ht="13.5" customHeight="1" x14ac:dyDescent="0.25">
      <c r="A29" s="98">
        <v>21</v>
      </c>
      <c r="B29" s="150" t="s">
        <v>76</v>
      </c>
      <c r="C29" s="158">
        <f>IF('Comp. Escrita'!R28="","",'Comp. Escrita'!R28)</f>
        <v>100</v>
      </c>
      <c r="D29" s="380">
        <f>IF('Comp. Escrita'!AC28="","",'Comp. Escrita'!AC28)</f>
        <v>100</v>
      </c>
      <c r="E29" s="381"/>
      <c r="F29" s="165">
        <f>IF(Oralidade!N28="","",Oralidade!N28)</f>
        <v>90</v>
      </c>
      <c r="G29" s="380">
        <f>IF(Oralidade!V28="","",Oralidade!V28)</f>
        <v>86</v>
      </c>
      <c r="H29" s="381"/>
      <c r="I29" s="165">
        <f>IF(Oralidade!O28="","",Oralidade!O28)</f>
        <v>90</v>
      </c>
      <c r="J29" s="380">
        <f>IF(Oralidade!W28="","",Oralidade!W28)</f>
        <v>90</v>
      </c>
      <c r="K29" s="381"/>
      <c r="L29" s="468"/>
      <c r="M29" s="469"/>
      <c r="N29" s="470"/>
      <c r="O29" s="276">
        <f>IF('Prod. Escrita'!P28="","",'Prod. Escrita'!P28)</f>
        <v>92.5</v>
      </c>
      <c r="P29" s="277"/>
      <c r="Q29" s="401">
        <f>IF('Prod. Escrita'!Y28="","",'Prod. Escrita'!Y28)</f>
        <v>67.5</v>
      </c>
      <c r="R29" s="402"/>
      <c r="S29" s="402"/>
      <c r="T29" s="403"/>
      <c r="U29" s="269" t="str">
        <f>IF(AREAS((C29,F29,I29,L29,O29))-COUNT(C29,F29,I29,L29,O29)=0,ROUND(SUM($C29*$E$7,$F29*$H$7,$I29*$K$7,$L29*$N$6,$O29*$S$6),0),"")</f>
        <v/>
      </c>
      <c r="V29" s="65" t="str">
        <f t="shared" si="0"/>
        <v/>
      </c>
      <c r="W29" s="193">
        <v>5</v>
      </c>
      <c r="X29" s="181" t="str">
        <f t="shared" si="1"/>
        <v/>
      </c>
      <c r="Y29" s="200" t="str">
        <f>IF(AREAS((D29,G29,J29,M29,Q29))-COUNT(D29,G29,J29,M29,Q29)=0,ROUND(SUM($D29*$E$7,$G29*$H$7,$J29*$K$7,$M29*$N$6,$Q29*$S$6),0),"")</f>
        <v/>
      </c>
      <c r="Z29" s="185" t="str">
        <f t="shared" si="2"/>
        <v/>
      </c>
      <c r="AA29" s="231"/>
      <c r="AB29" s="196" t="str">
        <f t="shared" si="3"/>
        <v/>
      </c>
      <c r="AC29" s="90"/>
    </row>
    <row r="30" spans="1:37" ht="13.5" customHeight="1" x14ac:dyDescent="0.25">
      <c r="A30" s="97"/>
      <c r="B30" s="239" t="s">
        <v>89</v>
      </c>
      <c r="C30" s="157">
        <f>IF('Comp. Escrita'!R29="","",'Comp. Escrita'!R29)</f>
        <v>0</v>
      </c>
      <c r="D30" s="382">
        <f>IF('Comp. Escrita'!AC29="","",'Comp. Escrita'!AC29)</f>
        <v>0</v>
      </c>
      <c r="E30" s="383"/>
      <c r="F30" s="164" t="str">
        <f>IF(Oralidade!N29="","",Oralidade!N29)</f>
        <v/>
      </c>
      <c r="G30" s="382" t="str">
        <f>IF(Oralidade!V29="","",Oralidade!V29)</f>
        <v/>
      </c>
      <c r="H30" s="383"/>
      <c r="I30" s="164" t="str">
        <f>IF(Oralidade!O29="","",Oralidade!O29)</f>
        <v/>
      </c>
      <c r="J30" s="382" t="str">
        <f>IF(Oralidade!W29="","",Oralidade!W29)</f>
        <v/>
      </c>
      <c r="K30" s="383"/>
      <c r="L30" s="465"/>
      <c r="M30" s="466"/>
      <c r="N30" s="467"/>
      <c r="O30" s="274">
        <f>IF('Prod. Escrita'!P29="","",'Prod. Escrita'!P29)</f>
        <v>0</v>
      </c>
      <c r="P30" s="275"/>
      <c r="Q30" s="370">
        <f>IF('Prod. Escrita'!Y29="","",'Prod. Escrita'!Y29)</f>
        <v>0</v>
      </c>
      <c r="R30" s="371"/>
      <c r="S30" s="371"/>
      <c r="T30" s="372"/>
      <c r="U30" s="271" t="str">
        <f>IF(AREAS((C30,F30,I30,L30,O30))-COUNT(C30,F30,I30,L30,O30)=0,ROUND(SUM($C30*$E$7,$F30*$H$7,$I30*$K$7,$L30*$N$6,$O30*$S$6),0),"")</f>
        <v/>
      </c>
      <c r="V30" s="64" t="str">
        <f t="shared" si="0"/>
        <v/>
      </c>
      <c r="W30" s="192"/>
      <c r="X30" s="176" t="str">
        <f t="shared" si="1"/>
        <v/>
      </c>
      <c r="Y30" s="237" t="str">
        <f>IF(AREAS((D30,G30,J30,M30,Q30))-COUNT(D30,G30,J30,M30,Q30)=0,ROUND(SUM($D30*$E$7,$G30*$H$7,$J30*$K$7,$M30*$N$6,$Q30*$S$6),0),"")</f>
        <v/>
      </c>
      <c r="Z30" s="186" t="str">
        <f t="shared" si="2"/>
        <v/>
      </c>
      <c r="AA30" s="230"/>
      <c r="AB30" s="195" t="str">
        <f t="shared" si="3"/>
        <v/>
      </c>
    </row>
    <row r="31" spans="1:37" ht="13.5" customHeight="1" x14ac:dyDescent="0.25">
      <c r="A31" s="98"/>
      <c r="B31" s="150"/>
      <c r="C31" s="158" t="str">
        <f>IF('Comp. Escrita'!R30="","",'Comp. Escrita'!R30)</f>
        <v/>
      </c>
      <c r="D31" s="380" t="str">
        <f>IF('Comp. Escrita'!AC30="","",'Comp. Escrita'!AC30)</f>
        <v/>
      </c>
      <c r="E31" s="381"/>
      <c r="F31" s="165" t="str">
        <f>IF(Oralidade!N30="","",Oralidade!N30)</f>
        <v/>
      </c>
      <c r="G31" s="380" t="str">
        <f>IF(Oralidade!V30="","",Oralidade!V30)</f>
        <v/>
      </c>
      <c r="H31" s="381"/>
      <c r="I31" s="165" t="str">
        <f>IF(Oralidade!O30="","",Oralidade!O30)</f>
        <v/>
      </c>
      <c r="J31" s="380" t="str">
        <f>IF(Oralidade!W30="","",Oralidade!W30)</f>
        <v/>
      </c>
      <c r="K31" s="381"/>
      <c r="L31" s="468"/>
      <c r="M31" s="469"/>
      <c r="N31" s="470"/>
      <c r="O31" s="276" t="str">
        <f>IF('Prod. Escrita'!P30="","",'Prod. Escrita'!P30)</f>
        <v/>
      </c>
      <c r="P31" s="277"/>
      <c r="Q31" s="401" t="str">
        <f>IF('Prod. Escrita'!Y30="","",'Prod. Escrita'!Y30)</f>
        <v/>
      </c>
      <c r="R31" s="402"/>
      <c r="S31" s="402"/>
      <c r="T31" s="403"/>
      <c r="U31" s="269" t="str">
        <f>IF(AREAS((C31,F31,I31,L31,O31))-COUNT(C31,F31,I31,L31,O31)=0,ROUND(SUM($C31*$E$7,$F31*$H$7,$I31*$K$7,$L31*$N$6,$O31*$S$6),0),"")</f>
        <v/>
      </c>
      <c r="V31" s="65" t="str">
        <f t="shared" si="0"/>
        <v/>
      </c>
      <c r="W31" s="193"/>
      <c r="X31" s="181" t="str">
        <f t="shared" si="1"/>
        <v/>
      </c>
      <c r="Y31" s="200" t="str">
        <f>IF(AREAS((D31,G31,J31,M31,Q31))-COUNT(D31,G31,J31,M31,Q31)=0,ROUND(SUM($D31*$E$7,$G31*$H$7,$J31*$K$7,$M31*$N$6,$Q31*$S$6),0),"")</f>
        <v/>
      </c>
      <c r="Z31" s="187" t="str">
        <f t="shared" si="2"/>
        <v/>
      </c>
      <c r="AA31" s="231"/>
      <c r="AB31" s="196" t="str">
        <f t="shared" si="3"/>
        <v/>
      </c>
      <c r="AH31" s="95"/>
      <c r="AI31" s="95"/>
      <c r="AJ31" s="95"/>
      <c r="AK31" s="95"/>
    </row>
    <row r="32" spans="1:37" ht="13.5" customHeight="1" x14ac:dyDescent="0.25">
      <c r="A32" s="97"/>
      <c r="B32" s="149"/>
      <c r="C32" s="157" t="str">
        <f>IF('Comp. Escrita'!R31="","",'Comp. Escrita'!R31)</f>
        <v/>
      </c>
      <c r="D32" s="382" t="str">
        <f>IF('Comp. Escrita'!AC31="","",'Comp. Escrita'!AC31)</f>
        <v/>
      </c>
      <c r="E32" s="383"/>
      <c r="F32" s="164" t="str">
        <f>IF(Oralidade!N31="","",Oralidade!N31)</f>
        <v/>
      </c>
      <c r="G32" s="382" t="str">
        <f>IF(Oralidade!V31="","",Oralidade!V31)</f>
        <v/>
      </c>
      <c r="H32" s="383"/>
      <c r="I32" s="164" t="str">
        <f>IF(Oralidade!O31="","",Oralidade!O31)</f>
        <v/>
      </c>
      <c r="J32" s="382" t="str">
        <f>IF(Oralidade!W31="","",Oralidade!W31)</f>
        <v/>
      </c>
      <c r="K32" s="383"/>
      <c r="L32" s="465"/>
      <c r="M32" s="466"/>
      <c r="N32" s="467"/>
      <c r="O32" s="274" t="str">
        <f>IF('Prod. Escrita'!P31="","",'Prod. Escrita'!P31)</f>
        <v/>
      </c>
      <c r="P32" s="275"/>
      <c r="Q32" s="370" t="str">
        <f>IF('Prod. Escrita'!Y31="","",'Prod. Escrita'!Y31)</f>
        <v/>
      </c>
      <c r="R32" s="371"/>
      <c r="S32" s="371"/>
      <c r="T32" s="372"/>
      <c r="U32" s="270" t="str">
        <f>IF(AREAS((C32,F32,I32,L32,O32))-COUNT(C32,F32,I32,L32,O32)=0,ROUND(SUM($C32*$E$7,$F32*$H$7,$I32*$K$7,$L32*$N$6,$O32*$S$6),0),"")</f>
        <v/>
      </c>
      <c r="V32" s="64" t="str">
        <f t="shared" si="0"/>
        <v/>
      </c>
      <c r="W32" s="192"/>
      <c r="X32" s="176" t="str">
        <f t="shared" si="1"/>
        <v/>
      </c>
      <c r="Y32" s="237" t="str">
        <f>IF(AREAS((D32,G32,J32,M32,Q32))-COUNT(D32,G32,J32,M32,Q32)=0,ROUND(SUM($D32*$E$7,$G32*$H$7,$J32*$K$7,$M32*$N$6,$Q32*$S$6),0),"")</f>
        <v/>
      </c>
      <c r="Z32" s="186" t="str">
        <f t="shared" si="2"/>
        <v/>
      </c>
      <c r="AA32" s="230"/>
      <c r="AB32" s="195" t="str">
        <f t="shared" si="3"/>
        <v/>
      </c>
    </row>
    <row r="33" spans="1:29" ht="13.5" customHeight="1" x14ac:dyDescent="0.25">
      <c r="A33" s="98"/>
      <c r="B33" s="150"/>
      <c r="C33" s="158" t="str">
        <f>IF('Comp. Escrita'!R32="","",'Comp. Escrita'!R32)</f>
        <v/>
      </c>
      <c r="D33" s="380" t="str">
        <f>IF('Comp. Escrita'!AC32="","",'Comp. Escrita'!AC32)</f>
        <v/>
      </c>
      <c r="E33" s="381"/>
      <c r="F33" s="165" t="str">
        <f>IF(Oralidade!N32="","",Oralidade!N32)</f>
        <v/>
      </c>
      <c r="G33" s="380" t="str">
        <f>IF(Oralidade!V32="","",Oralidade!V32)</f>
        <v/>
      </c>
      <c r="H33" s="381"/>
      <c r="I33" s="165" t="str">
        <f>IF(Oralidade!O32="","",Oralidade!O32)</f>
        <v/>
      </c>
      <c r="J33" s="380" t="str">
        <f>IF(Oralidade!W32="","",Oralidade!W32)</f>
        <v/>
      </c>
      <c r="K33" s="381"/>
      <c r="L33" s="468"/>
      <c r="M33" s="469"/>
      <c r="N33" s="470"/>
      <c r="O33" s="276" t="str">
        <f>IF('Prod. Escrita'!P32="","",'Prod. Escrita'!P32)</f>
        <v/>
      </c>
      <c r="P33" s="277"/>
      <c r="Q33" s="401" t="str">
        <f>IF('Prod. Escrita'!Y32="","",'Prod. Escrita'!Y32)</f>
        <v/>
      </c>
      <c r="R33" s="402"/>
      <c r="S33" s="402"/>
      <c r="T33" s="403"/>
      <c r="U33" s="269" t="str">
        <f>IF(AREAS((C33,F33,I33,L33,O33))-COUNT(C33,F33,I33,L33,O33)=0,ROUND(SUM($C33*$E$7,$F33*$H$7,$I33*$K$7,$L33*$N$6,$O33*$S$6),0),"")</f>
        <v/>
      </c>
      <c r="V33" s="65" t="str">
        <f t="shared" si="0"/>
        <v/>
      </c>
      <c r="W33" s="193"/>
      <c r="X33" s="177" t="str">
        <f t="shared" si="1"/>
        <v/>
      </c>
      <c r="Y33" s="200" t="str">
        <f>IF(AREAS((D33,G33,J33,M33,Q33))-COUNT(D33,G33,J33,M33,Q33)=0,ROUND(SUM($D33*$E$7,$G33*$H$7,$J33*$K$7,$M33*$N$6,$Q33*$S$6),0),"")</f>
        <v/>
      </c>
      <c r="Z33" s="187" t="str">
        <f t="shared" si="2"/>
        <v/>
      </c>
      <c r="AA33" s="231"/>
      <c r="AB33" s="196" t="str">
        <f t="shared" si="3"/>
        <v/>
      </c>
    </row>
    <row r="34" spans="1:29" ht="13.5" customHeight="1" x14ac:dyDescent="0.25">
      <c r="A34" s="97"/>
      <c r="B34" s="149"/>
      <c r="C34" s="157" t="str">
        <f>IF('Comp. Escrita'!R33="","",'Comp. Escrita'!R33)</f>
        <v/>
      </c>
      <c r="D34" s="382" t="str">
        <f>IF('Comp. Escrita'!AC33="","",'Comp. Escrita'!AC33)</f>
        <v/>
      </c>
      <c r="E34" s="383"/>
      <c r="F34" s="164" t="str">
        <f>IF(Oralidade!N33="","",Oralidade!N33)</f>
        <v/>
      </c>
      <c r="G34" s="382" t="str">
        <f>IF(Oralidade!V33="","",Oralidade!V33)</f>
        <v/>
      </c>
      <c r="H34" s="383"/>
      <c r="I34" s="164" t="str">
        <f>IF(Oralidade!O33="","",Oralidade!O33)</f>
        <v/>
      </c>
      <c r="J34" s="382" t="str">
        <f>IF(Oralidade!W33="","",Oralidade!W33)</f>
        <v/>
      </c>
      <c r="K34" s="383"/>
      <c r="L34" s="465"/>
      <c r="M34" s="466"/>
      <c r="N34" s="467"/>
      <c r="O34" s="274" t="str">
        <f>IF('Prod. Escrita'!P33="","",'Prod. Escrita'!P33)</f>
        <v/>
      </c>
      <c r="P34" s="275"/>
      <c r="Q34" s="370" t="str">
        <f>IF('Prod. Escrita'!Y33="","",'Prod. Escrita'!Y33)</f>
        <v/>
      </c>
      <c r="R34" s="371"/>
      <c r="S34" s="371"/>
      <c r="T34" s="372"/>
      <c r="U34" s="270" t="str">
        <f>IF(AREAS((C34,F34,I34,L34,O34))-COUNT(C34,F34,I34,L34,O34)=0,ROUND(SUM($C34*$E$7,$F34*$H$7,$I34*$K$7,$L34*$N$6,$O34*$S$6),0),"")</f>
        <v/>
      </c>
      <c r="V34" s="64" t="str">
        <f t="shared" si="0"/>
        <v/>
      </c>
      <c r="W34" s="192"/>
      <c r="X34" s="179" t="str">
        <f t="shared" si="1"/>
        <v/>
      </c>
      <c r="Y34" s="237" t="str">
        <f>IF(AREAS((D34,G34,J34,M34,Q34))-COUNT(D34,G34,J34,M34,Q34)=0,ROUND(SUM($D34*$E$7,$G34*$H$7,$J34*$K$7,$M34*$N$6,$Q34*$S$6),0),"")</f>
        <v/>
      </c>
      <c r="Z34" s="186" t="str">
        <f t="shared" si="2"/>
        <v/>
      </c>
      <c r="AA34" s="230"/>
      <c r="AB34" s="195" t="str">
        <f t="shared" si="3"/>
        <v/>
      </c>
    </row>
    <row r="35" spans="1:29" ht="13.5" customHeight="1" x14ac:dyDescent="0.25">
      <c r="A35" s="101"/>
      <c r="B35" s="150"/>
      <c r="C35" s="159" t="str">
        <f>IF('Comp. Escrita'!R34="","",'Comp. Escrita'!R34)</f>
        <v/>
      </c>
      <c r="D35" s="380" t="str">
        <f>IF('Comp. Escrita'!AC34="","",'Comp. Escrita'!AC34)</f>
        <v/>
      </c>
      <c r="E35" s="381"/>
      <c r="F35" s="166" t="str">
        <f>IF(Oralidade!N34="","",Oralidade!N34)</f>
        <v/>
      </c>
      <c r="G35" s="380" t="str">
        <f>IF(Oralidade!V34="","",Oralidade!V34)</f>
        <v/>
      </c>
      <c r="H35" s="381"/>
      <c r="I35" s="166" t="str">
        <f>IF(Oralidade!O34="","",Oralidade!O34)</f>
        <v/>
      </c>
      <c r="J35" s="380" t="str">
        <f>IF(Oralidade!W34="","",Oralidade!W34)</f>
        <v/>
      </c>
      <c r="K35" s="381"/>
      <c r="L35" s="471"/>
      <c r="M35" s="469"/>
      <c r="N35" s="470"/>
      <c r="O35" s="290" t="str">
        <f>IF('Prod. Escrita'!P34="","",'Prod. Escrita'!P34)</f>
        <v/>
      </c>
      <c r="P35" s="291"/>
      <c r="Q35" s="386" t="str">
        <f>IF('Prod. Escrita'!Y34="","",'Prod. Escrita'!Y34)</f>
        <v/>
      </c>
      <c r="R35" s="387"/>
      <c r="S35" s="387"/>
      <c r="T35" s="388"/>
      <c r="U35" s="269" t="str">
        <f>IF(AREAS((C35,F35,I35,L35,O35))-COUNT(C35,F35,I35,L35,O35)=0,ROUND(SUM($C35*$E$7,$F35*$H$7,$I35*$K$7,$L35*$N$6,$O35*$S$6),0),"")</f>
        <v/>
      </c>
      <c r="V35" s="102" t="str">
        <f t="shared" si="0"/>
        <v/>
      </c>
      <c r="W35" s="235"/>
      <c r="X35" s="182"/>
      <c r="Y35" s="200" t="str">
        <f>IF(AREAS((D35,G35,J35,M35,Q35))-COUNT(D35,G35,J35,M35,Q35)=0,ROUND(SUM($D35*$E$7,$G35*$H$7,$J35*$K$7,$M35*$N$6,$Q35*$S$6),0),"")</f>
        <v/>
      </c>
      <c r="Z35" s="188" t="str">
        <f t="shared" si="2"/>
        <v/>
      </c>
      <c r="AA35" s="232"/>
      <c r="AB35" s="197" t="str">
        <f t="shared" si="3"/>
        <v/>
      </c>
    </row>
    <row r="36" spans="1:29" ht="13.5" customHeight="1" x14ac:dyDescent="0.25">
      <c r="A36" s="105"/>
      <c r="B36" s="151"/>
      <c r="C36" s="157" t="str">
        <f>IF('Comp. Escrita'!R35="","",'Comp. Escrita'!R35)</f>
        <v/>
      </c>
      <c r="D36" s="382" t="str">
        <f>IF('Comp. Escrita'!AC35="","",'Comp. Escrita'!AC35)</f>
        <v/>
      </c>
      <c r="E36" s="383"/>
      <c r="F36" s="164" t="str">
        <f>IF(Oralidade!N35="","",Oralidade!N35)</f>
        <v/>
      </c>
      <c r="G36" s="382" t="str">
        <f>IF(Oralidade!V35="","",Oralidade!V35)</f>
        <v/>
      </c>
      <c r="H36" s="383"/>
      <c r="I36" s="164" t="str">
        <f>IF(Oralidade!O35="","",Oralidade!O35)</f>
        <v/>
      </c>
      <c r="J36" s="382" t="str">
        <f>IF(Oralidade!W35="","",Oralidade!W35)</f>
        <v/>
      </c>
      <c r="K36" s="383"/>
      <c r="L36" s="465"/>
      <c r="M36" s="466"/>
      <c r="N36" s="467"/>
      <c r="O36" s="292" t="str">
        <f>IF('Prod. Escrita'!P35="","",'Prod. Escrita'!P35)</f>
        <v/>
      </c>
      <c r="P36" s="293"/>
      <c r="Q36" s="389" t="str">
        <f>IF('Prod. Escrita'!Y35="","",'Prod. Escrita'!Y35)</f>
        <v/>
      </c>
      <c r="R36" s="390"/>
      <c r="S36" s="390"/>
      <c r="T36" s="391"/>
      <c r="U36" s="270" t="str">
        <f>IF(AREAS((C36,F36,I36,L36,O36))-COUNT(C36,F36,I36,L36,O36)=0,ROUND(SUM($C36*$E$7,$F36*$H$7,$I36*$K$7,$L36*$N$6,$O36*$S$6),0),"")</f>
        <v/>
      </c>
      <c r="V36" s="106" t="str">
        <f t="shared" si="0"/>
        <v/>
      </c>
      <c r="W36" s="236"/>
      <c r="X36" s="183"/>
      <c r="Y36" s="237" t="str">
        <f>IF(AREAS((D36,G36,J36,M36,Q36))-COUNT(D36,G36,J36,M36,Q36)=0,ROUND(SUM($D36*$E$7,$G36*$H$7,$J36*$K$7,$M36*$N$6,$Q36*$S$6),0),"")</f>
        <v/>
      </c>
      <c r="Z36" s="189" t="str">
        <f t="shared" si="2"/>
        <v/>
      </c>
      <c r="AA36" s="233"/>
      <c r="AB36" s="198" t="str">
        <f t="shared" si="3"/>
        <v/>
      </c>
    </row>
    <row r="37" spans="1:29" ht="13.5" customHeight="1" x14ac:dyDescent="0.25">
      <c r="A37" s="103"/>
      <c r="B37" s="152"/>
      <c r="C37" s="160" t="str">
        <f>IF('Comp. Escrita'!R36="","",'Comp. Escrita'!R36)</f>
        <v/>
      </c>
      <c r="D37" s="380" t="str">
        <f>IF('Comp. Escrita'!AC36="","",'Comp. Escrita'!AC36)</f>
        <v/>
      </c>
      <c r="E37" s="381"/>
      <c r="F37" s="167" t="str">
        <f>IF(Oralidade!N36="","",Oralidade!N36)</f>
        <v/>
      </c>
      <c r="G37" s="380" t="str">
        <f>IF(Oralidade!V36="","",Oralidade!V36)</f>
        <v/>
      </c>
      <c r="H37" s="381"/>
      <c r="I37" s="167" t="str">
        <f>IF(Oralidade!O36="","",Oralidade!O36)</f>
        <v/>
      </c>
      <c r="J37" s="380" t="str">
        <f>IF(Oralidade!W36="","",Oralidade!W36)</f>
        <v/>
      </c>
      <c r="K37" s="381"/>
      <c r="L37" s="472"/>
      <c r="M37" s="469"/>
      <c r="N37" s="470"/>
      <c r="O37" s="294" t="str">
        <f>IF('Prod. Escrita'!P36="","",'Prod. Escrita'!P36)</f>
        <v/>
      </c>
      <c r="P37" s="295"/>
      <c r="Q37" s="392" t="str">
        <f>IF('Prod. Escrita'!Y36="","",'Prod. Escrita'!Y36)</f>
        <v/>
      </c>
      <c r="R37" s="393"/>
      <c r="S37" s="393"/>
      <c r="T37" s="394"/>
      <c r="U37" s="269" t="str">
        <f>IF(AREAS((C37,F37,I37,L37,O37))-COUNT(C37,F37,I37,L37,O37)=0,ROUND(SUM($C37*$E$7,$F37*$H$7,$I37*$K$7,$L37*$N$6,$O37*$S$6),0),"")</f>
        <v/>
      </c>
      <c r="V37" s="104" t="str">
        <f t="shared" si="0"/>
        <v/>
      </c>
      <c r="W37" s="273"/>
      <c r="X37" s="184"/>
      <c r="Y37" s="200" t="str">
        <f>IF(AREAS((D37,G37,J37,M37,Q37))-COUNT(D37,G37,J37,M37,Q37)=0,ROUND(SUM($D37*$E$7,$G37*$H$7,$J37*$K$7,$M37*$N$6,$Q37*$S$6),0),"")</f>
        <v/>
      </c>
      <c r="Z37" s="190" t="str">
        <f t="shared" si="2"/>
        <v/>
      </c>
      <c r="AA37" s="234"/>
      <c r="AB37" s="199" t="str">
        <f t="shared" si="3"/>
        <v/>
      </c>
    </row>
    <row r="38" spans="1:29" ht="13.5" customHeight="1" x14ac:dyDescent="0.25">
      <c r="A38" s="97"/>
      <c r="B38" s="151" t="s">
        <v>39</v>
      </c>
      <c r="C38" s="157" t="str">
        <f>IF('Comp. Escrita'!R37="","",'Comp. Escrita'!R37)</f>
        <v/>
      </c>
      <c r="D38" s="382" t="str">
        <f>IF('Comp. Escrita'!AC37="","",'Comp. Escrita'!AC37)</f>
        <v/>
      </c>
      <c r="E38" s="383"/>
      <c r="F38" s="164" t="str">
        <f>IF(Oralidade!N37="","",Oralidade!N37)</f>
        <v/>
      </c>
      <c r="G38" s="382" t="str">
        <f>IF(Oralidade!V37="","",Oralidade!V37)</f>
        <v/>
      </c>
      <c r="H38" s="383"/>
      <c r="I38" s="164" t="str">
        <f>IF(Oralidade!O37="","",Oralidade!O37)</f>
        <v/>
      </c>
      <c r="J38" s="382" t="str">
        <f>IF(Oralidade!W37="","",Oralidade!W37)</f>
        <v/>
      </c>
      <c r="K38" s="383"/>
      <c r="L38" s="465"/>
      <c r="M38" s="466"/>
      <c r="N38" s="467"/>
      <c r="O38" s="274" t="str">
        <f>IF('Prod. Escrita'!P37="","",'Prod. Escrita'!P37)</f>
        <v/>
      </c>
      <c r="P38" s="275"/>
      <c r="Q38" s="370" t="str">
        <f>IF('Prod. Escrita'!Y37="","",'Prod. Escrita'!Y37)</f>
        <v/>
      </c>
      <c r="R38" s="371"/>
      <c r="S38" s="371"/>
      <c r="T38" s="372"/>
      <c r="U38" s="268" t="str">
        <f>IF(AREAS((C38,F38,I38,L38,O38))-COUNT(C38,F38,I38,L38,O38)=0,ROUND(SUM($C38*$E$7,$F38*$H$7,$I38*$K$7,$L38*$N$6,$O38*$S$6),0),"")</f>
        <v/>
      </c>
      <c r="V38" s="64" t="str">
        <f t="shared" si="0"/>
        <v/>
      </c>
      <c r="W38" s="272"/>
      <c r="X38" s="183"/>
      <c r="Y38" s="237" t="str">
        <f>IF(AREAS((D38,G38,J38,M38,Q38))-COUNT(D38,G38,J38,M38,Q38)=0,ROUND(SUM($D38*$E$7,$G38*$H$7,$J38*$K$7,$M38*$N$6,$Q38*$S$6),0),"")</f>
        <v/>
      </c>
      <c r="Z38" s="186" t="str">
        <f t="shared" si="2"/>
        <v/>
      </c>
      <c r="AA38" s="230"/>
      <c r="AB38" s="195" t="str">
        <f t="shared" si="3"/>
        <v/>
      </c>
    </row>
    <row r="39" spans="1:29" ht="15.75" thickBot="1" x14ac:dyDescent="0.3">
      <c r="B39" s="153"/>
    </row>
    <row r="40" spans="1:29" ht="15.75" thickBot="1" x14ac:dyDescent="0.3">
      <c r="B40" s="153"/>
      <c r="G40" s="68"/>
      <c r="P40" s="284" t="s">
        <v>7</v>
      </c>
      <c r="Q40" s="285"/>
      <c r="R40" s="285"/>
      <c r="S40" s="285"/>
      <c r="T40" s="286"/>
      <c r="U40" s="284" t="s">
        <v>8</v>
      </c>
      <c r="V40" s="285"/>
      <c r="W40" s="285"/>
      <c r="X40" s="285"/>
      <c r="Y40" s="286"/>
      <c r="Z40"/>
      <c r="AA40"/>
      <c r="AB40"/>
      <c r="AC40"/>
    </row>
    <row r="41" spans="1:29" x14ac:dyDescent="0.25">
      <c r="B41" s="153"/>
      <c r="G41" s="68"/>
      <c r="P41" s="368" t="s">
        <v>9</v>
      </c>
      <c r="Q41" s="369"/>
      <c r="R41" s="353"/>
      <c r="S41" s="354"/>
      <c r="T41" s="355"/>
      <c r="U41" s="287" t="s">
        <v>9</v>
      </c>
      <c r="V41" s="288"/>
      <c r="W41" s="289"/>
      <c r="X41" s="278"/>
      <c r="Y41" s="279"/>
      <c r="Z41"/>
      <c r="AA41"/>
      <c r="AB41"/>
      <c r="AC41"/>
    </row>
    <row r="42" spans="1:29" x14ac:dyDescent="0.25">
      <c r="P42" s="364" t="s">
        <v>10</v>
      </c>
      <c r="Q42" s="365"/>
      <c r="R42" s="356"/>
      <c r="S42" s="357"/>
      <c r="T42" s="358"/>
      <c r="U42" s="376" t="s">
        <v>10</v>
      </c>
      <c r="V42" s="377"/>
      <c r="W42" s="378"/>
      <c r="X42" s="280"/>
      <c r="Y42" s="281"/>
      <c r="Z42"/>
      <c r="AA42"/>
      <c r="AB42"/>
      <c r="AC42"/>
    </row>
    <row r="43" spans="1:29" x14ac:dyDescent="0.25">
      <c r="P43" s="364" t="s">
        <v>11</v>
      </c>
      <c r="Q43" s="365"/>
      <c r="R43" s="359" t="str">
        <f>CONCATENATE(IF(SUM(R44:T48)&gt;0,FIXED(100*SUM(R46:T48)/SUM(R44:T48)),0), "%")</f>
        <v>100,00%</v>
      </c>
      <c r="S43" s="359"/>
      <c r="T43" s="359"/>
      <c r="U43" s="376" t="s">
        <v>11</v>
      </c>
      <c r="V43" s="377"/>
      <c r="W43" s="378"/>
      <c r="X43" s="282" t="str">
        <f>CONCATENATE(IF(SUM(X44:Y48)&gt;0,FIXED(100*SUM(X46:Y48)/SUM(X44:Y48)),0), "%")</f>
        <v>66,67%</v>
      </c>
      <c r="Y43" s="283"/>
      <c r="Z43"/>
      <c r="AA43"/>
      <c r="AB43"/>
      <c r="AC43"/>
    </row>
    <row r="44" spans="1:29" x14ac:dyDescent="0.25">
      <c r="P44" s="364" t="s">
        <v>41</v>
      </c>
      <c r="Q44" s="365"/>
      <c r="R44" s="360">
        <f>COUNTIF(X9:X38,"1")</f>
        <v>0</v>
      </c>
      <c r="S44" s="361"/>
      <c r="T44" s="362"/>
      <c r="U44" s="376" t="s">
        <v>41</v>
      </c>
      <c r="V44" s="377"/>
      <c r="W44" s="378"/>
      <c r="X44" s="379">
        <f>COUNTIF(AB9:AB38,"1")</f>
        <v>0</v>
      </c>
      <c r="Y44" s="283"/>
      <c r="Z44"/>
      <c r="AA44"/>
      <c r="AB44"/>
      <c r="AC44"/>
    </row>
    <row r="45" spans="1:29" x14ac:dyDescent="0.25">
      <c r="P45" s="364" t="s">
        <v>12</v>
      </c>
      <c r="Q45" s="365"/>
      <c r="R45" s="363">
        <f>COUNTIF(X9:X38,"2")</f>
        <v>0</v>
      </c>
      <c r="S45" s="361"/>
      <c r="T45" s="362"/>
      <c r="U45" s="376" t="s">
        <v>12</v>
      </c>
      <c r="V45" s="377"/>
      <c r="W45" s="378"/>
      <c r="X45" s="379">
        <f>COUNTIF(AB9:AB38,"2")</f>
        <v>1</v>
      </c>
      <c r="Y45" s="283"/>
      <c r="Z45"/>
      <c r="AA45"/>
      <c r="AB45"/>
      <c r="AC45"/>
    </row>
    <row r="46" spans="1:29" x14ac:dyDescent="0.25">
      <c r="P46" s="364" t="s">
        <v>13</v>
      </c>
      <c r="Q46" s="365"/>
      <c r="R46" s="363">
        <f>COUNTIF(X9:X38,"3")</f>
        <v>0</v>
      </c>
      <c r="S46" s="361"/>
      <c r="T46" s="362"/>
      <c r="U46" s="376" t="s">
        <v>13</v>
      </c>
      <c r="V46" s="377"/>
      <c r="W46" s="378"/>
      <c r="X46" s="379">
        <f>COUNTIF(AB9:AB38,"3")</f>
        <v>1</v>
      </c>
      <c r="Y46" s="283"/>
      <c r="Z46"/>
      <c r="AA46"/>
      <c r="AB46"/>
      <c r="AC46"/>
    </row>
    <row r="47" spans="1:29" x14ac:dyDescent="0.25">
      <c r="P47" s="366" t="s">
        <v>14</v>
      </c>
      <c r="Q47" s="367"/>
      <c r="R47" s="363">
        <f>COUNTIF(X9:X38,"4")</f>
        <v>1</v>
      </c>
      <c r="S47" s="361"/>
      <c r="T47" s="362"/>
      <c r="U47" s="376" t="s">
        <v>14</v>
      </c>
      <c r="V47" s="377"/>
      <c r="W47" s="378"/>
      <c r="X47" s="379">
        <f>COUNTIF(AB9:AB38,"4")</f>
        <v>1</v>
      </c>
      <c r="Y47" s="283"/>
      <c r="Z47"/>
      <c r="AA47"/>
      <c r="AB47"/>
      <c r="AC47"/>
    </row>
    <row r="48" spans="1:29" ht="15.75" thickBot="1" x14ac:dyDescent="0.3">
      <c r="P48" s="348" t="s">
        <v>15</v>
      </c>
      <c r="Q48" s="349"/>
      <c r="R48" s="350">
        <f>COUNTIF(X9:X38,"5")</f>
        <v>0</v>
      </c>
      <c r="S48" s="351"/>
      <c r="T48" s="352"/>
      <c r="U48" s="373" t="s">
        <v>15</v>
      </c>
      <c r="V48" s="374"/>
      <c r="W48" s="375"/>
      <c r="X48" s="350">
        <f>COUNTIF(AB9:AB38,"5")</f>
        <v>0</v>
      </c>
      <c r="Y48" s="352"/>
      <c r="Z48"/>
    </row>
    <row r="49" spans="26:26" x14ac:dyDescent="0.25">
      <c r="Z49" s="77"/>
    </row>
  </sheetData>
  <sheetProtection algorithmName="SHA-512" hashValue="vppCpE/DMG8Ugg8u/F2bIywSeTTwyBdplXP7LlUDxfTAahOHlQpElIFAjTFuLsxoEaVAA/GiJUcg8RNYx8RBeQ==" saltValue="itYEiE+Zy2zTuqj5Wp4qfw==" spinCount="100000" sheet="1" objects="1" scenarios="1"/>
  <mergeCells count="242">
    <mergeCell ref="J36:K36"/>
    <mergeCell ref="J37:K37"/>
    <mergeCell ref="J38:K38"/>
    <mergeCell ref="J27:K27"/>
    <mergeCell ref="J28:K28"/>
    <mergeCell ref="J29:K29"/>
    <mergeCell ref="J30:K30"/>
    <mergeCell ref="J31:K31"/>
    <mergeCell ref="J32:K32"/>
    <mergeCell ref="J33:K33"/>
    <mergeCell ref="J34:K34"/>
    <mergeCell ref="J35:K35"/>
    <mergeCell ref="M33:N33"/>
    <mergeCell ref="M34:N34"/>
    <mergeCell ref="M35:N35"/>
    <mergeCell ref="M36:N36"/>
    <mergeCell ref="M37:N37"/>
    <mergeCell ref="M38:N38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M24:N24"/>
    <mergeCell ref="M25:N25"/>
    <mergeCell ref="M26:N26"/>
    <mergeCell ref="M27:N27"/>
    <mergeCell ref="M28:N28"/>
    <mergeCell ref="M29:N29"/>
    <mergeCell ref="M30:N30"/>
    <mergeCell ref="M31:N31"/>
    <mergeCell ref="M32:N32"/>
    <mergeCell ref="Q20:T20"/>
    <mergeCell ref="Q21:T21"/>
    <mergeCell ref="Q22:T22"/>
    <mergeCell ref="Q23:T23"/>
    <mergeCell ref="Q24:T24"/>
    <mergeCell ref="Q25:T25"/>
    <mergeCell ref="Q26:T26"/>
    <mergeCell ref="Q27:T27"/>
    <mergeCell ref="Q28:T28"/>
    <mergeCell ref="Q11:T11"/>
    <mergeCell ref="Q12:T12"/>
    <mergeCell ref="Q13:T13"/>
    <mergeCell ref="Q14:T14"/>
    <mergeCell ref="Q15:T15"/>
    <mergeCell ref="Q16:T16"/>
    <mergeCell ref="Q17:T17"/>
    <mergeCell ref="Q18:T18"/>
    <mergeCell ref="Q19:T19"/>
    <mergeCell ref="G32:H32"/>
    <mergeCell ref="G33:H33"/>
    <mergeCell ref="G34:H34"/>
    <mergeCell ref="G35:H35"/>
    <mergeCell ref="G36:H36"/>
    <mergeCell ref="G37:H37"/>
    <mergeCell ref="G38:H38"/>
    <mergeCell ref="J8:K8"/>
    <mergeCell ref="M8:N8"/>
    <mergeCell ref="M9:N9"/>
    <mergeCell ref="M10:N10"/>
    <mergeCell ref="M11:N11"/>
    <mergeCell ref="M12:N12"/>
    <mergeCell ref="M13:N13"/>
    <mergeCell ref="M14:N14"/>
    <mergeCell ref="M15:N15"/>
    <mergeCell ref="M16:N16"/>
    <mergeCell ref="M17:N17"/>
    <mergeCell ref="M18:N18"/>
    <mergeCell ref="M19:N19"/>
    <mergeCell ref="M20:N20"/>
    <mergeCell ref="M21:N21"/>
    <mergeCell ref="M22:N22"/>
    <mergeCell ref="M23:N23"/>
    <mergeCell ref="G23:H23"/>
    <mergeCell ref="G24:H24"/>
    <mergeCell ref="G25:H25"/>
    <mergeCell ref="G26:H26"/>
    <mergeCell ref="G27:H27"/>
    <mergeCell ref="G28:H28"/>
    <mergeCell ref="G29:H29"/>
    <mergeCell ref="G30:H30"/>
    <mergeCell ref="G31:H31"/>
    <mergeCell ref="G14:H14"/>
    <mergeCell ref="G15:H15"/>
    <mergeCell ref="G16:H16"/>
    <mergeCell ref="G17:H17"/>
    <mergeCell ref="G18:H18"/>
    <mergeCell ref="G19:H19"/>
    <mergeCell ref="G20:H20"/>
    <mergeCell ref="G21:H21"/>
    <mergeCell ref="G22:H22"/>
    <mergeCell ref="D35:E35"/>
    <mergeCell ref="D36:E36"/>
    <mergeCell ref="D37:E37"/>
    <mergeCell ref="D38:E38"/>
    <mergeCell ref="D10:E10"/>
    <mergeCell ref="D11:E11"/>
    <mergeCell ref="D12:E12"/>
    <mergeCell ref="D13:E13"/>
    <mergeCell ref="D14:E14"/>
    <mergeCell ref="D15:E15"/>
    <mergeCell ref="D16:E16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9:E9"/>
    <mergeCell ref="Q35:T35"/>
    <mergeCell ref="Q36:T36"/>
    <mergeCell ref="Q37:T37"/>
    <mergeCell ref="O19:P19"/>
    <mergeCell ref="O20:P20"/>
    <mergeCell ref="O21:P21"/>
    <mergeCell ref="O22:P22"/>
    <mergeCell ref="O23:P23"/>
    <mergeCell ref="O14:P14"/>
    <mergeCell ref="O15:P15"/>
    <mergeCell ref="O16:P16"/>
    <mergeCell ref="O17:P17"/>
    <mergeCell ref="O18:P18"/>
    <mergeCell ref="O29:P29"/>
    <mergeCell ref="O24:P24"/>
    <mergeCell ref="O25:P25"/>
    <mergeCell ref="O26:P26"/>
    <mergeCell ref="O27:P27"/>
    <mergeCell ref="U48:W48"/>
    <mergeCell ref="U47:W47"/>
    <mergeCell ref="U46:W46"/>
    <mergeCell ref="U45:W45"/>
    <mergeCell ref="U44:W44"/>
    <mergeCell ref="U43:W43"/>
    <mergeCell ref="U42:W42"/>
    <mergeCell ref="X44:Y44"/>
    <mergeCell ref="X45:Y45"/>
    <mergeCell ref="X46:Y46"/>
    <mergeCell ref="X47:Y47"/>
    <mergeCell ref="X48:Y48"/>
    <mergeCell ref="P48:Q48"/>
    <mergeCell ref="P40:T40"/>
    <mergeCell ref="R48:T48"/>
    <mergeCell ref="R41:T41"/>
    <mergeCell ref="R42:T42"/>
    <mergeCell ref="R43:T43"/>
    <mergeCell ref="R44:T44"/>
    <mergeCell ref="R45:T45"/>
    <mergeCell ref="R46:T46"/>
    <mergeCell ref="R47:T47"/>
    <mergeCell ref="P43:Q43"/>
    <mergeCell ref="P44:Q44"/>
    <mergeCell ref="P45:Q45"/>
    <mergeCell ref="P46:Q46"/>
    <mergeCell ref="P47:Q47"/>
    <mergeCell ref="P41:Q41"/>
    <mergeCell ref="P42:Q42"/>
    <mergeCell ref="A1:B2"/>
    <mergeCell ref="C5:AF5"/>
    <mergeCell ref="A6:B6"/>
    <mergeCell ref="L6:M7"/>
    <mergeCell ref="N6:N7"/>
    <mergeCell ref="O6:R7"/>
    <mergeCell ref="S6:T7"/>
    <mergeCell ref="C7:D7"/>
    <mergeCell ref="F6:J6"/>
    <mergeCell ref="F7:G7"/>
    <mergeCell ref="I7:J7"/>
    <mergeCell ref="C6:E6"/>
    <mergeCell ref="J4:P4"/>
    <mergeCell ref="D1:AJ2"/>
    <mergeCell ref="D8:E8"/>
    <mergeCell ref="G8:H8"/>
    <mergeCell ref="O9:P9"/>
    <mergeCell ref="O10:P10"/>
    <mergeCell ref="O11:P11"/>
    <mergeCell ref="O12:P12"/>
    <mergeCell ref="O13:P13"/>
    <mergeCell ref="AB6:AB8"/>
    <mergeCell ref="X6:X8"/>
    <mergeCell ref="U8:V8"/>
    <mergeCell ref="Y8:Z8"/>
    <mergeCell ref="O8:P8"/>
    <mergeCell ref="W6:W8"/>
    <mergeCell ref="U6:V7"/>
    <mergeCell ref="Y6:Z7"/>
    <mergeCell ref="AA6:AA8"/>
    <mergeCell ref="G9:H9"/>
    <mergeCell ref="G10:H10"/>
    <mergeCell ref="G11:H11"/>
    <mergeCell ref="G12:H12"/>
    <mergeCell ref="G13:H13"/>
    <mergeCell ref="Q8:T8"/>
    <mergeCell ref="Q9:T9"/>
    <mergeCell ref="Q10:T10"/>
    <mergeCell ref="O28:P28"/>
    <mergeCell ref="O33:P33"/>
    <mergeCell ref="X41:Y41"/>
    <mergeCell ref="X42:Y42"/>
    <mergeCell ref="X43:Y43"/>
    <mergeCell ref="U40:Y40"/>
    <mergeCell ref="U41:W41"/>
    <mergeCell ref="O30:P30"/>
    <mergeCell ref="O31:P31"/>
    <mergeCell ref="O38:P38"/>
    <mergeCell ref="O35:P35"/>
    <mergeCell ref="O36:P36"/>
    <mergeCell ref="O37:P37"/>
    <mergeCell ref="O34:P34"/>
    <mergeCell ref="O32:P32"/>
    <mergeCell ref="Q38:T38"/>
    <mergeCell ref="Q29:T29"/>
    <mergeCell ref="Q30:T30"/>
    <mergeCell ref="Q31:T31"/>
    <mergeCell ref="Q32:T32"/>
    <mergeCell ref="Q33:T33"/>
    <mergeCell ref="Q34:T34"/>
  </mergeCells>
  <conditionalFormatting sqref="G41">
    <cfRule type="cellIs" dxfId="5" priority="20" operator="lessThan">
      <formula>3</formula>
    </cfRule>
  </conditionalFormatting>
  <conditionalFormatting sqref="V35:W38 V9:V3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9:AA3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T43">
    <cfRule type="cellIs" dxfId="4" priority="10" operator="greaterThan">
      <formula>50</formula>
    </cfRule>
    <cfRule type="colorScale" priority="11">
      <colorScale>
        <cfvo type="min"/>
        <cfvo type="percentile" val="50"/>
        <cfvo type="max"/>
        <color rgb="FFFF0000"/>
        <color rgb="FFFFEB84"/>
        <color rgb="FF00B050"/>
      </colorScale>
    </cfRule>
    <cfRule type="cellIs" dxfId="3" priority="12" operator="greaterThan">
      <formula>50</formula>
    </cfRule>
    <cfRule type="cellIs" dxfId="2" priority="14" operator="greaterThan">
      <formula>50</formula>
    </cfRule>
  </conditionalFormatting>
  <conditionalFormatting sqref="X43:Y43">
    <cfRule type="cellIs" dxfId="1" priority="6" operator="greaterThan">
      <formula>50</formula>
    </cfRule>
    <cfRule type="colorScale" priority="8">
      <colorScale>
        <cfvo type="percent" val="0"/>
        <cfvo type="percent" val="50"/>
        <cfvo type="percent" val="100"/>
        <color rgb="FFFF0000"/>
        <color rgb="FFFFFF00"/>
        <color rgb="FF00B050"/>
      </colorScale>
    </cfRule>
    <cfRule type="colorScale" priority="9">
      <colorScale>
        <cfvo type="num" val="0"/>
        <cfvo type="percentile" val="50"/>
        <cfvo type="num" val="100"/>
        <color rgb="FFC00000"/>
        <color rgb="FFFFFF00"/>
        <color rgb="FF00B050"/>
      </colorScale>
    </cfRule>
    <cfRule type="cellIs" dxfId="0" priority="13" operator="greaterThan">
      <formula>50</formula>
    </cfRule>
  </conditionalFormatting>
  <conditionalFormatting sqref="Z9:Z29">
    <cfRule type="colorScale" priority="3">
      <colorScale>
        <cfvo type="num" val="1"/>
        <cfvo type="percentile" val="50"/>
        <cfvo type="num" val="5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F0000"/>
        <color rgb="FFFFEB84"/>
        <color rgb="FF00B050"/>
      </colorScale>
    </cfRule>
  </conditionalFormatting>
  <conditionalFormatting sqref="V9">
    <cfRule type="colorScale" priority="1">
      <colorScale>
        <cfvo type="num" val="1"/>
        <cfvo type="percentile" val="50"/>
        <cfvo type="num" val="5"/>
        <color rgb="FFF8696B"/>
        <color rgb="FFFFEB84"/>
        <color rgb="FF63BE7B"/>
      </colorScale>
    </cfRule>
    <cfRule type="expression" priority="2">
      <formula>$U$9</formula>
    </cfRule>
  </conditionalFormatting>
  <pageMargins left="0.23622047244094491" right="0.23622047244094491" top="0.74803149606299213" bottom="0.74803149606299213" header="0.31496062992125984" footer="0.31496062992125984"/>
  <pageSetup paperSize="9" fitToHeight="0" orientation="landscape" horizontalDpi="4294967292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AC40"/>
  <sheetViews>
    <sheetView zoomScaleNormal="100" workbookViewId="0">
      <selection activeCell="A3" sqref="A3"/>
    </sheetView>
  </sheetViews>
  <sheetFormatPr defaultRowHeight="15" x14ac:dyDescent="0.25"/>
  <cols>
    <col min="1" max="1" width="6.42578125" style="63" customWidth="1"/>
    <col min="2" max="2" width="4.5703125" style="63" customWidth="1"/>
    <col min="3" max="3" width="4.7109375" style="63" customWidth="1"/>
    <col min="4" max="4" width="2.7109375" style="63" customWidth="1"/>
    <col min="5" max="5" width="4.140625" style="63" customWidth="1"/>
    <col min="6" max="6" width="2" style="63" customWidth="1"/>
    <col min="7" max="7" width="3.28515625" style="63" customWidth="1"/>
    <col min="8" max="8" width="6.85546875" style="63" customWidth="1"/>
    <col min="9" max="9" width="5" style="63" customWidth="1"/>
    <col min="10" max="10" width="5.28515625" style="63" customWidth="1"/>
    <col min="11" max="11" width="5.42578125" style="63" customWidth="1"/>
    <col min="12" max="12" width="4.5703125" style="63" customWidth="1"/>
    <col min="13" max="13" width="5.140625" style="63" customWidth="1"/>
    <col min="14" max="14" width="6.42578125" style="63" customWidth="1"/>
    <col min="15" max="15" width="5" style="63" customWidth="1"/>
    <col min="16" max="16" width="3.28515625" style="63" customWidth="1"/>
    <col min="17" max="17" width="4.5703125" style="63" customWidth="1"/>
    <col min="18" max="18" width="9.140625" style="63"/>
    <col min="19" max="19" width="6.42578125" style="63" customWidth="1"/>
    <col min="20" max="20" width="6.28515625" style="63" customWidth="1"/>
    <col min="21" max="21" width="6.5703125" style="63" customWidth="1"/>
    <col min="22" max="22" width="6.28515625" style="63" customWidth="1"/>
    <col min="23" max="23" width="5.5703125" style="63" customWidth="1"/>
    <col min="24" max="24" width="5.7109375" style="63" customWidth="1"/>
    <col min="25" max="25" width="5.85546875" style="63" customWidth="1"/>
    <col min="26" max="27" width="6" style="63" customWidth="1"/>
    <col min="28" max="28" width="5.85546875" style="63" customWidth="1"/>
    <col min="29" max="16384" width="9.140625" style="63"/>
  </cols>
  <sheetData>
    <row r="1" spans="1:29" ht="27" x14ac:dyDescent="0.25">
      <c r="A1" s="1" t="s">
        <v>18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</row>
    <row r="2" spans="1:29" ht="27" x14ac:dyDescent="0.25">
      <c r="A2" s="46" t="s">
        <v>3</v>
      </c>
      <c r="B2" s="46"/>
      <c r="C2" s="46"/>
      <c r="D2" s="46"/>
      <c r="E2" s="46"/>
      <c r="F2" s="46"/>
      <c r="G2" s="46"/>
      <c r="H2" s="47"/>
      <c r="I2" s="47"/>
      <c r="J2" s="47"/>
      <c r="K2" s="47"/>
      <c r="L2" s="48"/>
      <c r="M2" s="48" t="s">
        <v>77</v>
      </c>
      <c r="N2" s="48" t="s">
        <v>78</v>
      </c>
      <c r="O2" s="48"/>
      <c r="P2" s="48"/>
      <c r="Q2" s="49"/>
      <c r="R2" s="1"/>
      <c r="S2" s="1"/>
      <c r="T2" s="1"/>
      <c r="U2" s="1"/>
      <c r="V2" s="1"/>
      <c r="W2" s="1"/>
      <c r="X2" s="60" t="s">
        <v>77</v>
      </c>
      <c r="Y2" s="1" t="s">
        <v>78</v>
      </c>
      <c r="Z2" s="1"/>
      <c r="AA2" s="1"/>
      <c r="AB2" s="1"/>
      <c r="AC2" s="1"/>
    </row>
    <row r="3" spans="1:29" ht="20.25" x14ac:dyDescent="0.25">
      <c r="A3" s="26"/>
      <c r="B3" s="21"/>
      <c r="C3" s="21"/>
      <c r="D3" s="21"/>
      <c r="E3" s="21"/>
      <c r="F3" s="21"/>
      <c r="G3" s="32"/>
      <c r="H3" s="410" t="s">
        <v>104</v>
      </c>
      <c r="I3" s="411"/>
      <c r="J3" s="411"/>
      <c r="K3" s="411"/>
      <c r="L3" s="411"/>
      <c r="M3" s="411"/>
      <c r="N3" s="411"/>
      <c r="O3" s="411"/>
      <c r="P3" s="411"/>
      <c r="Q3" s="411"/>
      <c r="R3" s="411"/>
      <c r="S3" s="411"/>
      <c r="T3" s="411"/>
      <c r="U3" s="411"/>
      <c r="V3" s="411"/>
      <c r="W3" s="411"/>
      <c r="X3" s="411"/>
      <c r="Y3" s="411"/>
      <c r="Z3" s="411"/>
      <c r="AA3" s="411"/>
      <c r="AB3" s="411"/>
      <c r="AC3" s="412"/>
    </row>
    <row r="4" spans="1:29" ht="15" customHeight="1" x14ac:dyDescent="0.25">
      <c r="A4" s="413"/>
      <c r="B4" s="414"/>
      <c r="C4" s="414"/>
      <c r="D4" s="414"/>
      <c r="E4" s="414"/>
      <c r="F4" s="414"/>
      <c r="G4" s="415"/>
      <c r="H4" s="416" t="s">
        <v>91</v>
      </c>
      <c r="I4" s="417"/>
      <c r="J4" s="417"/>
      <c r="K4" s="417"/>
      <c r="L4" s="417"/>
      <c r="M4" s="417"/>
      <c r="N4" s="417"/>
      <c r="O4" s="417"/>
      <c r="P4" s="417"/>
      <c r="Q4" s="418"/>
      <c r="R4" s="422" t="s">
        <v>19</v>
      </c>
      <c r="S4" s="416" t="s">
        <v>90</v>
      </c>
      <c r="T4" s="417"/>
      <c r="U4" s="417"/>
      <c r="V4" s="417"/>
      <c r="W4" s="417"/>
      <c r="X4" s="417"/>
      <c r="Y4" s="417"/>
      <c r="Z4" s="417"/>
      <c r="AA4" s="417"/>
      <c r="AB4" s="418"/>
      <c r="AC4" s="422" t="s">
        <v>19</v>
      </c>
    </row>
    <row r="5" spans="1:29" x14ac:dyDescent="0.25">
      <c r="A5" s="413"/>
      <c r="B5" s="414"/>
      <c r="C5" s="414"/>
      <c r="D5" s="414"/>
      <c r="E5" s="414"/>
      <c r="F5" s="414"/>
      <c r="G5" s="415"/>
      <c r="H5" s="419"/>
      <c r="I5" s="420"/>
      <c r="J5" s="420"/>
      <c r="K5" s="420"/>
      <c r="L5" s="420"/>
      <c r="M5" s="420"/>
      <c r="N5" s="420"/>
      <c r="O5" s="420"/>
      <c r="P5" s="420"/>
      <c r="Q5" s="421"/>
      <c r="R5" s="423"/>
      <c r="S5" s="419"/>
      <c r="T5" s="420"/>
      <c r="U5" s="420"/>
      <c r="V5" s="420"/>
      <c r="W5" s="420"/>
      <c r="X5" s="420"/>
      <c r="Y5" s="420"/>
      <c r="Z5" s="420"/>
      <c r="AA5" s="420"/>
      <c r="AB5" s="421"/>
      <c r="AC5" s="423"/>
    </row>
    <row r="6" spans="1:29" ht="18" x14ac:dyDescent="0.25">
      <c r="A6" s="425" t="s">
        <v>21</v>
      </c>
      <c r="B6" s="426"/>
      <c r="C6" s="426"/>
      <c r="D6" s="426"/>
      <c r="E6" s="426"/>
      <c r="F6" s="426"/>
      <c r="G6" s="427"/>
      <c r="H6" s="35" t="s">
        <v>81</v>
      </c>
      <c r="I6" s="36" t="s">
        <v>82</v>
      </c>
      <c r="J6" s="36" t="s">
        <v>83</v>
      </c>
      <c r="K6" s="36" t="s">
        <v>84</v>
      </c>
      <c r="L6" s="36" t="s">
        <v>85</v>
      </c>
      <c r="M6" s="36" t="s">
        <v>86</v>
      </c>
      <c r="N6" s="36" t="s">
        <v>87</v>
      </c>
      <c r="O6" s="36" t="s">
        <v>88</v>
      </c>
      <c r="P6" s="36">
        <v>2</v>
      </c>
      <c r="Q6" s="24"/>
      <c r="R6" s="424"/>
      <c r="S6" s="42">
        <v>1</v>
      </c>
      <c r="T6" s="41">
        <v>2</v>
      </c>
      <c r="U6" s="41"/>
      <c r="V6" s="41"/>
      <c r="W6" s="41"/>
      <c r="X6" s="41"/>
      <c r="Y6" s="41"/>
      <c r="Z6" s="41"/>
      <c r="AA6" s="41"/>
      <c r="AB6" s="41"/>
      <c r="AC6" s="424"/>
    </row>
    <row r="7" spans="1:29" ht="27" customHeight="1" x14ac:dyDescent="0.25">
      <c r="A7" s="34" t="s">
        <v>5</v>
      </c>
      <c r="B7" s="407" t="s">
        <v>40</v>
      </c>
      <c r="C7" s="408"/>
      <c r="D7" s="408"/>
      <c r="E7" s="408"/>
      <c r="F7" s="408"/>
      <c r="G7" s="409"/>
      <c r="H7" s="259">
        <v>10</v>
      </c>
      <c r="I7" s="43">
        <v>10</v>
      </c>
      <c r="J7" s="43">
        <v>10</v>
      </c>
      <c r="K7" s="43">
        <v>10</v>
      </c>
      <c r="L7" s="43">
        <v>10</v>
      </c>
      <c r="M7" s="43">
        <v>10</v>
      </c>
      <c r="N7" s="43">
        <v>10</v>
      </c>
      <c r="O7" s="43">
        <v>10</v>
      </c>
      <c r="P7" s="43">
        <v>20</v>
      </c>
      <c r="Q7" s="43"/>
      <c r="R7" s="73">
        <f>IF(OR(SUM(H7:Q7)&gt;100,SUM(H7:Q7)&lt;0),"",SUM(H7:Q7))</f>
        <v>100</v>
      </c>
      <c r="S7" s="66"/>
      <c r="T7" s="67"/>
      <c r="U7" s="67"/>
      <c r="V7" s="67"/>
      <c r="W7" s="67"/>
      <c r="X7" s="67"/>
      <c r="Y7" s="67"/>
      <c r="Z7" s="67"/>
      <c r="AA7" s="44"/>
      <c r="AB7" s="44"/>
      <c r="AC7" s="73">
        <f>IF(OR(SUM(S7:AB7)&gt;100,SUM(S7:AB7)&lt;0),"",SUM(S7:AB7))</f>
        <v>0</v>
      </c>
    </row>
    <row r="8" spans="1:29" x14ac:dyDescent="0.25">
      <c r="A8" s="107">
        <f>IF('Avaliação Períodos'!A9=0,"",'Avaliação Períodos'!A9)</f>
        <v>1</v>
      </c>
      <c r="B8" s="404" t="str">
        <f>IF('Avaliação Períodos'!B9=0,"",'Avaliação Períodos'!B9)</f>
        <v>Ademar Monforte</v>
      </c>
      <c r="C8" s="405"/>
      <c r="D8" s="405"/>
      <c r="E8" s="405"/>
      <c r="F8" s="405"/>
      <c r="G8" s="406"/>
      <c r="H8" s="260">
        <v>10</v>
      </c>
      <c r="I8" s="240">
        <v>10</v>
      </c>
      <c r="J8" s="240">
        <v>10</v>
      </c>
      <c r="K8" s="240">
        <v>10</v>
      </c>
      <c r="L8" s="240">
        <v>10</v>
      </c>
      <c r="M8" s="240">
        <v>0</v>
      </c>
      <c r="N8" s="240">
        <v>0</v>
      </c>
      <c r="O8" s="240">
        <v>10</v>
      </c>
      <c r="P8" s="247">
        <v>0</v>
      </c>
      <c r="Q8" s="261"/>
      <c r="R8" s="37">
        <f t="shared" ref="R8:R37" si="0">IF(COUNT(H8:Q8)=0,"",SUM(H8:Q8))</f>
        <v>60</v>
      </c>
      <c r="S8" s="246"/>
      <c r="T8" s="247"/>
      <c r="U8" s="247"/>
      <c r="V8" s="247"/>
      <c r="W8" s="247"/>
      <c r="X8" s="247"/>
      <c r="Y8" s="247"/>
      <c r="Z8" s="247"/>
      <c r="AA8" s="247"/>
      <c r="AB8" s="247">
        <v>40</v>
      </c>
      <c r="AC8" s="30">
        <f t="shared" ref="AC8:AC37" si="1">IF(COUNT(S8:AB8)=0,"",SUM(S8:AB8))</f>
        <v>40</v>
      </c>
    </row>
    <row r="9" spans="1:29" x14ac:dyDescent="0.25">
      <c r="A9" s="108">
        <f>IF('Avaliação Períodos'!A10=0,"",'Avaliação Períodos'!A10)</f>
        <v>2</v>
      </c>
      <c r="B9" s="428" t="str">
        <f>IF('Avaliação Períodos'!B10=0,"",'Avaliação Períodos'!B10)</f>
        <v>Alexandre Simões</v>
      </c>
      <c r="C9" s="429"/>
      <c r="D9" s="429"/>
      <c r="E9" s="429"/>
      <c r="F9" s="429"/>
      <c r="G9" s="430"/>
      <c r="H9" s="262">
        <v>0</v>
      </c>
      <c r="I9" s="241">
        <v>0</v>
      </c>
      <c r="J9" s="241">
        <v>0</v>
      </c>
      <c r="K9" s="241">
        <v>10</v>
      </c>
      <c r="L9" s="241">
        <v>10</v>
      </c>
      <c r="M9" s="241">
        <v>0</v>
      </c>
      <c r="N9" s="241">
        <v>10</v>
      </c>
      <c r="O9" s="241">
        <v>0</v>
      </c>
      <c r="P9" s="249">
        <v>0</v>
      </c>
      <c r="Q9" s="263"/>
      <c r="R9" s="37">
        <f t="shared" si="0"/>
        <v>30</v>
      </c>
      <c r="S9" s="248"/>
      <c r="T9" s="249"/>
      <c r="U9" s="249"/>
      <c r="V9" s="249"/>
      <c r="W9" s="249"/>
      <c r="X9" s="249"/>
      <c r="Y9" s="249"/>
      <c r="Z9" s="249"/>
      <c r="AA9" s="249"/>
      <c r="AB9" s="249">
        <v>60</v>
      </c>
      <c r="AC9" s="30">
        <f t="shared" si="1"/>
        <v>60</v>
      </c>
    </row>
    <row r="10" spans="1:29" x14ac:dyDescent="0.25">
      <c r="A10" s="107">
        <f>IF('Avaliação Períodos'!A11=0,"",'Avaliação Períodos'!A11)</f>
        <v>3</v>
      </c>
      <c r="B10" s="404" t="str">
        <f>IF('Avaliação Períodos'!B11=0,"",'Avaliação Períodos'!B11)</f>
        <v>Ana Inácio</v>
      </c>
      <c r="C10" s="405"/>
      <c r="D10" s="405"/>
      <c r="E10" s="405"/>
      <c r="F10" s="405"/>
      <c r="G10" s="406"/>
      <c r="H10" s="254">
        <v>10</v>
      </c>
      <c r="I10" s="242">
        <v>10</v>
      </c>
      <c r="J10" s="242">
        <v>10</v>
      </c>
      <c r="K10" s="242">
        <v>10</v>
      </c>
      <c r="L10" s="242">
        <v>10</v>
      </c>
      <c r="M10" s="242">
        <v>10</v>
      </c>
      <c r="N10" s="242">
        <v>10</v>
      </c>
      <c r="O10" s="242">
        <v>0</v>
      </c>
      <c r="P10" s="252">
        <v>20</v>
      </c>
      <c r="Q10" s="264"/>
      <c r="R10" s="37">
        <f t="shared" si="0"/>
        <v>90</v>
      </c>
      <c r="S10" s="250"/>
      <c r="T10" s="251"/>
      <c r="U10" s="251"/>
      <c r="V10" s="251"/>
      <c r="W10" s="251"/>
      <c r="X10" s="251"/>
      <c r="Y10" s="251"/>
      <c r="Z10" s="251"/>
      <c r="AA10" s="252"/>
      <c r="AB10" s="251">
        <v>80</v>
      </c>
      <c r="AC10" s="30">
        <f t="shared" si="1"/>
        <v>80</v>
      </c>
    </row>
    <row r="11" spans="1:29" x14ac:dyDescent="0.25">
      <c r="A11" s="108">
        <f>IF('Avaliação Períodos'!A12=0,"",'Avaliação Períodos'!A12)</f>
        <v>4</v>
      </c>
      <c r="B11" s="428" t="str">
        <f>IF('Avaliação Períodos'!B12=0,"",'Avaliação Períodos'!B12)</f>
        <v>Ana Gomes</v>
      </c>
      <c r="C11" s="429"/>
      <c r="D11" s="429"/>
      <c r="E11" s="429"/>
      <c r="F11" s="429"/>
      <c r="G11" s="430"/>
      <c r="H11" s="262">
        <v>10</v>
      </c>
      <c r="I11" s="241">
        <v>10</v>
      </c>
      <c r="J11" s="241">
        <v>10</v>
      </c>
      <c r="K11" s="241">
        <v>10</v>
      </c>
      <c r="L11" s="241">
        <v>10</v>
      </c>
      <c r="M11" s="241">
        <v>10</v>
      </c>
      <c r="N11" s="241">
        <v>0</v>
      </c>
      <c r="O11" s="241">
        <v>10</v>
      </c>
      <c r="P11" s="249">
        <v>20</v>
      </c>
      <c r="Q11" s="263"/>
      <c r="R11" s="37">
        <f t="shared" si="0"/>
        <v>90</v>
      </c>
      <c r="S11" s="248"/>
      <c r="T11" s="249"/>
      <c r="U11" s="249"/>
      <c r="V11" s="249"/>
      <c r="W11" s="249"/>
      <c r="X11" s="249"/>
      <c r="Y11" s="249"/>
      <c r="Z11" s="249"/>
      <c r="AA11" s="249"/>
      <c r="AB11" s="249">
        <v>80</v>
      </c>
      <c r="AC11" s="30">
        <f t="shared" si="1"/>
        <v>80</v>
      </c>
    </row>
    <row r="12" spans="1:29" x14ac:dyDescent="0.25">
      <c r="A12" s="107">
        <f>IF('Avaliação Períodos'!A13=0,"",'Avaliação Períodos'!A13)</f>
        <v>5</v>
      </c>
      <c r="B12" s="404" t="str">
        <f>IF('Avaliação Períodos'!B13=0,"",'Avaliação Períodos'!B13)</f>
        <v>Bruna Lemos</v>
      </c>
      <c r="C12" s="405"/>
      <c r="D12" s="405"/>
      <c r="E12" s="405"/>
      <c r="F12" s="405"/>
      <c r="G12" s="406"/>
      <c r="H12" s="254">
        <v>10</v>
      </c>
      <c r="I12" s="242">
        <v>10</v>
      </c>
      <c r="J12" s="242">
        <v>0</v>
      </c>
      <c r="K12" s="242">
        <v>10</v>
      </c>
      <c r="L12" s="242">
        <v>10</v>
      </c>
      <c r="M12" s="242">
        <v>10</v>
      </c>
      <c r="N12" s="242">
        <v>10</v>
      </c>
      <c r="O12" s="242">
        <v>10</v>
      </c>
      <c r="P12" s="252">
        <v>0</v>
      </c>
      <c r="Q12" s="264"/>
      <c r="R12" s="37">
        <f t="shared" si="0"/>
        <v>70</v>
      </c>
      <c r="S12" s="250"/>
      <c r="T12" s="251"/>
      <c r="U12" s="251"/>
      <c r="V12" s="251"/>
      <c r="W12" s="251"/>
      <c r="X12" s="251"/>
      <c r="Y12" s="251"/>
      <c r="Z12" s="251"/>
      <c r="AA12" s="252"/>
      <c r="AB12" s="251">
        <v>40</v>
      </c>
      <c r="AC12" s="30">
        <f t="shared" si="1"/>
        <v>40</v>
      </c>
    </row>
    <row r="13" spans="1:29" x14ac:dyDescent="0.25">
      <c r="A13" s="108">
        <f>IF('Avaliação Períodos'!A14=0,"",'Avaliação Períodos'!A14)</f>
        <v>6</v>
      </c>
      <c r="B13" s="428" t="str">
        <f>IF('Avaliação Períodos'!B14=0,"",'Avaliação Períodos'!B14)</f>
        <v>Constança Abreu</v>
      </c>
      <c r="C13" s="429"/>
      <c r="D13" s="429"/>
      <c r="E13" s="429"/>
      <c r="F13" s="429"/>
      <c r="G13" s="430"/>
      <c r="H13" s="262">
        <v>10</v>
      </c>
      <c r="I13" s="241">
        <v>10</v>
      </c>
      <c r="J13" s="241">
        <v>10</v>
      </c>
      <c r="K13" s="241">
        <v>10</v>
      </c>
      <c r="L13" s="241">
        <v>0</v>
      </c>
      <c r="M13" s="241">
        <v>10</v>
      </c>
      <c r="N13" s="241">
        <v>0</v>
      </c>
      <c r="O13" s="241">
        <v>10</v>
      </c>
      <c r="P13" s="249">
        <v>0</v>
      </c>
      <c r="Q13" s="263"/>
      <c r="R13" s="37">
        <f t="shared" si="0"/>
        <v>60</v>
      </c>
      <c r="S13" s="248"/>
      <c r="T13" s="249"/>
      <c r="U13" s="249"/>
      <c r="V13" s="249"/>
      <c r="W13" s="249"/>
      <c r="X13" s="249"/>
      <c r="Y13" s="249"/>
      <c r="Z13" s="249"/>
      <c r="AA13" s="249"/>
      <c r="AB13" s="249">
        <v>40</v>
      </c>
      <c r="AC13" s="30">
        <f t="shared" si="1"/>
        <v>40</v>
      </c>
    </row>
    <row r="14" spans="1:29" x14ac:dyDescent="0.25">
      <c r="A14" s="107">
        <f>IF('Avaliação Períodos'!A15=0,"",'Avaliação Períodos'!A15)</f>
        <v>7</v>
      </c>
      <c r="B14" s="404" t="str">
        <f>IF('Avaliação Períodos'!B15=0,"",'Avaliação Períodos'!B15)</f>
        <v>Cristiano Emídio</v>
      </c>
      <c r="C14" s="405"/>
      <c r="D14" s="405"/>
      <c r="E14" s="405"/>
      <c r="F14" s="405"/>
      <c r="G14" s="406"/>
      <c r="H14" s="254">
        <v>10</v>
      </c>
      <c r="I14" s="242">
        <v>10</v>
      </c>
      <c r="J14" s="242">
        <v>10</v>
      </c>
      <c r="K14" s="242">
        <v>10</v>
      </c>
      <c r="L14" s="242">
        <v>10</v>
      </c>
      <c r="M14" s="242">
        <v>0</v>
      </c>
      <c r="N14" s="242">
        <v>0</v>
      </c>
      <c r="O14" s="242">
        <v>0</v>
      </c>
      <c r="P14" s="252">
        <v>0</v>
      </c>
      <c r="Q14" s="264"/>
      <c r="R14" s="37">
        <f t="shared" si="0"/>
        <v>50</v>
      </c>
      <c r="S14" s="250"/>
      <c r="T14" s="251"/>
      <c r="U14" s="251"/>
      <c r="V14" s="251"/>
      <c r="W14" s="251"/>
      <c r="X14" s="251"/>
      <c r="Y14" s="251"/>
      <c r="Z14" s="251"/>
      <c r="AA14" s="252"/>
      <c r="AB14" s="251">
        <v>60</v>
      </c>
      <c r="AC14" s="30">
        <f t="shared" si="1"/>
        <v>60</v>
      </c>
    </row>
    <row r="15" spans="1:29" x14ac:dyDescent="0.25">
      <c r="A15" s="108">
        <f>IF('Avaliação Períodos'!A16=0,"",'Avaliação Períodos'!A16)</f>
        <v>8</v>
      </c>
      <c r="B15" s="428" t="str">
        <f>IF('Avaliação Períodos'!B16=0,"",'Avaliação Períodos'!B16)</f>
        <v>Edgar Gonçalves</v>
      </c>
      <c r="C15" s="429"/>
      <c r="D15" s="429"/>
      <c r="E15" s="429"/>
      <c r="F15" s="429"/>
      <c r="G15" s="430"/>
      <c r="H15" s="262">
        <v>0</v>
      </c>
      <c r="I15" s="241">
        <v>10</v>
      </c>
      <c r="J15" s="241">
        <v>10</v>
      </c>
      <c r="K15" s="241">
        <v>10</v>
      </c>
      <c r="L15" s="241">
        <v>0</v>
      </c>
      <c r="M15" s="241">
        <v>0</v>
      </c>
      <c r="N15" s="241">
        <v>0</v>
      </c>
      <c r="O15" s="241">
        <v>0</v>
      </c>
      <c r="P15" s="249">
        <v>0</v>
      </c>
      <c r="Q15" s="263"/>
      <c r="R15" s="37">
        <f t="shared" si="0"/>
        <v>30</v>
      </c>
      <c r="S15" s="248"/>
      <c r="T15" s="249"/>
      <c r="U15" s="253"/>
      <c r="V15" s="249"/>
      <c r="W15" s="249"/>
      <c r="X15" s="249"/>
      <c r="Y15" s="249"/>
      <c r="Z15" s="249"/>
      <c r="AA15" s="249"/>
      <c r="AB15" s="249">
        <v>40</v>
      </c>
      <c r="AC15" s="30">
        <f t="shared" si="1"/>
        <v>40</v>
      </c>
    </row>
    <row r="16" spans="1:29" x14ac:dyDescent="0.25">
      <c r="A16" s="107">
        <f>IF('Avaliação Períodos'!A17=0,"",'Avaliação Períodos'!A17)</f>
        <v>9</v>
      </c>
      <c r="B16" s="404" t="str">
        <f>IF('Avaliação Períodos'!B17=0,"",'Avaliação Períodos'!B17)</f>
        <v>Fábio Trino</v>
      </c>
      <c r="C16" s="405"/>
      <c r="D16" s="405"/>
      <c r="E16" s="405"/>
      <c r="F16" s="405"/>
      <c r="G16" s="406"/>
      <c r="H16" s="254">
        <v>10</v>
      </c>
      <c r="I16" s="242">
        <v>10</v>
      </c>
      <c r="J16" s="242">
        <v>0</v>
      </c>
      <c r="K16" s="242">
        <v>10</v>
      </c>
      <c r="L16" s="242">
        <v>10</v>
      </c>
      <c r="M16" s="242">
        <v>0</v>
      </c>
      <c r="N16" s="242">
        <v>10</v>
      </c>
      <c r="O16" s="242">
        <v>10</v>
      </c>
      <c r="P16" s="252">
        <v>0</v>
      </c>
      <c r="Q16" s="264"/>
      <c r="R16" s="37">
        <f t="shared" si="0"/>
        <v>60</v>
      </c>
      <c r="S16" s="250"/>
      <c r="T16" s="251"/>
      <c r="U16" s="251"/>
      <c r="V16" s="251"/>
      <c r="W16" s="251"/>
      <c r="X16" s="251"/>
      <c r="Y16" s="251"/>
      <c r="Z16" s="251"/>
      <c r="AA16" s="252"/>
      <c r="AB16" s="251">
        <v>60</v>
      </c>
      <c r="AC16" s="30">
        <f t="shared" si="1"/>
        <v>60</v>
      </c>
    </row>
    <row r="17" spans="1:29" x14ac:dyDescent="0.25">
      <c r="A17" s="108">
        <f>IF('Avaliação Períodos'!A18=0,"",'Avaliação Períodos'!A18)</f>
        <v>10</v>
      </c>
      <c r="B17" s="428" t="str">
        <f>IF('Avaliação Períodos'!B18=0,"",'Avaliação Períodos'!B18)</f>
        <v>Francisco Pedrosa</v>
      </c>
      <c r="C17" s="429"/>
      <c r="D17" s="429"/>
      <c r="E17" s="429"/>
      <c r="F17" s="429"/>
      <c r="G17" s="430"/>
      <c r="H17" s="262">
        <v>0</v>
      </c>
      <c r="I17" s="241">
        <v>0</v>
      </c>
      <c r="J17" s="241">
        <v>10</v>
      </c>
      <c r="K17" s="241">
        <v>0</v>
      </c>
      <c r="L17" s="241">
        <v>10</v>
      </c>
      <c r="M17" s="241">
        <v>0</v>
      </c>
      <c r="N17" s="241">
        <v>0</v>
      </c>
      <c r="O17" s="241">
        <v>0</v>
      </c>
      <c r="P17" s="249">
        <v>0</v>
      </c>
      <c r="Q17" s="263"/>
      <c r="R17" s="37">
        <f t="shared" si="0"/>
        <v>20</v>
      </c>
      <c r="S17" s="248"/>
      <c r="T17" s="249"/>
      <c r="U17" s="249"/>
      <c r="V17" s="249"/>
      <c r="W17" s="249"/>
      <c r="X17" s="249"/>
      <c r="Y17" s="249"/>
      <c r="Z17" s="249"/>
      <c r="AA17" s="249"/>
      <c r="AB17" s="249">
        <v>40</v>
      </c>
      <c r="AC17" s="30">
        <f t="shared" si="1"/>
        <v>40</v>
      </c>
    </row>
    <row r="18" spans="1:29" x14ac:dyDescent="0.25">
      <c r="A18" s="107">
        <f>IF('Avaliação Períodos'!A19=0,"",'Avaliação Períodos'!A19)</f>
        <v>11</v>
      </c>
      <c r="B18" s="404" t="str">
        <f>IF('Avaliação Períodos'!B19=0,"",'Avaliação Períodos'!B19)</f>
        <v>Francisco Miranda</v>
      </c>
      <c r="C18" s="405"/>
      <c r="D18" s="405"/>
      <c r="E18" s="405"/>
      <c r="F18" s="405"/>
      <c r="G18" s="406"/>
      <c r="H18" s="254">
        <v>10</v>
      </c>
      <c r="I18" s="242">
        <v>0</v>
      </c>
      <c r="J18" s="242">
        <v>0</v>
      </c>
      <c r="K18" s="242">
        <v>10</v>
      </c>
      <c r="L18" s="242">
        <v>0</v>
      </c>
      <c r="M18" s="242">
        <v>10</v>
      </c>
      <c r="N18" s="242">
        <v>0</v>
      </c>
      <c r="O18" s="242">
        <v>0</v>
      </c>
      <c r="P18" s="251">
        <v>0</v>
      </c>
      <c r="Q18" s="264"/>
      <c r="R18" s="37">
        <f t="shared" si="0"/>
        <v>30</v>
      </c>
      <c r="S18" s="254"/>
      <c r="T18" s="251"/>
      <c r="U18" s="251"/>
      <c r="V18" s="251"/>
      <c r="W18" s="251"/>
      <c r="X18" s="251"/>
      <c r="Y18" s="251"/>
      <c r="Z18" s="251"/>
      <c r="AA18" s="251"/>
      <c r="AB18" s="251">
        <v>40</v>
      </c>
      <c r="AC18" s="30">
        <f t="shared" si="1"/>
        <v>40</v>
      </c>
    </row>
    <row r="19" spans="1:29" x14ac:dyDescent="0.25">
      <c r="A19" s="108">
        <f>IF('Avaliação Períodos'!A20=0,"",'Avaliação Períodos'!A20)</f>
        <v>12</v>
      </c>
      <c r="B19" s="428" t="str">
        <f>IF('Avaliação Períodos'!B20=0,"",'Avaliação Períodos'!B20)</f>
        <v>Francisco Mota</v>
      </c>
      <c r="C19" s="429"/>
      <c r="D19" s="429"/>
      <c r="E19" s="429"/>
      <c r="F19" s="429"/>
      <c r="G19" s="430"/>
      <c r="H19" s="262">
        <v>10</v>
      </c>
      <c r="I19" s="241">
        <v>0</v>
      </c>
      <c r="J19" s="241">
        <v>10</v>
      </c>
      <c r="K19" s="241">
        <v>0</v>
      </c>
      <c r="L19" s="241">
        <v>0</v>
      </c>
      <c r="M19" s="241">
        <v>10</v>
      </c>
      <c r="N19" s="241">
        <v>10</v>
      </c>
      <c r="O19" s="241">
        <v>0</v>
      </c>
      <c r="P19" s="249">
        <v>20</v>
      </c>
      <c r="Q19" s="263"/>
      <c r="R19" s="37">
        <f t="shared" si="0"/>
        <v>60</v>
      </c>
      <c r="S19" s="248"/>
      <c r="T19" s="249"/>
      <c r="U19" s="249"/>
      <c r="V19" s="249"/>
      <c r="W19" s="249"/>
      <c r="X19" s="249"/>
      <c r="Y19" s="249"/>
      <c r="Z19" s="249"/>
      <c r="AA19" s="249"/>
      <c r="AB19" s="249">
        <v>40</v>
      </c>
      <c r="AC19" s="30">
        <f t="shared" si="1"/>
        <v>40</v>
      </c>
    </row>
    <row r="20" spans="1:29" x14ac:dyDescent="0.25">
      <c r="A20" s="107">
        <f>IF('Avaliação Períodos'!A21=0,"",'Avaliação Períodos'!A21)</f>
        <v>13</v>
      </c>
      <c r="B20" s="404" t="str">
        <f>IF('Avaliação Períodos'!B21=0,"",'Avaliação Períodos'!B21)</f>
        <v>Francisco Marques</v>
      </c>
      <c r="C20" s="405"/>
      <c r="D20" s="405"/>
      <c r="E20" s="405"/>
      <c r="F20" s="405"/>
      <c r="G20" s="406"/>
      <c r="H20" s="254">
        <v>10</v>
      </c>
      <c r="I20" s="242">
        <v>0</v>
      </c>
      <c r="J20" s="242">
        <v>10</v>
      </c>
      <c r="K20" s="242">
        <v>0</v>
      </c>
      <c r="L20" s="242">
        <v>10</v>
      </c>
      <c r="M20" s="242">
        <v>10</v>
      </c>
      <c r="N20" s="242">
        <v>10</v>
      </c>
      <c r="O20" s="242">
        <v>0</v>
      </c>
      <c r="P20" s="251">
        <v>0</v>
      </c>
      <c r="Q20" s="264"/>
      <c r="R20" s="37">
        <f t="shared" si="0"/>
        <v>50</v>
      </c>
      <c r="S20" s="254"/>
      <c r="T20" s="251"/>
      <c r="U20" s="251"/>
      <c r="V20" s="251"/>
      <c r="W20" s="251"/>
      <c r="X20" s="251"/>
      <c r="Y20" s="251"/>
      <c r="Z20" s="251"/>
      <c r="AA20" s="251"/>
      <c r="AB20" s="251">
        <v>20</v>
      </c>
      <c r="AC20" s="30">
        <f t="shared" si="1"/>
        <v>20</v>
      </c>
    </row>
    <row r="21" spans="1:29" x14ac:dyDescent="0.25">
      <c r="A21" s="108">
        <f>IF('Avaliação Períodos'!A22=0,"",'Avaliação Períodos'!A22)</f>
        <v>14</v>
      </c>
      <c r="B21" s="428" t="str">
        <f>IF('Avaliação Períodos'!B22=0,"",'Avaliação Períodos'!B22)</f>
        <v>Jamila Portilha</v>
      </c>
      <c r="C21" s="429"/>
      <c r="D21" s="429"/>
      <c r="E21" s="429"/>
      <c r="F21" s="429"/>
      <c r="G21" s="430"/>
      <c r="H21" s="262">
        <v>10</v>
      </c>
      <c r="I21" s="241">
        <v>10</v>
      </c>
      <c r="J21" s="241">
        <v>10</v>
      </c>
      <c r="K21" s="241">
        <v>10</v>
      </c>
      <c r="L21" s="241">
        <v>10</v>
      </c>
      <c r="M21" s="241">
        <v>10</v>
      </c>
      <c r="N21" s="241">
        <v>0</v>
      </c>
      <c r="O21" s="241">
        <v>10</v>
      </c>
      <c r="P21" s="249">
        <v>20</v>
      </c>
      <c r="Q21" s="263"/>
      <c r="R21" s="37">
        <f t="shared" si="0"/>
        <v>90</v>
      </c>
      <c r="S21" s="248"/>
      <c r="T21" s="249"/>
      <c r="U21" s="249"/>
      <c r="V21" s="249"/>
      <c r="W21" s="249"/>
      <c r="X21" s="249"/>
      <c r="Y21" s="249"/>
      <c r="Z21" s="249"/>
      <c r="AA21" s="249"/>
      <c r="AB21" s="249">
        <v>40</v>
      </c>
      <c r="AC21" s="30">
        <f t="shared" si="1"/>
        <v>40</v>
      </c>
    </row>
    <row r="22" spans="1:29" x14ac:dyDescent="0.25">
      <c r="A22" s="107">
        <v>15</v>
      </c>
      <c r="B22" s="404" t="str">
        <f>IF('Avaliação Períodos'!B23=0,"",'Avaliação Períodos'!B23)</f>
        <v>Joelma Emídio</v>
      </c>
      <c r="C22" s="405"/>
      <c r="D22" s="405"/>
      <c r="E22" s="405"/>
      <c r="F22" s="405"/>
      <c r="G22" s="406"/>
      <c r="H22" s="254">
        <v>0</v>
      </c>
      <c r="I22" s="242">
        <v>0</v>
      </c>
      <c r="J22" s="242">
        <v>0</v>
      </c>
      <c r="K22" s="242">
        <v>0</v>
      </c>
      <c r="L22" s="242">
        <v>0</v>
      </c>
      <c r="M22" s="242">
        <v>0</v>
      </c>
      <c r="N22" s="242">
        <v>0</v>
      </c>
      <c r="O22" s="242">
        <v>0</v>
      </c>
      <c r="P22" s="251">
        <v>0</v>
      </c>
      <c r="Q22" s="264"/>
      <c r="R22" s="37">
        <f t="shared" si="0"/>
        <v>0</v>
      </c>
      <c r="S22" s="254"/>
      <c r="T22" s="251"/>
      <c r="U22" s="251"/>
      <c r="V22" s="251"/>
      <c r="W22" s="251"/>
      <c r="X22" s="251"/>
      <c r="Y22" s="251"/>
      <c r="Z22" s="251"/>
      <c r="AA22" s="251"/>
      <c r="AB22" s="251">
        <v>60</v>
      </c>
      <c r="AC22" s="30">
        <f t="shared" si="1"/>
        <v>60</v>
      </c>
    </row>
    <row r="23" spans="1:29" x14ac:dyDescent="0.25">
      <c r="A23" s="108">
        <f>IF('Avaliação Períodos'!A24=0,"",'Avaliação Períodos'!A24)</f>
        <v>16</v>
      </c>
      <c r="B23" s="428" t="str">
        <f>IF('Avaliação Períodos'!B24=0,"",'Avaliação Períodos'!B24)</f>
        <v>José Garcia</v>
      </c>
      <c r="C23" s="429"/>
      <c r="D23" s="429"/>
      <c r="E23" s="429"/>
      <c r="F23" s="429"/>
      <c r="G23" s="430"/>
      <c r="H23" s="262">
        <v>0</v>
      </c>
      <c r="I23" s="241">
        <v>0</v>
      </c>
      <c r="J23" s="241">
        <v>0</v>
      </c>
      <c r="K23" s="241">
        <v>10</v>
      </c>
      <c r="L23" s="241">
        <v>0</v>
      </c>
      <c r="M23" s="241">
        <v>10</v>
      </c>
      <c r="N23" s="241">
        <v>0</v>
      </c>
      <c r="O23" s="241">
        <v>10</v>
      </c>
      <c r="P23" s="249">
        <v>0</v>
      </c>
      <c r="Q23" s="263"/>
      <c r="R23" s="37">
        <f t="shared" si="0"/>
        <v>30</v>
      </c>
      <c r="S23" s="248"/>
      <c r="T23" s="249"/>
      <c r="U23" s="249"/>
      <c r="V23" s="249"/>
      <c r="W23" s="249"/>
      <c r="X23" s="249"/>
      <c r="Y23" s="249"/>
      <c r="Z23" s="249"/>
      <c r="AA23" s="249"/>
      <c r="AB23" s="249">
        <v>20</v>
      </c>
      <c r="AC23" s="30">
        <f t="shared" si="1"/>
        <v>20</v>
      </c>
    </row>
    <row r="24" spans="1:29" x14ac:dyDescent="0.25">
      <c r="A24" s="107">
        <f>IF('Avaliação Períodos'!A25=0,"",'Avaliação Períodos'!A25)</f>
        <v>17</v>
      </c>
      <c r="B24" s="404" t="str">
        <f>IF('Avaliação Períodos'!B25=0,"",'Avaliação Períodos'!B25)</f>
        <v>Leonor Gomes</v>
      </c>
      <c r="C24" s="405"/>
      <c r="D24" s="405"/>
      <c r="E24" s="405"/>
      <c r="F24" s="405"/>
      <c r="G24" s="406"/>
      <c r="H24" s="254">
        <v>10</v>
      </c>
      <c r="I24" s="242">
        <v>10</v>
      </c>
      <c r="J24" s="242">
        <v>10</v>
      </c>
      <c r="K24" s="242">
        <v>10</v>
      </c>
      <c r="L24" s="242">
        <v>10</v>
      </c>
      <c r="M24" s="242">
        <v>10</v>
      </c>
      <c r="N24" s="242">
        <v>0</v>
      </c>
      <c r="O24" s="242">
        <v>10</v>
      </c>
      <c r="P24" s="251">
        <v>20</v>
      </c>
      <c r="Q24" s="264"/>
      <c r="R24" s="37">
        <f t="shared" si="0"/>
        <v>90</v>
      </c>
      <c r="S24" s="254"/>
      <c r="T24" s="251"/>
      <c r="U24" s="251"/>
      <c r="V24" s="251"/>
      <c r="W24" s="251"/>
      <c r="X24" s="251"/>
      <c r="Y24" s="251"/>
      <c r="Z24" s="251"/>
      <c r="AA24" s="251"/>
      <c r="AB24" s="251">
        <v>80</v>
      </c>
      <c r="AC24" s="30">
        <f t="shared" si="1"/>
        <v>80</v>
      </c>
    </row>
    <row r="25" spans="1:29" x14ac:dyDescent="0.25">
      <c r="A25" s="108">
        <f>IF('Avaliação Períodos'!A26=0,"",'Avaliação Períodos'!A26)</f>
        <v>18</v>
      </c>
      <c r="B25" s="428" t="str">
        <f>IF('Avaliação Períodos'!B26=0,"",'Avaliação Períodos'!B26)</f>
        <v>Martim Santos</v>
      </c>
      <c r="C25" s="429"/>
      <c r="D25" s="429"/>
      <c r="E25" s="429"/>
      <c r="F25" s="429"/>
      <c r="G25" s="430"/>
      <c r="H25" s="262">
        <v>10</v>
      </c>
      <c r="I25" s="241">
        <v>10</v>
      </c>
      <c r="J25" s="241">
        <v>10</v>
      </c>
      <c r="K25" s="241">
        <v>10</v>
      </c>
      <c r="L25" s="241">
        <v>0</v>
      </c>
      <c r="M25" s="241">
        <v>10</v>
      </c>
      <c r="N25" s="241">
        <v>0</v>
      </c>
      <c r="O25" s="241">
        <v>10</v>
      </c>
      <c r="P25" s="249">
        <v>0</v>
      </c>
      <c r="Q25" s="263"/>
      <c r="R25" s="37">
        <f t="shared" si="0"/>
        <v>60</v>
      </c>
      <c r="S25" s="248"/>
      <c r="T25" s="249"/>
      <c r="U25" s="249"/>
      <c r="V25" s="249"/>
      <c r="W25" s="249"/>
      <c r="X25" s="249"/>
      <c r="Y25" s="249"/>
      <c r="Z25" s="249"/>
      <c r="AA25" s="249"/>
      <c r="AB25" s="249">
        <v>0</v>
      </c>
      <c r="AC25" s="30">
        <f t="shared" si="1"/>
        <v>0</v>
      </c>
    </row>
    <row r="26" spans="1:29" x14ac:dyDescent="0.25">
      <c r="A26" s="107">
        <f>IF('Avaliação Períodos'!A27=0,"",'Avaliação Períodos'!A27)</f>
        <v>19</v>
      </c>
      <c r="B26" s="404" t="str">
        <f>IF('Avaliação Períodos'!B27=0,"",'Avaliação Períodos'!B27)</f>
        <v>Nikole Lage</v>
      </c>
      <c r="C26" s="405"/>
      <c r="D26" s="405"/>
      <c r="E26" s="405"/>
      <c r="F26" s="405"/>
      <c r="G26" s="406"/>
      <c r="H26" s="254">
        <v>0</v>
      </c>
      <c r="I26" s="242">
        <v>10</v>
      </c>
      <c r="J26" s="242">
        <v>10</v>
      </c>
      <c r="K26" s="242">
        <v>0</v>
      </c>
      <c r="L26" s="242">
        <v>0</v>
      </c>
      <c r="M26" s="242">
        <v>0</v>
      </c>
      <c r="N26" s="242">
        <v>0</v>
      </c>
      <c r="O26" s="242">
        <v>10</v>
      </c>
      <c r="P26" s="251">
        <v>0</v>
      </c>
      <c r="Q26" s="264"/>
      <c r="R26" s="37">
        <f t="shared" si="0"/>
        <v>30</v>
      </c>
      <c r="S26" s="254"/>
      <c r="T26" s="251"/>
      <c r="U26" s="251"/>
      <c r="V26" s="251"/>
      <c r="W26" s="251"/>
      <c r="X26" s="251"/>
      <c r="Y26" s="251"/>
      <c r="Z26" s="251"/>
      <c r="AA26" s="251"/>
      <c r="AB26" s="251">
        <v>0</v>
      </c>
      <c r="AC26" s="30">
        <f t="shared" si="1"/>
        <v>0</v>
      </c>
    </row>
    <row r="27" spans="1:29" x14ac:dyDescent="0.25">
      <c r="A27" s="108">
        <f>IF('Avaliação Períodos'!A28=0,"",'Avaliação Períodos'!A28)</f>
        <v>20</v>
      </c>
      <c r="B27" s="428" t="str">
        <f>IF('Avaliação Períodos'!B28=0,"",'Avaliação Períodos'!B28)</f>
        <v>Tatiana Gomes</v>
      </c>
      <c r="C27" s="429"/>
      <c r="D27" s="429"/>
      <c r="E27" s="429"/>
      <c r="F27" s="429"/>
      <c r="G27" s="430"/>
      <c r="H27" s="262">
        <v>10</v>
      </c>
      <c r="I27" s="241">
        <v>10</v>
      </c>
      <c r="J27" s="241">
        <v>0</v>
      </c>
      <c r="K27" s="241">
        <v>10</v>
      </c>
      <c r="L27" s="241">
        <v>10</v>
      </c>
      <c r="M27" s="241">
        <v>10</v>
      </c>
      <c r="N27" s="241">
        <v>0</v>
      </c>
      <c r="O27" s="241">
        <v>10</v>
      </c>
      <c r="P27" s="249">
        <v>0</v>
      </c>
      <c r="Q27" s="263"/>
      <c r="R27" s="37">
        <f t="shared" si="0"/>
        <v>60</v>
      </c>
      <c r="S27" s="248"/>
      <c r="T27" s="249"/>
      <c r="U27" s="249"/>
      <c r="V27" s="249"/>
      <c r="W27" s="249"/>
      <c r="X27" s="249"/>
      <c r="Y27" s="249"/>
      <c r="Z27" s="249"/>
      <c r="AA27" s="249"/>
      <c r="AB27" s="249">
        <v>40</v>
      </c>
      <c r="AC27" s="30">
        <f t="shared" si="1"/>
        <v>40</v>
      </c>
    </row>
    <row r="28" spans="1:29" x14ac:dyDescent="0.25">
      <c r="A28" s="107">
        <f>IF('Avaliação Períodos'!A29=0,"",'Avaliação Períodos'!A29)</f>
        <v>21</v>
      </c>
      <c r="B28" s="404" t="str">
        <f>IF('Avaliação Períodos'!B29=0,"",'Avaliação Períodos'!B29)</f>
        <v>Manuel Ascenso</v>
      </c>
      <c r="C28" s="405"/>
      <c r="D28" s="405"/>
      <c r="E28" s="405"/>
      <c r="F28" s="405"/>
      <c r="G28" s="406"/>
      <c r="H28" s="254">
        <v>10</v>
      </c>
      <c r="I28" s="242">
        <v>10</v>
      </c>
      <c r="J28" s="242">
        <v>10</v>
      </c>
      <c r="K28" s="242">
        <v>10</v>
      </c>
      <c r="L28" s="242">
        <v>10</v>
      </c>
      <c r="M28" s="242">
        <v>10</v>
      </c>
      <c r="N28" s="242">
        <v>10</v>
      </c>
      <c r="O28" s="242">
        <v>10</v>
      </c>
      <c r="P28" s="251">
        <v>20</v>
      </c>
      <c r="Q28" s="264"/>
      <c r="R28" s="37">
        <f t="shared" si="0"/>
        <v>100</v>
      </c>
      <c r="S28" s="254"/>
      <c r="T28" s="251"/>
      <c r="U28" s="251"/>
      <c r="V28" s="251"/>
      <c r="W28" s="251"/>
      <c r="X28" s="251"/>
      <c r="Y28" s="251"/>
      <c r="Z28" s="251"/>
      <c r="AA28" s="251"/>
      <c r="AB28" s="251">
        <v>100</v>
      </c>
      <c r="AC28" s="30">
        <f t="shared" si="1"/>
        <v>100</v>
      </c>
    </row>
    <row r="29" spans="1:29" x14ac:dyDescent="0.25">
      <c r="A29" s="108" t="str">
        <f>IF('Avaliação Períodos'!A30=0,"",'Avaliação Períodos'!A30)</f>
        <v/>
      </c>
      <c r="B29" s="428" t="str">
        <f>IF('Avaliação Períodos'!B30=0,"",'Avaliação Períodos'!B30)</f>
        <v>Ana Ramos</v>
      </c>
      <c r="C29" s="429"/>
      <c r="D29" s="429"/>
      <c r="E29" s="429"/>
      <c r="F29" s="429"/>
      <c r="G29" s="430"/>
      <c r="H29" s="262"/>
      <c r="I29" s="241"/>
      <c r="J29" s="241"/>
      <c r="K29" s="241"/>
      <c r="L29" s="241"/>
      <c r="M29" s="241"/>
      <c r="N29" s="241"/>
      <c r="O29" s="241"/>
      <c r="P29" s="256"/>
      <c r="Q29" s="265"/>
      <c r="R29" s="37">
        <v>0</v>
      </c>
      <c r="S29" s="255"/>
      <c r="T29" s="256"/>
      <c r="U29" s="256"/>
      <c r="V29" s="256"/>
      <c r="W29" s="256"/>
      <c r="X29" s="256"/>
      <c r="Y29" s="256"/>
      <c r="Z29" s="256"/>
      <c r="AA29" s="256"/>
      <c r="AB29" s="256">
        <v>0</v>
      </c>
      <c r="AC29" s="30">
        <f t="shared" si="1"/>
        <v>0</v>
      </c>
    </row>
    <row r="30" spans="1:29" x14ac:dyDescent="0.25">
      <c r="A30" s="107" t="str">
        <f>IF('Avaliação Períodos'!A31=0,"",'Avaliação Períodos'!A31)</f>
        <v/>
      </c>
      <c r="B30" s="404" t="str">
        <f>IF('Avaliação Períodos'!B31=0,"",'Avaliação Períodos'!B31)</f>
        <v/>
      </c>
      <c r="C30" s="405"/>
      <c r="D30" s="405"/>
      <c r="E30" s="405"/>
      <c r="F30" s="405"/>
      <c r="G30" s="406"/>
      <c r="H30" s="254"/>
      <c r="I30" s="242"/>
      <c r="J30" s="242"/>
      <c r="K30" s="242"/>
      <c r="L30" s="242"/>
      <c r="M30" s="242"/>
      <c r="N30" s="242"/>
      <c r="O30" s="242"/>
      <c r="P30" s="251"/>
      <c r="Q30" s="264"/>
      <c r="R30" s="37" t="str">
        <f t="shared" si="0"/>
        <v/>
      </c>
      <c r="S30" s="254"/>
      <c r="T30" s="251"/>
      <c r="U30" s="251"/>
      <c r="V30" s="251"/>
      <c r="W30" s="251"/>
      <c r="X30" s="251"/>
      <c r="Y30" s="251"/>
      <c r="Z30" s="251"/>
      <c r="AA30" s="251"/>
      <c r="AB30" s="251"/>
      <c r="AC30" s="30" t="str">
        <f t="shared" si="1"/>
        <v/>
      </c>
    </row>
    <row r="31" spans="1:29" x14ac:dyDescent="0.25">
      <c r="A31" s="108" t="str">
        <f>IF('Avaliação Períodos'!A32=0,"",'Avaliação Períodos'!A32)</f>
        <v/>
      </c>
      <c r="B31" s="428" t="str">
        <f>IF('Avaliação Períodos'!B32=0,"",'Avaliação Períodos'!B32)</f>
        <v/>
      </c>
      <c r="C31" s="429"/>
      <c r="D31" s="429"/>
      <c r="E31" s="429"/>
      <c r="F31" s="429"/>
      <c r="G31" s="430"/>
      <c r="H31" s="262"/>
      <c r="I31" s="241"/>
      <c r="J31" s="241"/>
      <c r="K31" s="241"/>
      <c r="L31" s="241"/>
      <c r="M31" s="241"/>
      <c r="N31" s="241"/>
      <c r="O31" s="241"/>
      <c r="P31" s="249"/>
      <c r="Q31" s="263"/>
      <c r="R31" s="37" t="str">
        <f t="shared" si="0"/>
        <v/>
      </c>
      <c r="S31" s="248"/>
      <c r="T31" s="249"/>
      <c r="U31" s="249"/>
      <c r="V31" s="249"/>
      <c r="W31" s="249"/>
      <c r="X31" s="249"/>
      <c r="Y31" s="249"/>
      <c r="Z31" s="249"/>
      <c r="AA31" s="249"/>
      <c r="AB31" s="249"/>
      <c r="AC31" s="30" t="str">
        <f t="shared" si="1"/>
        <v/>
      </c>
    </row>
    <row r="32" spans="1:29" x14ac:dyDescent="0.25">
      <c r="A32" s="107" t="str">
        <f>IF('Avaliação Períodos'!A33=0,"",'Avaliação Períodos'!A33)</f>
        <v/>
      </c>
      <c r="B32" s="404" t="str">
        <f>IF('Avaliação Períodos'!B33=0,"",'Avaliação Períodos'!B33)</f>
        <v/>
      </c>
      <c r="C32" s="405"/>
      <c r="D32" s="405"/>
      <c r="E32" s="405"/>
      <c r="F32" s="405"/>
      <c r="G32" s="406"/>
      <c r="H32" s="254"/>
      <c r="I32" s="242"/>
      <c r="J32" s="242"/>
      <c r="K32" s="242"/>
      <c r="L32" s="242"/>
      <c r="M32" s="242"/>
      <c r="N32" s="242"/>
      <c r="O32" s="242"/>
      <c r="P32" s="251"/>
      <c r="Q32" s="264"/>
      <c r="R32" s="37" t="str">
        <f t="shared" si="0"/>
        <v/>
      </c>
      <c r="S32" s="254"/>
      <c r="T32" s="251"/>
      <c r="U32" s="251"/>
      <c r="V32" s="251"/>
      <c r="W32" s="251"/>
      <c r="X32" s="251"/>
      <c r="Y32" s="251"/>
      <c r="Z32" s="251"/>
      <c r="AA32" s="251"/>
      <c r="AB32" s="251"/>
      <c r="AC32" s="30" t="str">
        <f t="shared" si="1"/>
        <v/>
      </c>
    </row>
    <row r="33" spans="1:29" x14ac:dyDescent="0.25">
      <c r="A33" s="108" t="str">
        <f>IF('Avaliação Períodos'!A34=0,"",'Avaliação Períodos'!A34)</f>
        <v/>
      </c>
      <c r="B33" s="428" t="str">
        <f>IF('Avaliação Períodos'!B34=0,"",'Avaliação Períodos'!B34)</f>
        <v/>
      </c>
      <c r="C33" s="429"/>
      <c r="D33" s="429"/>
      <c r="E33" s="429"/>
      <c r="F33" s="429"/>
      <c r="G33" s="430"/>
      <c r="H33" s="262"/>
      <c r="I33" s="241"/>
      <c r="J33" s="241"/>
      <c r="K33" s="241"/>
      <c r="L33" s="241"/>
      <c r="M33" s="241"/>
      <c r="N33" s="241"/>
      <c r="O33" s="241"/>
      <c r="P33" s="249"/>
      <c r="Q33" s="263"/>
      <c r="R33" s="37" t="str">
        <f t="shared" si="0"/>
        <v/>
      </c>
      <c r="S33" s="248"/>
      <c r="T33" s="249"/>
      <c r="U33" s="249"/>
      <c r="V33" s="249"/>
      <c r="W33" s="249"/>
      <c r="X33" s="249"/>
      <c r="Y33" s="249"/>
      <c r="Z33" s="249"/>
      <c r="AA33" s="249"/>
      <c r="AB33" s="249"/>
      <c r="AC33" s="30" t="str">
        <f t="shared" si="1"/>
        <v/>
      </c>
    </row>
    <row r="34" spans="1:29" x14ac:dyDescent="0.25">
      <c r="A34" s="107" t="str">
        <f>IF('Avaliação Períodos'!A35=0,"",'Avaliação Períodos'!A35)</f>
        <v/>
      </c>
      <c r="B34" s="404" t="str">
        <f>IF('Avaliação Períodos'!B35=0,"",'Avaliação Períodos'!B35)</f>
        <v/>
      </c>
      <c r="C34" s="405"/>
      <c r="D34" s="405"/>
      <c r="E34" s="405"/>
      <c r="F34" s="405"/>
      <c r="G34" s="406"/>
      <c r="H34" s="266"/>
      <c r="I34" s="242"/>
      <c r="J34" s="242"/>
      <c r="K34" s="242"/>
      <c r="L34" s="242"/>
      <c r="M34" s="242"/>
      <c r="N34" s="242"/>
      <c r="O34" s="242"/>
      <c r="P34" s="251"/>
      <c r="Q34" s="264"/>
      <c r="R34" s="37" t="str">
        <f t="shared" si="0"/>
        <v/>
      </c>
      <c r="S34" s="254"/>
      <c r="T34" s="251"/>
      <c r="U34" s="251"/>
      <c r="V34" s="251"/>
      <c r="W34" s="251"/>
      <c r="X34" s="251"/>
      <c r="Y34" s="251"/>
      <c r="Z34" s="251"/>
      <c r="AA34" s="251"/>
      <c r="AB34" s="251"/>
      <c r="AC34" s="30" t="str">
        <f t="shared" si="1"/>
        <v/>
      </c>
    </row>
    <row r="35" spans="1:29" x14ac:dyDescent="0.25">
      <c r="A35" s="108" t="str">
        <f>IF('Avaliação Períodos'!A36=0,"",'Avaliação Períodos'!A36)</f>
        <v/>
      </c>
      <c r="B35" s="428" t="str">
        <f>IF('Avaliação Períodos'!B36=0,"",'Avaliação Períodos'!B36)</f>
        <v/>
      </c>
      <c r="C35" s="429"/>
      <c r="D35" s="429"/>
      <c r="E35" s="429"/>
      <c r="F35" s="429"/>
      <c r="G35" s="430"/>
      <c r="H35" s="243"/>
      <c r="I35" s="241"/>
      <c r="J35" s="241"/>
      <c r="K35" s="241"/>
      <c r="L35" s="241"/>
      <c r="M35" s="241"/>
      <c r="N35" s="241"/>
      <c r="O35" s="241"/>
      <c r="P35" s="249"/>
      <c r="Q35" s="263"/>
      <c r="R35" s="37" t="str">
        <f t="shared" si="0"/>
        <v/>
      </c>
      <c r="S35" s="248"/>
      <c r="T35" s="249"/>
      <c r="U35" s="249"/>
      <c r="V35" s="249"/>
      <c r="W35" s="249"/>
      <c r="X35" s="249"/>
      <c r="Y35" s="249"/>
      <c r="Z35" s="249"/>
      <c r="AA35" s="249"/>
      <c r="AB35" s="249"/>
      <c r="AC35" s="30" t="str">
        <f t="shared" si="1"/>
        <v/>
      </c>
    </row>
    <row r="36" spans="1:29" x14ac:dyDescent="0.25">
      <c r="A36" s="109" t="str">
        <f>IF('Avaliação Períodos'!A37=0,"",'Avaliação Períodos'!A37)</f>
        <v/>
      </c>
      <c r="B36" s="404" t="str">
        <f>IF('Avaliação Períodos'!B37=0,"",'Avaliação Períodos'!B37)</f>
        <v/>
      </c>
      <c r="C36" s="405"/>
      <c r="D36" s="405"/>
      <c r="E36" s="405"/>
      <c r="F36" s="405"/>
      <c r="G36" s="406"/>
      <c r="H36" s="266"/>
      <c r="I36" s="242"/>
      <c r="J36" s="242"/>
      <c r="K36" s="242"/>
      <c r="L36" s="242"/>
      <c r="M36" s="242"/>
      <c r="N36" s="242"/>
      <c r="O36" s="242"/>
      <c r="P36" s="251"/>
      <c r="Q36" s="264"/>
      <c r="R36" s="37" t="str">
        <f t="shared" si="0"/>
        <v/>
      </c>
      <c r="S36" s="254"/>
      <c r="T36" s="251"/>
      <c r="U36" s="251"/>
      <c r="V36" s="251"/>
      <c r="W36" s="251"/>
      <c r="X36" s="251"/>
      <c r="Y36" s="251"/>
      <c r="Z36" s="251"/>
      <c r="AA36" s="251"/>
      <c r="AB36" s="251"/>
      <c r="AC36" s="30" t="str">
        <f t="shared" si="1"/>
        <v/>
      </c>
    </row>
    <row r="37" spans="1:29" x14ac:dyDescent="0.25">
      <c r="A37" s="110" t="str">
        <f>IF('Avaliação Períodos'!A38=0,"",'Avaliação Períodos'!A38)</f>
        <v/>
      </c>
      <c r="B37" s="428" t="str">
        <f>IF('Avaliação Períodos'!B38=0,"",'Avaliação Períodos'!B38)</f>
        <v xml:space="preserve"> </v>
      </c>
      <c r="C37" s="429"/>
      <c r="D37" s="429"/>
      <c r="E37" s="429"/>
      <c r="F37" s="429"/>
      <c r="G37" s="430"/>
      <c r="H37" s="244"/>
      <c r="I37" s="245"/>
      <c r="J37" s="245"/>
      <c r="K37" s="245"/>
      <c r="L37" s="245"/>
      <c r="M37" s="245"/>
      <c r="N37" s="245"/>
      <c r="O37" s="245"/>
      <c r="P37" s="258"/>
      <c r="Q37" s="267"/>
      <c r="R37" s="55" t="str">
        <f t="shared" si="0"/>
        <v/>
      </c>
      <c r="S37" s="257"/>
      <c r="T37" s="258"/>
      <c r="U37" s="258"/>
      <c r="V37" s="258"/>
      <c r="W37" s="258"/>
      <c r="X37" s="258"/>
      <c r="Y37" s="258"/>
      <c r="Z37" s="258"/>
      <c r="AA37" s="258"/>
      <c r="AB37" s="258"/>
      <c r="AC37" s="30" t="str">
        <f t="shared" si="1"/>
        <v/>
      </c>
    </row>
    <row r="38" spans="1:2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431" t="s">
        <v>36</v>
      </c>
      <c r="P38" s="432"/>
      <c r="Q38" s="433"/>
      <c r="R38" s="146">
        <f>IF(COUNT(R8:R37)=0,"",AVERAGE(R8:R37))</f>
        <v>52.727272727272727</v>
      </c>
      <c r="S38" s="38"/>
      <c r="T38" s="38"/>
      <c r="U38" s="45"/>
      <c r="V38" s="38"/>
      <c r="W38" s="38"/>
      <c r="X38" s="38"/>
      <c r="Y38" s="38"/>
      <c r="Z38" s="431" t="s">
        <v>36</v>
      </c>
      <c r="AA38" s="432"/>
      <c r="AB38" s="433"/>
      <c r="AC38" s="134">
        <f>IF(COUNT(AC8:AC37)=0,"",AVERAGE(AC8:AC37))</f>
        <v>44.545454545454547</v>
      </c>
    </row>
    <row r="39" spans="1:29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431" t="s">
        <v>37</v>
      </c>
      <c r="P39" s="432"/>
      <c r="Q39" s="433"/>
      <c r="R39" s="135">
        <f>COUNTIF(R8:R37,"&lt;50")</f>
        <v>8</v>
      </c>
      <c r="S39" s="39"/>
      <c r="T39" s="39"/>
      <c r="U39" s="39"/>
      <c r="V39" s="39"/>
      <c r="W39" s="39"/>
      <c r="X39" s="39"/>
      <c r="Y39" s="39"/>
      <c r="Z39" s="431" t="s">
        <v>37</v>
      </c>
      <c r="AA39" s="432"/>
      <c r="AB39" s="433"/>
      <c r="AC39" s="135">
        <f>COUNTIF(AC8:AC37,"&lt;50")</f>
        <v>14</v>
      </c>
    </row>
    <row r="40" spans="1:29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431" t="s">
        <v>38</v>
      </c>
      <c r="P40" s="432"/>
      <c r="Q40" s="433"/>
      <c r="R40" s="136">
        <f>IF(COUNT(R8:R37)=0,"",R39/(COUNT(R8:R37))*100)</f>
        <v>36.363636363636367</v>
      </c>
      <c r="S40" s="40"/>
      <c r="T40" s="40"/>
      <c r="U40" s="40"/>
      <c r="V40" s="40"/>
      <c r="W40" s="40"/>
      <c r="X40" s="40"/>
      <c r="Y40" s="40"/>
      <c r="Z40" s="431" t="s">
        <v>38</v>
      </c>
      <c r="AA40" s="432"/>
      <c r="AB40" s="433"/>
      <c r="AC40" s="136">
        <f>IF(COUNT(AC8:AC37)=0,"",AC39/(COUNT(AC8:AC37))*100)</f>
        <v>63.636363636363633</v>
      </c>
    </row>
  </sheetData>
  <sheetProtection algorithmName="SHA-512" hashValue="SByExgtuR+KVZezfiSEmjMroPVAf54ile9U/e0Ww6ETbbhcoYqwJZR8hCaAGhBW9kxLnLRHznoq38l8LuWI5Lw==" saltValue="CgzMFv5R0w49z/7tY72pbA==" spinCount="100000" sheet="1" objects="1" scenarios="1"/>
  <mergeCells count="44">
    <mergeCell ref="Z40:AB40"/>
    <mergeCell ref="O38:Q38"/>
    <mergeCell ref="O39:Q39"/>
    <mergeCell ref="O40:Q40"/>
    <mergeCell ref="Z38:AB38"/>
    <mergeCell ref="Z39:AB39"/>
    <mergeCell ref="B36:G36"/>
    <mergeCell ref="B30:G30"/>
    <mergeCell ref="B19:G19"/>
    <mergeCell ref="B20:G20"/>
    <mergeCell ref="B21:G21"/>
    <mergeCell ref="B31:G31"/>
    <mergeCell ref="B32:G32"/>
    <mergeCell ref="B33:G33"/>
    <mergeCell ref="B34:G34"/>
    <mergeCell ref="B35:G35"/>
    <mergeCell ref="B24:G24"/>
    <mergeCell ref="B25:G25"/>
    <mergeCell ref="B26:G26"/>
    <mergeCell ref="B37:G37"/>
    <mergeCell ref="B8:G8"/>
    <mergeCell ref="B9:G9"/>
    <mergeCell ref="B10:G10"/>
    <mergeCell ref="B11:G11"/>
    <mergeCell ref="B12:G12"/>
    <mergeCell ref="B27:G27"/>
    <mergeCell ref="B28:G28"/>
    <mergeCell ref="B29:G29"/>
    <mergeCell ref="B13:G13"/>
    <mergeCell ref="B14:G14"/>
    <mergeCell ref="B15:G15"/>
    <mergeCell ref="B16:G16"/>
    <mergeCell ref="B17:G17"/>
    <mergeCell ref="B22:G22"/>
    <mergeCell ref="B23:G23"/>
    <mergeCell ref="B18:G18"/>
    <mergeCell ref="B7:G7"/>
    <mergeCell ref="H3:AC3"/>
    <mergeCell ref="A4:G5"/>
    <mergeCell ref="H4:Q5"/>
    <mergeCell ref="R4:R6"/>
    <mergeCell ref="S4:AB5"/>
    <mergeCell ref="AC4:AC6"/>
    <mergeCell ref="A6:G6"/>
  </mergeCells>
  <dataValidations count="5">
    <dataValidation type="decimal" operator="lessThanOrEqual" allowBlank="1" showErrorMessage="1" errorTitle="Erro." error="Ultrapassou cotação máxima." sqref="S8:AB37" xr:uid="{00000000-0002-0000-0100-000000000000}">
      <formula1>S$7</formula1>
    </dataValidation>
    <dataValidation type="decimal" operator="lessThan" allowBlank="1" showInputMessage="1" showErrorMessage="1" sqref="AC8:AC37" xr:uid="{00000000-0002-0000-0100-000001000000}">
      <formula1>AC$7</formula1>
    </dataValidation>
    <dataValidation type="decimal" operator="lessThanOrEqual" allowBlank="1" showInputMessage="1" showErrorMessage="1" errorTitle="ERRO!" error="A pergunta não vale tanto!..." sqref="R8:R37" xr:uid="{00000000-0002-0000-0100-000002000000}">
      <formula1>R$7</formula1>
    </dataValidation>
    <dataValidation type="decimal" operator="lessThanOrEqual" allowBlank="1" showInputMessage="1" showErrorMessage="1" errorTitle="Erro." error="Ultrapassou cotação máxima." sqref="H8:Q37" xr:uid="{00000000-0002-0000-0100-000003000000}">
      <formula1>H$7</formula1>
    </dataValidation>
    <dataValidation type="decimal" operator="lessThanOrEqual" allowBlank="1" showErrorMessage="1" errorTitle="ERRO!" error="A pergunta não vale tanto!" sqref="Q6" xr:uid="{00000000-0002-0000-0100-000004000000}">
      <formula1>Q$7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>
    <pageSetUpPr autoPageBreaks="0"/>
  </sheetPr>
  <dimension ref="A1:AC41"/>
  <sheetViews>
    <sheetView tabSelected="1" zoomScaleNormal="100" workbookViewId="0">
      <pane xSplit="7" ySplit="7" topLeftCell="H8" activePane="bottomRight" state="frozen"/>
      <selection activeCell="U42" sqref="U42"/>
      <selection pane="topRight" activeCell="U42" sqref="U42"/>
      <selection pane="bottomLeft" activeCell="U42" sqref="U42"/>
      <selection pane="bottomRight" activeCell="N8" sqref="N8"/>
    </sheetView>
  </sheetViews>
  <sheetFormatPr defaultRowHeight="15" x14ac:dyDescent="0.25"/>
  <cols>
    <col min="1" max="1" width="7" style="63" customWidth="1"/>
    <col min="2" max="2" width="2.42578125" style="63" customWidth="1"/>
    <col min="3" max="3" width="9.140625" style="63" hidden="1" customWidth="1"/>
    <col min="4" max="4" width="1.5703125" style="63" customWidth="1"/>
    <col min="5" max="5" width="7.5703125" style="63" customWidth="1"/>
    <col min="6" max="6" width="5.140625" style="63" customWidth="1"/>
    <col min="7" max="7" width="5" style="63" customWidth="1"/>
    <col min="8" max="12" width="9.140625" style="63" customWidth="1"/>
    <col min="13" max="13" width="9.42578125" style="63" customWidth="1"/>
    <col min="14" max="15" width="9.85546875" style="63" customWidth="1"/>
    <col min="16" max="21" width="9.140625" style="63"/>
    <col min="22" max="23" width="10.28515625" style="63" customWidth="1"/>
    <col min="24" max="16384" width="9.140625" style="63"/>
  </cols>
  <sheetData>
    <row r="1" spans="1:29" ht="27" x14ac:dyDescent="0.25">
      <c r="A1" s="1" t="s">
        <v>18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9" ht="27" x14ac:dyDescent="0.25">
      <c r="A2" s="4" t="s">
        <v>2</v>
      </c>
      <c r="B2" s="1"/>
      <c r="C2" s="1"/>
      <c r="D2" s="1"/>
      <c r="E2" s="1"/>
      <c r="F2" s="1"/>
      <c r="G2" s="1"/>
      <c r="H2" s="1"/>
      <c r="I2" s="1"/>
      <c r="J2" s="1"/>
      <c r="K2" s="1" t="s">
        <v>80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9" ht="20.25" customHeight="1" x14ac:dyDescent="0.3">
      <c r="A3" s="448"/>
      <c r="B3" s="449"/>
      <c r="C3" s="449"/>
      <c r="D3" s="449"/>
      <c r="E3" s="449"/>
      <c r="F3" s="449"/>
      <c r="G3" s="449"/>
      <c r="H3" s="450" t="s">
        <v>102</v>
      </c>
      <c r="I3" s="411"/>
      <c r="J3" s="411"/>
      <c r="K3" s="411"/>
      <c r="L3" s="411"/>
      <c r="M3" s="411"/>
      <c r="N3" s="411"/>
      <c r="O3" s="411"/>
      <c r="P3" s="411"/>
      <c r="Q3" s="411"/>
      <c r="R3" s="411"/>
      <c r="S3" s="411"/>
      <c r="T3" s="411"/>
      <c r="U3" s="411"/>
      <c r="V3" s="411"/>
      <c r="W3" s="412"/>
      <c r="X3" s="3"/>
      <c r="Y3" s="3"/>
      <c r="Z3" s="3"/>
    </row>
    <row r="4" spans="1:29" ht="15.75" customHeight="1" x14ac:dyDescent="0.25">
      <c r="A4" s="6"/>
      <c r="B4" s="7"/>
      <c r="C4" s="7"/>
      <c r="D4" s="438"/>
      <c r="E4" s="438"/>
      <c r="F4" s="438"/>
      <c r="G4" s="415"/>
      <c r="H4" s="416" t="s">
        <v>91</v>
      </c>
      <c r="I4" s="417"/>
      <c r="J4" s="417"/>
      <c r="K4" s="417"/>
      <c r="L4" s="417"/>
      <c r="M4" s="417"/>
      <c r="N4" s="417"/>
      <c r="O4" s="418"/>
      <c r="P4" s="416" t="s">
        <v>90</v>
      </c>
      <c r="Q4" s="417"/>
      <c r="R4" s="417"/>
      <c r="S4" s="417"/>
      <c r="T4" s="417"/>
      <c r="U4" s="417"/>
      <c r="V4" s="417"/>
      <c r="W4" s="418"/>
      <c r="X4" s="5"/>
      <c r="Y4" s="5"/>
      <c r="Z4" s="5"/>
      <c r="AA4" s="5"/>
      <c r="AB4" s="5"/>
      <c r="AC4" s="2"/>
    </row>
    <row r="5" spans="1:29" ht="15.75" customHeight="1" x14ac:dyDescent="0.25">
      <c r="A5" s="6"/>
      <c r="B5" s="7"/>
      <c r="C5" s="7"/>
      <c r="D5" s="438"/>
      <c r="E5" s="438"/>
      <c r="F5" s="438"/>
      <c r="G5" s="415"/>
      <c r="H5" s="419"/>
      <c r="I5" s="420"/>
      <c r="J5" s="420"/>
      <c r="K5" s="420"/>
      <c r="L5" s="420"/>
      <c r="M5" s="420"/>
      <c r="N5" s="420"/>
      <c r="O5" s="421"/>
      <c r="P5" s="419"/>
      <c r="Q5" s="420"/>
      <c r="R5" s="420"/>
      <c r="S5" s="420"/>
      <c r="T5" s="420"/>
      <c r="U5" s="420"/>
      <c r="V5" s="420"/>
      <c r="W5" s="421"/>
      <c r="X5" s="5"/>
      <c r="Y5" s="5"/>
      <c r="Z5" s="5"/>
      <c r="AA5" s="5"/>
      <c r="AB5" s="5"/>
      <c r="AC5" s="2"/>
    </row>
    <row r="6" spans="1:29" ht="28.5" customHeight="1" x14ac:dyDescent="0.25">
      <c r="A6" s="8"/>
      <c r="B6" s="33"/>
      <c r="C6" s="33"/>
      <c r="D6" s="414" t="s">
        <v>21</v>
      </c>
      <c r="E6" s="414"/>
      <c r="F6" s="414"/>
      <c r="G6" s="415"/>
      <c r="H6" s="143">
        <v>1</v>
      </c>
      <c r="I6" s="144"/>
      <c r="J6" s="144"/>
      <c r="K6" s="144"/>
      <c r="L6" s="144"/>
      <c r="M6" s="145"/>
      <c r="N6" s="58" t="s">
        <v>55</v>
      </c>
      <c r="O6" s="58" t="s">
        <v>103</v>
      </c>
      <c r="P6" s="59">
        <v>1</v>
      </c>
      <c r="Q6" s="56"/>
      <c r="R6" s="56"/>
      <c r="S6" s="56"/>
      <c r="T6" s="56"/>
      <c r="U6" s="57"/>
      <c r="V6" s="58" t="s">
        <v>55</v>
      </c>
      <c r="W6" s="58" t="s">
        <v>103</v>
      </c>
      <c r="X6" s="434"/>
      <c r="Y6" s="434"/>
      <c r="Z6" s="61"/>
      <c r="AA6" s="9"/>
      <c r="AB6" s="2"/>
    </row>
    <row r="7" spans="1:29" ht="28.5" customHeight="1" x14ac:dyDescent="0.25">
      <c r="A7" s="27" t="s">
        <v>5</v>
      </c>
      <c r="B7" s="435" t="s">
        <v>40</v>
      </c>
      <c r="C7" s="436"/>
      <c r="D7" s="436"/>
      <c r="E7" s="436"/>
      <c r="F7" s="436"/>
      <c r="G7" s="437"/>
      <c r="H7" s="50">
        <v>100</v>
      </c>
      <c r="I7" s="51"/>
      <c r="J7" s="51"/>
      <c r="K7" s="51"/>
      <c r="L7" s="51"/>
      <c r="M7" s="69"/>
      <c r="N7" s="73">
        <f>IF(OR(SUM(H7:M7)&gt;100,SUM(H7:M7)&lt;0),"",SUM(H7:M7))</f>
        <v>100</v>
      </c>
      <c r="O7" s="67">
        <v>100</v>
      </c>
      <c r="P7" s="50">
        <v>100</v>
      </c>
      <c r="Q7" s="51"/>
      <c r="R7" s="51"/>
      <c r="S7" s="51"/>
      <c r="T7" s="51"/>
      <c r="U7" s="51"/>
      <c r="V7" s="74">
        <f>IF(OR(SUM(P7:U7)&gt;100,SUM(P7:U7)&lt;0),"",SUM(P7:U7))</f>
        <v>100</v>
      </c>
      <c r="W7" s="52">
        <v>100</v>
      </c>
      <c r="AB7" s="2"/>
    </row>
    <row r="8" spans="1:29" ht="15" customHeight="1" x14ac:dyDescent="0.25">
      <c r="A8" s="107">
        <f>IF('Avaliação Períodos'!A9=0,"",'Avaliação Períodos'!A9)</f>
        <v>1</v>
      </c>
      <c r="B8" s="439" t="str">
        <f>IF('Avaliação Períodos'!B9=0,"",'Avaliação Períodos'!B9)</f>
        <v>Ademar Monforte</v>
      </c>
      <c r="C8" s="440"/>
      <c r="D8" s="440"/>
      <c r="E8" s="440"/>
      <c r="F8" s="440"/>
      <c r="G8" s="441"/>
      <c r="H8" s="147">
        <v>80</v>
      </c>
      <c r="I8" s="111"/>
      <c r="J8" s="111"/>
      <c r="K8" s="111"/>
      <c r="L8" s="112"/>
      <c r="M8" s="112"/>
      <c r="N8" s="12">
        <f>IF(COUNT(H8:M8)=0,"",SUM(H8:M8))</f>
        <v>80</v>
      </c>
      <c r="O8" s="70">
        <v>55</v>
      </c>
      <c r="P8" s="131"/>
      <c r="Q8" s="132"/>
      <c r="R8" s="132"/>
      <c r="S8" s="132"/>
      <c r="T8" s="132"/>
      <c r="U8" s="132">
        <v>70</v>
      </c>
      <c r="V8" s="12">
        <f>IF(COUNT(P8:U8)=0,"",SUM(P8:U8))</f>
        <v>70</v>
      </c>
      <c r="W8" s="72">
        <v>55</v>
      </c>
      <c r="AB8" s="2"/>
    </row>
    <row r="9" spans="1:29" ht="15" customHeight="1" x14ac:dyDescent="0.25">
      <c r="A9" s="108">
        <f>IF('Avaliação Períodos'!A10=0,"",'Avaliação Períodos'!A10)</f>
        <v>2</v>
      </c>
      <c r="B9" s="442" t="str">
        <f>IF('Avaliação Períodos'!B10=0,"",'Avaliação Períodos'!B10)</f>
        <v>Alexandre Simões</v>
      </c>
      <c r="C9" s="443"/>
      <c r="D9" s="443"/>
      <c r="E9" s="443"/>
      <c r="F9" s="443"/>
      <c r="G9" s="444"/>
      <c r="H9" s="113">
        <v>60</v>
      </c>
      <c r="I9" s="114"/>
      <c r="J9" s="114"/>
      <c r="K9" s="114"/>
      <c r="L9" s="115"/>
      <c r="M9" s="116"/>
      <c r="N9" s="12">
        <f>IF(COUNT(H9:M9)=0,"",SUM(H9:M9))</f>
        <v>60</v>
      </c>
      <c r="O9" s="70">
        <v>50</v>
      </c>
      <c r="P9" s="113"/>
      <c r="Q9" s="114"/>
      <c r="R9" s="114"/>
      <c r="S9" s="114"/>
      <c r="T9" s="114"/>
      <c r="U9" s="114">
        <v>70</v>
      </c>
      <c r="V9" s="12">
        <f>IF(COUNT(P9:U9)=0,"",SUM(P9:U9))</f>
        <v>70</v>
      </c>
      <c r="W9" s="72">
        <v>55</v>
      </c>
      <c r="AB9" s="2"/>
    </row>
    <row r="10" spans="1:29" ht="15" customHeight="1" x14ac:dyDescent="0.25">
      <c r="A10" s="107">
        <f>IF('Avaliação Períodos'!A11=0,"",'Avaliação Períodos'!A11)</f>
        <v>3</v>
      </c>
      <c r="B10" s="445" t="str">
        <f>IF('Avaliação Períodos'!B11=0,"",'Avaliação Períodos'!B11)</f>
        <v>Ana Inácio</v>
      </c>
      <c r="C10" s="446"/>
      <c r="D10" s="446"/>
      <c r="E10" s="446"/>
      <c r="F10" s="446"/>
      <c r="G10" s="447"/>
      <c r="H10" s="117">
        <v>90</v>
      </c>
      <c r="I10" s="118"/>
      <c r="J10" s="118"/>
      <c r="K10" s="118"/>
      <c r="L10" s="119"/>
      <c r="M10" s="119"/>
      <c r="N10" s="12">
        <f t="shared" ref="N10:N37" si="0">IF(COUNT(H10:M10)=0,"",SUM(H10:M10))</f>
        <v>90</v>
      </c>
      <c r="O10" s="70">
        <v>70</v>
      </c>
      <c r="P10" s="117"/>
      <c r="Q10" s="118"/>
      <c r="R10" s="118"/>
      <c r="S10" s="118"/>
      <c r="T10" s="118"/>
      <c r="U10" s="118">
        <v>56</v>
      </c>
      <c r="V10" s="12">
        <f t="shared" ref="V10:V37" si="1">IF(COUNT(P10:U10)=0,"",SUM(P10:U10))</f>
        <v>56</v>
      </c>
      <c r="W10" s="72">
        <v>70</v>
      </c>
      <c r="AB10" s="2"/>
    </row>
    <row r="11" spans="1:29" ht="15" customHeight="1" x14ac:dyDescent="0.25">
      <c r="A11" s="108">
        <f>IF('Avaliação Períodos'!A12=0,"",'Avaliação Períodos'!A12)</f>
        <v>4</v>
      </c>
      <c r="B11" s="442" t="str">
        <f>IF('Avaliação Períodos'!B12=0,"",'Avaliação Períodos'!B12)</f>
        <v>Ana Gomes</v>
      </c>
      <c r="C11" s="443"/>
      <c r="D11" s="443"/>
      <c r="E11" s="443"/>
      <c r="F11" s="443"/>
      <c r="G11" s="444"/>
      <c r="H11" s="120">
        <v>70</v>
      </c>
      <c r="I11" s="121"/>
      <c r="J11" s="121"/>
      <c r="K11" s="121"/>
      <c r="L11" s="122"/>
      <c r="M11" s="122"/>
      <c r="N11" s="12">
        <f t="shared" si="0"/>
        <v>70</v>
      </c>
      <c r="O11" s="70">
        <v>65</v>
      </c>
      <c r="P11" s="120"/>
      <c r="Q11" s="121"/>
      <c r="R11" s="121"/>
      <c r="S11" s="121"/>
      <c r="T11" s="121"/>
      <c r="U11" s="121">
        <v>56</v>
      </c>
      <c r="V11" s="12">
        <f t="shared" si="1"/>
        <v>56</v>
      </c>
      <c r="W11" s="72">
        <v>56</v>
      </c>
      <c r="AB11" s="2"/>
    </row>
    <row r="12" spans="1:29" ht="15" customHeight="1" x14ac:dyDescent="0.25">
      <c r="A12" s="107">
        <f>IF('Avaliação Períodos'!A13=0,"",'Avaliação Períodos'!A13)</f>
        <v>5</v>
      </c>
      <c r="B12" s="445" t="str">
        <f>IF('Avaliação Períodos'!B13=0,"",'Avaliação Períodos'!B13)</f>
        <v>Bruna Lemos</v>
      </c>
      <c r="C12" s="446"/>
      <c r="D12" s="446"/>
      <c r="E12" s="446"/>
      <c r="F12" s="446"/>
      <c r="G12" s="447"/>
      <c r="H12" s="117">
        <v>80</v>
      </c>
      <c r="I12" s="118"/>
      <c r="J12" s="118"/>
      <c r="K12" s="118"/>
      <c r="L12" s="119"/>
      <c r="M12" s="119"/>
      <c r="N12" s="12">
        <f t="shared" si="0"/>
        <v>80</v>
      </c>
      <c r="O12" s="70">
        <v>50</v>
      </c>
      <c r="P12" s="117"/>
      <c r="Q12" s="118"/>
      <c r="R12" s="118"/>
      <c r="S12" s="118"/>
      <c r="T12" s="118"/>
      <c r="U12" s="118">
        <v>14</v>
      </c>
      <c r="V12" s="12">
        <f t="shared" si="1"/>
        <v>14</v>
      </c>
      <c r="W12" s="72">
        <v>40</v>
      </c>
      <c r="AB12" s="2"/>
    </row>
    <row r="13" spans="1:29" ht="15" customHeight="1" x14ac:dyDescent="0.25">
      <c r="A13" s="108">
        <f>IF('Avaliação Períodos'!A14=0,"",'Avaliação Períodos'!A14)</f>
        <v>6</v>
      </c>
      <c r="B13" s="442" t="str">
        <f>IF('Avaliação Períodos'!B14=0,"",'Avaliação Períodos'!B14)</f>
        <v>Constança Abreu</v>
      </c>
      <c r="C13" s="443"/>
      <c r="D13" s="443"/>
      <c r="E13" s="443"/>
      <c r="F13" s="443"/>
      <c r="G13" s="444"/>
      <c r="H13" s="120">
        <v>90</v>
      </c>
      <c r="I13" s="121"/>
      <c r="J13" s="121"/>
      <c r="K13" s="121"/>
      <c r="L13" s="122"/>
      <c r="M13" s="122"/>
      <c r="N13" s="12">
        <f t="shared" si="0"/>
        <v>90</v>
      </c>
      <c r="O13" s="70">
        <v>80</v>
      </c>
      <c r="P13" s="120"/>
      <c r="Q13" s="121"/>
      <c r="R13" s="121"/>
      <c r="S13" s="121"/>
      <c r="T13" s="121"/>
      <c r="U13" s="121">
        <v>100</v>
      </c>
      <c r="V13" s="12">
        <f t="shared" si="1"/>
        <v>100</v>
      </c>
      <c r="W13" s="72">
        <v>75</v>
      </c>
      <c r="AB13" s="2"/>
    </row>
    <row r="14" spans="1:29" ht="15" customHeight="1" x14ac:dyDescent="0.25">
      <c r="A14" s="107">
        <f>IF('Avaliação Períodos'!A15=0,"",'Avaliação Períodos'!A15)</f>
        <v>7</v>
      </c>
      <c r="B14" s="445" t="str">
        <f>IF('Avaliação Períodos'!B15=0,"",'Avaliação Períodos'!B15)</f>
        <v>Cristiano Emídio</v>
      </c>
      <c r="C14" s="446"/>
      <c r="D14" s="446"/>
      <c r="E14" s="446"/>
      <c r="F14" s="446"/>
      <c r="G14" s="447"/>
      <c r="H14" s="117">
        <v>70</v>
      </c>
      <c r="I14" s="118"/>
      <c r="J14" s="118"/>
      <c r="K14" s="118"/>
      <c r="L14" s="119"/>
      <c r="M14" s="119"/>
      <c r="N14" s="12">
        <f t="shared" si="0"/>
        <v>70</v>
      </c>
      <c r="O14" s="70">
        <v>30</v>
      </c>
      <c r="P14" s="117"/>
      <c r="Q14" s="118"/>
      <c r="R14" s="118"/>
      <c r="S14" s="118"/>
      <c r="T14" s="118"/>
      <c r="U14" s="118">
        <v>1</v>
      </c>
      <c r="V14" s="12">
        <f t="shared" si="1"/>
        <v>1</v>
      </c>
      <c r="W14" s="72">
        <v>1</v>
      </c>
      <c r="AB14" s="2"/>
    </row>
    <row r="15" spans="1:29" ht="15" customHeight="1" x14ac:dyDescent="0.25">
      <c r="A15" s="108">
        <f>IF('Avaliação Períodos'!A16=0,"",'Avaliação Períodos'!A16)</f>
        <v>8</v>
      </c>
      <c r="B15" s="428" t="str">
        <f>IF('Avaliação Períodos'!B16=0,"",'Avaliação Períodos'!B16)</f>
        <v>Edgar Gonçalves</v>
      </c>
      <c r="C15" s="429"/>
      <c r="D15" s="429"/>
      <c r="E15" s="429"/>
      <c r="F15" s="429"/>
      <c r="G15" s="430"/>
      <c r="H15" s="120">
        <v>90</v>
      </c>
      <c r="I15" s="121"/>
      <c r="J15" s="123"/>
      <c r="K15" s="121"/>
      <c r="L15" s="122"/>
      <c r="M15" s="122"/>
      <c r="N15" s="12">
        <f t="shared" si="0"/>
        <v>90</v>
      </c>
      <c r="O15" s="70">
        <v>70</v>
      </c>
      <c r="P15" s="120"/>
      <c r="Q15" s="121"/>
      <c r="R15" s="123"/>
      <c r="S15" s="121"/>
      <c r="T15" s="121"/>
      <c r="U15" s="121">
        <v>100</v>
      </c>
      <c r="V15" s="12">
        <f t="shared" si="1"/>
        <v>100</v>
      </c>
      <c r="W15" s="72">
        <v>65</v>
      </c>
      <c r="AB15" s="2"/>
    </row>
    <row r="16" spans="1:29" ht="15" customHeight="1" x14ac:dyDescent="0.25">
      <c r="A16" s="107">
        <f>IF('Avaliação Períodos'!A17=0,"",'Avaliação Períodos'!A17)</f>
        <v>9</v>
      </c>
      <c r="B16" s="404" t="str">
        <f>IF('Avaliação Períodos'!B17=0,"",'Avaliação Períodos'!B17)</f>
        <v>Fábio Trino</v>
      </c>
      <c r="C16" s="405"/>
      <c r="D16" s="405"/>
      <c r="E16" s="405"/>
      <c r="F16" s="405"/>
      <c r="G16" s="406"/>
      <c r="H16" s="117">
        <v>80</v>
      </c>
      <c r="I16" s="118"/>
      <c r="J16" s="118"/>
      <c r="K16" s="118"/>
      <c r="L16" s="119"/>
      <c r="M16" s="119"/>
      <c r="N16" s="12">
        <f t="shared" si="0"/>
        <v>80</v>
      </c>
      <c r="O16" s="70">
        <v>80</v>
      </c>
      <c r="P16" s="117"/>
      <c r="Q16" s="118"/>
      <c r="R16" s="118"/>
      <c r="S16" s="118"/>
      <c r="T16" s="118"/>
      <c r="U16" s="118">
        <v>57</v>
      </c>
      <c r="V16" s="12">
        <f t="shared" si="1"/>
        <v>57</v>
      </c>
      <c r="W16" s="72">
        <v>55</v>
      </c>
      <c r="AB16" s="2"/>
    </row>
    <row r="17" spans="1:28" ht="15" customHeight="1" x14ac:dyDescent="0.25">
      <c r="A17" s="108">
        <f>IF('Avaliação Períodos'!A18=0,"",'Avaliação Períodos'!A18)</f>
        <v>10</v>
      </c>
      <c r="B17" s="428" t="str">
        <f>IF('Avaliação Períodos'!B18=0,"",'Avaliação Períodos'!B18)</f>
        <v>Francisco Pedrosa</v>
      </c>
      <c r="C17" s="429"/>
      <c r="D17" s="429"/>
      <c r="E17" s="429"/>
      <c r="F17" s="429"/>
      <c r="G17" s="430"/>
      <c r="H17" s="120">
        <v>90</v>
      </c>
      <c r="I17" s="121"/>
      <c r="J17" s="121"/>
      <c r="K17" s="121"/>
      <c r="L17" s="122"/>
      <c r="M17" s="122"/>
      <c r="N17" s="12">
        <f t="shared" si="0"/>
        <v>90</v>
      </c>
      <c r="O17" s="70">
        <v>60</v>
      </c>
      <c r="P17" s="120"/>
      <c r="Q17" s="121"/>
      <c r="R17" s="121"/>
      <c r="S17" s="121"/>
      <c r="T17" s="121"/>
      <c r="U17" s="121">
        <v>100</v>
      </c>
      <c r="V17" s="12">
        <f t="shared" si="1"/>
        <v>100</v>
      </c>
      <c r="W17" s="72">
        <v>55</v>
      </c>
      <c r="X17" s="2"/>
      <c r="Y17" s="2"/>
      <c r="Z17" s="2"/>
      <c r="AA17" s="2"/>
      <c r="AB17" s="2"/>
    </row>
    <row r="18" spans="1:28" ht="15" customHeight="1" x14ac:dyDescent="0.25">
      <c r="A18" s="107">
        <f>IF('Avaliação Períodos'!A19=0,"",'Avaliação Períodos'!A19)</f>
        <v>11</v>
      </c>
      <c r="B18" s="404" t="str">
        <f>IF('Avaliação Períodos'!B19=0,"",'Avaliação Períodos'!B19)</f>
        <v>Francisco Miranda</v>
      </c>
      <c r="C18" s="405"/>
      <c r="D18" s="405"/>
      <c r="E18" s="405"/>
      <c r="F18" s="405"/>
      <c r="G18" s="406"/>
      <c r="H18" s="124">
        <v>70</v>
      </c>
      <c r="I18" s="118"/>
      <c r="J18" s="118"/>
      <c r="K18" s="118"/>
      <c r="L18" s="119"/>
      <c r="M18" s="119"/>
      <c r="N18" s="12">
        <f t="shared" si="0"/>
        <v>70</v>
      </c>
      <c r="O18" s="70">
        <v>40</v>
      </c>
      <c r="P18" s="124"/>
      <c r="Q18" s="118"/>
      <c r="R18" s="118"/>
      <c r="S18" s="118"/>
      <c r="T18" s="118"/>
      <c r="U18" s="118">
        <v>56</v>
      </c>
      <c r="V18" s="12">
        <f t="shared" si="1"/>
        <v>56</v>
      </c>
      <c r="W18" s="72">
        <v>45</v>
      </c>
      <c r="AB18" s="2"/>
    </row>
    <row r="19" spans="1:28" ht="15" customHeight="1" x14ac:dyDescent="0.25">
      <c r="A19" s="108">
        <f>IF('Avaliação Períodos'!A20=0,"",'Avaliação Períodos'!A20)</f>
        <v>12</v>
      </c>
      <c r="B19" s="428" t="str">
        <f>IF('Avaliação Períodos'!B20=0,"",'Avaliação Períodos'!B20)</f>
        <v>Francisco Mota</v>
      </c>
      <c r="C19" s="429"/>
      <c r="D19" s="429"/>
      <c r="E19" s="429"/>
      <c r="F19" s="429"/>
      <c r="G19" s="430"/>
      <c r="H19" s="120">
        <v>80</v>
      </c>
      <c r="I19" s="121"/>
      <c r="J19" s="121"/>
      <c r="K19" s="121"/>
      <c r="L19" s="122"/>
      <c r="M19" s="122"/>
      <c r="N19" s="12">
        <f t="shared" si="0"/>
        <v>80</v>
      </c>
      <c r="O19" s="70">
        <v>80</v>
      </c>
      <c r="P19" s="120"/>
      <c r="Q19" s="121"/>
      <c r="R19" s="121"/>
      <c r="S19" s="121"/>
      <c r="T19" s="121"/>
      <c r="U19" s="121">
        <v>100</v>
      </c>
      <c r="V19" s="12">
        <f t="shared" si="1"/>
        <v>100</v>
      </c>
      <c r="W19" s="72">
        <v>65</v>
      </c>
      <c r="AB19" s="2"/>
    </row>
    <row r="20" spans="1:28" ht="15" customHeight="1" x14ac:dyDescent="0.25">
      <c r="A20" s="107">
        <f>IF('Avaliação Períodos'!A21=0,"",'Avaliação Períodos'!A21)</f>
        <v>13</v>
      </c>
      <c r="B20" s="404" t="str">
        <f>IF('Avaliação Períodos'!B21=0,"",'Avaliação Períodos'!B21)</f>
        <v>Francisco Marques</v>
      </c>
      <c r="C20" s="405"/>
      <c r="D20" s="405"/>
      <c r="E20" s="405"/>
      <c r="F20" s="405"/>
      <c r="G20" s="406"/>
      <c r="H20" s="124">
        <v>90</v>
      </c>
      <c r="I20" s="118"/>
      <c r="J20" s="118"/>
      <c r="K20" s="118"/>
      <c r="L20" s="119"/>
      <c r="M20" s="119"/>
      <c r="N20" s="12">
        <f t="shared" si="0"/>
        <v>90</v>
      </c>
      <c r="O20" s="70">
        <v>60</v>
      </c>
      <c r="P20" s="124"/>
      <c r="Q20" s="118"/>
      <c r="R20" s="118"/>
      <c r="S20" s="118"/>
      <c r="T20" s="118"/>
      <c r="U20" s="118">
        <v>100</v>
      </c>
      <c r="V20" s="12">
        <f t="shared" si="1"/>
        <v>100</v>
      </c>
      <c r="W20" s="72">
        <v>60</v>
      </c>
      <c r="AB20" s="19"/>
    </row>
    <row r="21" spans="1:28" ht="15" customHeight="1" x14ac:dyDescent="0.25">
      <c r="A21" s="108">
        <f>IF('Avaliação Períodos'!A22=0,"",'Avaliação Períodos'!A22)</f>
        <v>14</v>
      </c>
      <c r="B21" s="428" t="str">
        <f>IF('Avaliação Períodos'!B22=0,"",'Avaliação Períodos'!B22)</f>
        <v>Jamila Portilha</v>
      </c>
      <c r="C21" s="429"/>
      <c r="D21" s="429"/>
      <c r="E21" s="429"/>
      <c r="F21" s="429"/>
      <c r="G21" s="430"/>
      <c r="H21" s="120">
        <v>100</v>
      </c>
      <c r="I21" s="121"/>
      <c r="J21" s="121"/>
      <c r="K21" s="121"/>
      <c r="L21" s="122"/>
      <c r="M21" s="122"/>
      <c r="N21" s="12">
        <f t="shared" si="0"/>
        <v>100</v>
      </c>
      <c r="O21" s="70">
        <v>90</v>
      </c>
      <c r="P21" s="120"/>
      <c r="Q21" s="121"/>
      <c r="R21" s="121"/>
      <c r="S21" s="121"/>
      <c r="T21" s="121"/>
      <c r="U21" s="121">
        <v>100</v>
      </c>
      <c r="V21" s="12">
        <f t="shared" si="1"/>
        <v>100</v>
      </c>
      <c r="W21" s="72">
        <v>80</v>
      </c>
      <c r="AB21" s="19"/>
    </row>
    <row r="22" spans="1:28" ht="15" customHeight="1" x14ac:dyDescent="0.25">
      <c r="A22" s="107">
        <f>IF('Avaliação Períodos'!A23=0,"",'Avaliação Períodos'!A23)</f>
        <v>15</v>
      </c>
      <c r="B22" s="404" t="str">
        <f>IF('Avaliação Períodos'!B23=0,"",'Avaliação Períodos'!B23)</f>
        <v>Joelma Emídio</v>
      </c>
      <c r="C22" s="405"/>
      <c r="D22" s="405"/>
      <c r="E22" s="405"/>
      <c r="F22" s="405"/>
      <c r="G22" s="406"/>
      <c r="H22" s="124">
        <v>80</v>
      </c>
      <c r="I22" s="118"/>
      <c r="J22" s="118"/>
      <c r="K22" s="118"/>
      <c r="L22" s="119"/>
      <c r="M22" s="119"/>
      <c r="N22" s="12">
        <f t="shared" si="0"/>
        <v>80</v>
      </c>
      <c r="O22" s="70">
        <v>30</v>
      </c>
      <c r="P22" s="124"/>
      <c r="Q22" s="118"/>
      <c r="R22" s="118"/>
      <c r="S22" s="118"/>
      <c r="T22" s="118"/>
      <c r="U22" s="118">
        <v>1</v>
      </c>
      <c r="V22" s="12">
        <f t="shared" si="1"/>
        <v>1</v>
      </c>
      <c r="W22" s="72">
        <v>1</v>
      </c>
      <c r="AB22" s="2"/>
    </row>
    <row r="23" spans="1:28" ht="15" customHeight="1" x14ac:dyDescent="0.25">
      <c r="A23" s="108">
        <f>IF('Avaliação Períodos'!A24=0,"",'Avaliação Períodos'!A24)</f>
        <v>16</v>
      </c>
      <c r="B23" s="428" t="str">
        <f>IF('Avaliação Períodos'!B24=0,"",'Avaliação Períodos'!B24)</f>
        <v>José Garcia</v>
      </c>
      <c r="C23" s="429"/>
      <c r="D23" s="429"/>
      <c r="E23" s="429"/>
      <c r="F23" s="429"/>
      <c r="G23" s="430"/>
      <c r="H23" s="120">
        <v>90</v>
      </c>
      <c r="I23" s="121"/>
      <c r="J23" s="121"/>
      <c r="K23" s="121"/>
      <c r="L23" s="122"/>
      <c r="M23" s="122"/>
      <c r="N23" s="12">
        <f t="shared" si="0"/>
        <v>90</v>
      </c>
      <c r="O23" s="70">
        <v>40</v>
      </c>
      <c r="P23" s="120"/>
      <c r="Q23" s="121"/>
      <c r="R23" s="121"/>
      <c r="S23" s="121"/>
      <c r="T23" s="121"/>
      <c r="U23" s="121">
        <v>43</v>
      </c>
      <c r="V23" s="12">
        <f t="shared" si="1"/>
        <v>43</v>
      </c>
      <c r="W23" s="72">
        <v>40</v>
      </c>
      <c r="AB23" s="2"/>
    </row>
    <row r="24" spans="1:28" ht="16.5" customHeight="1" x14ac:dyDescent="0.25">
      <c r="A24" s="107">
        <f>IF('Avaliação Períodos'!A25=0,"",'Avaliação Períodos'!A25)</f>
        <v>17</v>
      </c>
      <c r="B24" s="404" t="str">
        <f>IF('Avaliação Períodos'!B25=0,"",'Avaliação Períodos'!B25)</f>
        <v>Leonor Gomes</v>
      </c>
      <c r="C24" s="405"/>
      <c r="D24" s="405"/>
      <c r="E24" s="405"/>
      <c r="F24" s="405"/>
      <c r="G24" s="406"/>
      <c r="H24" s="124">
        <v>90</v>
      </c>
      <c r="I24" s="118"/>
      <c r="J24" s="118"/>
      <c r="K24" s="118"/>
      <c r="L24" s="119"/>
      <c r="M24" s="119"/>
      <c r="N24" s="12">
        <f t="shared" si="0"/>
        <v>90</v>
      </c>
      <c r="O24" s="70">
        <v>75</v>
      </c>
      <c r="P24" s="124"/>
      <c r="Q24" s="118"/>
      <c r="R24" s="118"/>
      <c r="S24" s="118"/>
      <c r="T24" s="118"/>
      <c r="U24" s="118">
        <v>85</v>
      </c>
      <c r="V24" s="12">
        <f t="shared" si="1"/>
        <v>85</v>
      </c>
      <c r="W24" s="72">
        <v>75</v>
      </c>
      <c r="AB24" s="2"/>
    </row>
    <row r="25" spans="1:28" ht="15" customHeight="1" x14ac:dyDescent="0.25">
      <c r="A25" s="108">
        <f>IF('Avaliação Períodos'!A26=0,"",'Avaliação Períodos'!A26)</f>
        <v>18</v>
      </c>
      <c r="B25" s="428" t="str">
        <f>IF('Avaliação Períodos'!B26=0,"",'Avaliação Períodos'!B26)</f>
        <v>Martim Santos</v>
      </c>
      <c r="C25" s="429"/>
      <c r="D25" s="429"/>
      <c r="E25" s="429"/>
      <c r="F25" s="429"/>
      <c r="G25" s="430"/>
      <c r="H25" s="120">
        <v>80</v>
      </c>
      <c r="I25" s="121"/>
      <c r="J25" s="121"/>
      <c r="K25" s="121"/>
      <c r="L25" s="122"/>
      <c r="M25" s="122"/>
      <c r="N25" s="12">
        <f t="shared" si="0"/>
        <v>80</v>
      </c>
      <c r="O25" s="70">
        <v>55</v>
      </c>
      <c r="P25" s="120"/>
      <c r="Q25" s="121"/>
      <c r="R25" s="121"/>
      <c r="S25" s="121"/>
      <c r="T25" s="121"/>
      <c r="U25" s="121">
        <v>56</v>
      </c>
      <c r="V25" s="12">
        <f t="shared" si="1"/>
        <v>56</v>
      </c>
      <c r="W25" s="72">
        <v>55</v>
      </c>
      <c r="AB25" s="2"/>
    </row>
    <row r="26" spans="1:28" ht="15" customHeight="1" x14ac:dyDescent="0.25">
      <c r="A26" s="107">
        <f>IF('Avaliação Períodos'!A27=0,"",'Avaliação Períodos'!A27)</f>
        <v>19</v>
      </c>
      <c r="B26" s="404" t="str">
        <f>IF('Avaliação Períodos'!B27=0,"",'Avaliação Períodos'!B27)</f>
        <v>Nikole Lage</v>
      </c>
      <c r="C26" s="405"/>
      <c r="D26" s="405"/>
      <c r="E26" s="405"/>
      <c r="F26" s="405"/>
      <c r="G26" s="406"/>
      <c r="H26" s="124">
        <v>90</v>
      </c>
      <c r="I26" s="118"/>
      <c r="J26" s="118"/>
      <c r="K26" s="118"/>
      <c r="L26" s="119"/>
      <c r="M26" s="119"/>
      <c r="N26" s="12">
        <f t="shared" si="0"/>
        <v>90</v>
      </c>
      <c r="O26" s="70">
        <v>40</v>
      </c>
      <c r="P26" s="124"/>
      <c r="Q26" s="118"/>
      <c r="R26" s="118"/>
      <c r="S26" s="118"/>
      <c r="T26" s="118"/>
      <c r="U26" s="118">
        <v>28</v>
      </c>
      <c r="V26" s="12">
        <f t="shared" si="1"/>
        <v>28</v>
      </c>
      <c r="W26" s="72">
        <v>40</v>
      </c>
      <c r="AB26" s="2"/>
    </row>
    <row r="27" spans="1:28" ht="15" customHeight="1" x14ac:dyDescent="0.25">
      <c r="A27" s="108">
        <f>IF('Avaliação Períodos'!A28=0,"",'Avaliação Períodos'!A28)</f>
        <v>20</v>
      </c>
      <c r="B27" s="428" t="str">
        <f>IF('Avaliação Períodos'!B28=0,"",'Avaliação Períodos'!B28)</f>
        <v>Tatiana Gomes</v>
      </c>
      <c r="C27" s="429"/>
      <c r="D27" s="429"/>
      <c r="E27" s="429"/>
      <c r="F27" s="429"/>
      <c r="G27" s="430"/>
      <c r="H27" s="120">
        <v>90</v>
      </c>
      <c r="I27" s="121"/>
      <c r="J27" s="121"/>
      <c r="K27" s="121"/>
      <c r="L27" s="122"/>
      <c r="M27" s="122"/>
      <c r="N27" s="12">
        <f t="shared" si="0"/>
        <v>90</v>
      </c>
      <c r="O27" s="70">
        <v>70</v>
      </c>
      <c r="P27" s="120"/>
      <c r="Q27" s="121"/>
      <c r="R27" s="121"/>
      <c r="S27" s="121"/>
      <c r="T27" s="121"/>
      <c r="U27" s="121">
        <v>86</v>
      </c>
      <c r="V27" s="12">
        <f t="shared" si="1"/>
        <v>86</v>
      </c>
      <c r="W27" s="72">
        <v>80</v>
      </c>
      <c r="AB27" s="2"/>
    </row>
    <row r="28" spans="1:28" ht="15" customHeight="1" x14ac:dyDescent="0.25">
      <c r="A28" s="107">
        <f>IF('Avaliação Períodos'!A29=0,"",'Avaliação Períodos'!A29)</f>
        <v>21</v>
      </c>
      <c r="B28" s="404" t="str">
        <f>IF('Avaliação Períodos'!B29=0,"",'Avaliação Períodos'!B29)</f>
        <v>Manuel Ascenso</v>
      </c>
      <c r="C28" s="405"/>
      <c r="D28" s="405"/>
      <c r="E28" s="405"/>
      <c r="F28" s="405"/>
      <c r="G28" s="406"/>
      <c r="H28" s="124">
        <v>90</v>
      </c>
      <c r="I28" s="118"/>
      <c r="J28" s="118"/>
      <c r="K28" s="118"/>
      <c r="L28" s="119"/>
      <c r="M28" s="119"/>
      <c r="N28" s="12">
        <f t="shared" si="0"/>
        <v>90</v>
      </c>
      <c r="O28" s="70">
        <v>90</v>
      </c>
      <c r="P28" s="124"/>
      <c r="Q28" s="118"/>
      <c r="R28" s="118"/>
      <c r="S28" s="118"/>
      <c r="T28" s="118"/>
      <c r="U28" s="118">
        <v>86</v>
      </c>
      <c r="V28" s="12">
        <f t="shared" si="1"/>
        <v>86</v>
      </c>
      <c r="W28" s="72">
        <v>90</v>
      </c>
      <c r="AB28" s="2"/>
    </row>
    <row r="29" spans="1:28" ht="15" customHeight="1" x14ac:dyDescent="0.25">
      <c r="A29" s="108" t="str">
        <f>IF('Avaliação Períodos'!A30=0,"",'Avaliação Períodos'!A30)</f>
        <v/>
      </c>
      <c r="B29" s="428" t="str">
        <f>IF('Avaliação Períodos'!B30=0,"",'Avaliação Períodos'!B30)</f>
        <v>Ana Ramos</v>
      </c>
      <c r="C29" s="429"/>
      <c r="D29" s="429"/>
      <c r="E29" s="429"/>
      <c r="F29" s="429"/>
      <c r="G29" s="430"/>
      <c r="H29" s="125"/>
      <c r="I29" s="126"/>
      <c r="J29" s="126"/>
      <c r="K29" s="126"/>
      <c r="L29" s="127"/>
      <c r="M29" s="127"/>
      <c r="N29" s="12" t="str">
        <f t="shared" si="0"/>
        <v/>
      </c>
      <c r="O29" s="70"/>
      <c r="P29" s="125"/>
      <c r="Q29" s="126"/>
      <c r="R29" s="126"/>
      <c r="S29" s="126"/>
      <c r="T29" s="126"/>
      <c r="U29" s="126"/>
      <c r="V29" s="12" t="str">
        <f t="shared" si="1"/>
        <v/>
      </c>
      <c r="W29" s="72"/>
      <c r="AB29" s="2"/>
    </row>
    <row r="30" spans="1:28" ht="15" customHeight="1" x14ac:dyDescent="0.25">
      <c r="A30" s="107" t="str">
        <f>IF('Avaliação Períodos'!A31=0,"",'Avaliação Períodos'!A31)</f>
        <v/>
      </c>
      <c r="B30" s="404" t="str">
        <f>IF('Avaliação Períodos'!B31=0,"",'Avaliação Períodos'!B31)</f>
        <v/>
      </c>
      <c r="C30" s="405"/>
      <c r="D30" s="405"/>
      <c r="E30" s="405"/>
      <c r="F30" s="405"/>
      <c r="G30" s="406"/>
      <c r="H30" s="124"/>
      <c r="I30" s="118"/>
      <c r="J30" s="118"/>
      <c r="K30" s="118"/>
      <c r="L30" s="119"/>
      <c r="M30" s="119"/>
      <c r="N30" s="12" t="str">
        <f t="shared" si="0"/>
        <v/>
      </c>
      <c r="O30" s="70"/>
      <c r="P30" s="124"/>
      <c r="Q30" s="118"/>
      <c r="R30" s="118"/>
      <c r="S30" s="118"/>
      <c r="T30" s="118"/>
      <c r="U30" s="118"/>
      <c r="V30" s="12" t="str">
        <f t="shared" si="1"/>
        <v/>
      </c>
      <c r="W30" s="72"/>
      <c r="AB30" s="2"/>
    </row>
    <row r="31" spans="1:28" ht="15" customHeight="1" x14ac:dyDescent="0.25">
      <c r="A31" s="108" t="str">
        <f>IF('Avaliação Períodos'!A32=0,"",'Avaliação Períodos'!A32)</f>
        <v/>
      </c>
      <c r="B31" s="428" t="str">
        <f>IF('Avaliação Períodos'!B32=0,"",'Avaliação Períodos'!B32)</f>
        <v/>
      </c>
      <c r="C31" s="429"/>
      <c r="D31" s="429"/>
      <c r="E31" s="429"/>
      <c r="F31" s="429"/>
      <c r="G31" s="430"/>
      <c r="H31" s="120"/>
      <c r="I31" s="121"/>
      <c r="J31" s="121"/>
      <c r="K31" s="121"/>
      <c r="L31" s="122"/>
      <c r="M31" s="122"/>
      <c r="N31" s="12" t="str">
        <f t="shared" si="0"/>
        <v/>
      </c>
      <c r="O31" s="70"/>
      <c r="P31" s="120"/>
      <c r="Q31" s="121"/>
      <c r="R31" s="121"/>
      <c r="S31" s="121"/>
      <c r="T31" s="121"/>
      <c r="U31" s="121"/>
      <c r="V31" s="12" t="str">
        <f t="shared" si="1"/>
        <v/>
      </c>
      <c r="W31" s="72"/>
      <c r="AB31" s="2"/>
    </row>
    <row r="32" spans="1:28" ht="15" customHeight="1" x14ac:dyDescent="0.25">
      <c r="A32" s="107" t="str">
        <f>IF('Avaliação Períodos'!A33=0,"",'Avaliação Períodos'!A33)</f>
        <v/>
      </c>
      <c r="B32" s="404" t="str">
        <f>IF('Avaliação Períodos'!B33=0,"",'Avaliação Períodos'!B33)</f>
        <v/>
      </c>
      <c r="C32" s="405"/>
      <c r="D32" s="405"/>
      <c r="E32" s="405"/>
      <c r="F32" s="405"/>
      <c r="G32" s="406"/>
      <c r="H32" s="124"/>
      <c r="I32" s="118"/>
      <c r="J32" s="118"/>
      <c r="K32" s="118"/>
      <c r="L32" s="119"/>
      <c r="M32" s="119"/>
      <c r="N32" s="12" t="str">
        <f t="shared" si="0"/>
        <v/>
      </c>
      <c r="O32" s="70"/>
      <c r="P32" s="124"/>
      <c r="Q32" s="118"/>
      <c r="R32" s="118"/>
      <c r="S32" s="118"/>
      <c r="T32" s="118"/>
      <c r="U32" s="118"/>
      <c r="V32" s="12" t="str">
        <f t="shared" si="1"/>
        <v/>
      </c>
      <c r="W32" s="72"/>
      <c r="X32" s="20"/>
      <c r="Y32" s="20"/>
      <c r="Z32" s="20"/>
      <c r="AA32" s="20"/>
      <c r="AB32" s="2"/>
    </row>
    <row r="33" spans="1:28" ht="15" customHeight="1" x14ac:dyDescent="0.25">
      <c r="A33" s="108" t="str">
        <f>IF('Avaliação Períodos'!A34=0,"",'Avaliação Períodos'!A34)</f>
        <v/>
      </c>
      <c r="B33" s="428" t="str">
        <f>IF('Avaliação Períodos'!B34=0,"",'Avaliação Períodos'!B34)</f>
        <v/>
      </c>
      <c r="C33" s="429"/>
      <c r="D33" s="429"/>
      <c r="E33" s="429"/>
      <c r="F33" s="429"/>
      <c r="G33" s="430"/>
      <c r="H33" s="120"/>
      <c r="I33" s="121"/>
      <c r="J33" s="121"/>
      <c r="K33" s="121"/>
      <c r="L33" s="122"/>
      <c r="M33" s="122"/>
      <c r="N33" s="12" t="str">
        <f t="shared" si="0"/>
        <v/>
      </c>
      <c r="O33" s="70"/>
      <c r="P33" s="120"/>
      <c r="Q33" s="121"/>
      <c r="R33" s="121"/>
      <c r="S33" s="121"/>
      <c r="T33" s="121"/>
      <c r="U33" s="121"/>
      <c r="V33" s="12" t="str">
        <f t="shared" si="1"/>
        <v/>
      </c>
      <c r="W33" s="72"/>
      <c r="X33" s="20"/>
      <c r="Y33" s="20"/>
      <c r="Z33" s="20"/>
      <c r="AA33" s="20"/>
      <c r="AB33" s="2"/>
    </row>
    <row r="34" spans="1:28" ht="15" customHeight="1" x14ac:dyDescent="0.25">
      <c r="A34" s="107" t="str">
        <f>IF('Avaliação Períodos'!A35=0,"",'Avaliação Períodos'!A35)</f>
        <v/>
      </c>
      <c r="B34" s="404" t="str">
        <f>IF('Avaliação Períodos'!B35=0,"",'Avaliação Períodos'!B35)</f>
        <v/>
      </c>
      <c r="C34" s="405"/>
      <c r="D34" s="405"/>
      <c r="E34" s="405"/>
      <c r="F34" s="405"/>
      <c r="G34" s="406"/>
      <c r="H34" s="124"/>
      <c r="I34" s="118"/>
      <c r="J34" s="118"/>
      <c r="K34" s="118"/>
      <c r="L34" s="119"/>
      <c r="M34" s="119"/>
      <c r="N34" s="12" t="str">
        <f t="shared" si="0"/>
        <v/>
      </c>
      <c r="O34" s="70"/>
      <c r="P34" s="124"/>
      <c r="Q34" s="118"/>
      <c r="R34" s="118"/>
      <c r="S34" s="118"/>
      <c r="T34" s="118"/>
      <c r="U34" s="118"/>
      <c r="V34" s="12" t="str">
        <f t="shared" si="1"/>
        <v/>
      </c>
      <c r="W34" s="72"/>
      <c r="X34" s="20"/>
      <c r="Y34" s="20"/>
      <c r="Z34" s="20"/>
      <c r="AA34" s="20"/>
      <c r="AB34" s="2"/>
    </row>
    <row r="35" spans="1:28" ht="15" customHeight="1" x14ac:dyDescent="0.25">
      <c r="A35" s="108" t="str">
        <f>IF('Avaliação Períodos'!A36=0,"",'Avaliação Períodos'!A36)</f>
        <v/>
      </c>
      <c r="B35" s="428" t="str">
        <f>IF('Avaliação Períodos'!B36=0,"",'Avaliação Períodos'!B36)</f>
        <v/>
      </c>
      <c r="C35" s="429"/>
      <c r="D35" s="429"/>
      <c r="E35" s="429"/>
      <c r="F35" s="429"/>
      <c r="G35" s="430"/>
      <c r="H35" s="120"/>
      <c r="I35" s="121"/>
      <c r="J35" s="121"/>
      <c r="K35" s="121"/>
      <c r="L35" s="122"/>
      <c r="M35" s="122"/>
      <c r="N35" s="12" t="str">
        <f t="shared" si="0"/>
        <v/>
      </c>
      <c r="O35" s="70"/>
      <c r="P35" s="120"/>
      <c r="Q35" s="121"/>
      <c r="R35" s="121"/>
      <c r="S35" s="121"/>
      <c r="T35" s="121"/>
      <c r="U35" s="121"/>
      <c r="V35" s="12" t="str">
        <f t="shared" si="1"/>
        <v/>
      </c>
      <c r="W35" s="72"/>
      <c r="X35" s="20"/>
      <c r="Y35" s="20"/>
      <c r="Z35" s="20"/>
      <c r="AA35" s="20"/>
      <c r="AB35" s="2"/>
    </row>
    <row r="36" spans="1:28" ht="15" customHeight="1" x14ac:dyDescent="0.25">
      <c r="A36" s="109" t="str">
        <f>IF('Avaliação Períodos'!A37=0,"",'Avaliação Períodos'!A37)</f>
        <v/>
      </c>
      <c r="B36" s="404" t="str">
        <f>IF('Avaliação Períodos'!B37=0,"",'Avaliação Períodos'!B37)</f>
        <v/>
      </c>
      <c r="C36" s="405"/>
      <c r="D36" s="405"/>
      <c r="E36" s="405"/>
      <c r="F36" s="405"/>
      <c r="G36" s="406"/>
      <c r="H36" s="128"/>
      <c r="I36" s="129"/>
      <c r="J36" s="129"/>
      <c r="K36" s="129"/>
      <c r="L36" s="129"/>
      <c r="M36" s="130"/>
      <c r="N36" s="12" t="str">
        <f t="shared" si="0"/>
        <v/>
      </c>
      <c r="O36" s="70"/>
      <c r="P36" s="128"/>
      <c r="Q36" s="129"/>
      <c r="R36" s="129"/>
      <c r="S36" s="129"/>
      <c r="T36" s="129"/>
      <c r="U36" s="129"/>
      <c r="V36" s="12" t="str">
        <f t="shared" si="1"/>
        <v/>
      </c>
      <c r="W36" s="72"/>
      <c r="X36" s="20"/>
      <c r="Y36" s="20"/>
      <c r="Z36" s="20"/>
      <c r="AA36" s="20"/>
      <c r="AB36" s="2"/>
    </row>
    <row r="37" spans="1:28" ht="15" customHeight="1" x14ac:dyDescent="0.25">
      <c r="A37" s="110" t="str">
        <f>IF('Avaliação Períodos'!A38=0,"",'Avaliação Períodos'!A38)</f>
        <v/>
      </c>
      <c r="B37" s="428" t="str">
        <f>IF('Avaliação Períodos'!B38=0,"",'Avaliação Períodos'!B38)</f>
        <v xml:space="preserve"> </v>
      </c>
      <c r="C37" s="429"/>
      <c r="D37" s="429"/>
      <c r="E37" s="429"/>
      <c r="F37" s="429"/>
      <c r="G37" s="430"/>
      <c r="H37" s="137"/>
      <c r="I37" s="133"/>
      <c r="J37" s="133"/>
      <c r="K37" s="133"/>
      <c r="L37" s="133"/>
      <c r="M37" s="138"/>
      <c r="N37" s="25" t="str">
        <f t="shared" si="0"/>
        <v/>
      </c>
      <c r="O37" s="71"/>
      <c r="P37" s="137"/>
      <c r="Q37" s="133"/>
      <c r="R37" s="133"/>
      <c r="S37" s="133"/>
      <c r="T37" s="133"/>
      <c r="U37" s="133"/>
      <c r="V37" s="25" t="str">
        <f t="shared" si="1"/>
        <v/>
      </c>
      <c r="W37" s="72"/>
      <c r="X37" s="20"/>
      <c r="Y37" s="20"/>
      <c r="Z37" s="20"/>
      <c r="AA37" s="20"/>
      <c r="AB37" s="2"/>
    </row>
    <row r="38" spans="1:28" x14ac:dyDescent="0.25">
      <c r="A38" s="2"/>
      <c r="B38" s="2"/>
      <c r="C38" s="2"/>
      <c r="D38" s="2"/>
      <c r="E38" s="2"/>
      <c r="F38" s="2"/>
      <c r="G38" s="2"/>
      <c r="I38" s="431" t="s">
        <v>36</v>
      </c>
      <c r="J38" s="432"/>
      <c r="K38" s="432"/>
      <c r="L38" s="432"/>
      <c r="M38" s="433"/>
      <c r="N38" s="134">
        <f>IF(COUNT(N8:N37)=0,"",AVERAGE(N8:N37))</f>
        <v>83.333333333333329</v>
      </c>
      <c r="O38" s="134">
        <f>IF(COUNT(O8:O37)=0,"",AVERAGE(O8:O37))</f>
        <v>60.952380952380949</v>
      </c>
      <c r="Q38" s="431" t="s">
        <v>36</v>
      </c>
      <c r="R38" s="432"/>
      <c r="S38" s="432"/>
      <c r="T38" s="432"/>
      <c r="U38" s="433"/>
      <c r="V38" s="134">
        <f>IF(COUNT(V8:V37)=0,"",AVERAGE(V8:V37))</f>
        <v>65</v>
      </c>
      <c r="W38" s="134">
        <f>IF(COUNT(W8:W37)=0,"",AVERAGE(W8:W37))</f>
        <v>55.142857142857146</v>
      </c>
    </row>
    <row r="39" spans="1:28" x14ac:dyDescent="0.25">
      <c r="A39" s="2"/>
      <c r="B39" s="2"/>
      <c r="C39" s="2"/>
      <c r="D39" s="2"/>
      <c r="E39" s="2"/>
      <c r="F39" s="2"/>
      <c r="G39" s="2"/>
      <c r="I39" s="431" t="s">
        <v>37</v>
      </c>
      <c r="J39" s="432"/>
      <c r="K39" s="432"/>
      <c r="L39" s="432"/>
      <c r="M39" s="433"/>
      <c r="N39" s="135">
        <f>COUNTIF(N8:N37,"&lt;50")</f>
        <v>0</v>
      </c>
      <c r="O39" s="135">
        <f>COUNTIF(O8:O37,"&lt;50")</f>
        <v>5</v>
      </c>
      <c r="Q39" s="431" t="s">
        <v>37</v>
      </c>
      <c r="R39" s="432"/>
      <c r="S39" s="432"/>
      <c r="T39" s="432"/>
      <c r="U39" s="433"/>
      <c r="V39" s="135">
        <f>COUNTIF(V8:V37,"&lt;50")</f>
        <v>5</v>
      </c>
      <c r="W39" s="135">
        <f>COUNTIF(W8:W37,"&lt;50")</f>
        <v>6</v>
      </c>
    </row>
    <row r="40" spans="1:28" x14ac:dyDescent="0.25">
      <c r="A40" s="2"/>
      <c r="B40" s="2"/>
      <c r="C40" s="2"/>
      <c r="D40" s="2"/>
      <c r="E40" s="2"/>
      <c r="F40" s="2"/>
      <c r="G40" s="2"/>
      <c r="I40" s="431" t="s">
        <v>38</v>
      </c>
      <c r="J40" s="432"/>
      <c r="K40" s="432"/>
      <c r="L40" s="432"/>
      <c r="M40" s="433"/>
      <c r="N40" s="136">
        <f>IF(COUNT(N8:N37)=0,"",N39/(COUNT(N8:N37))*100)</f>
        <v>0</v>
      </c>
      <c r="O40" s="136">
        <f>IF(COUNT(O8:O37)=0,"",O39/(COUNT(O8:O37))*100)</f>
        <v>23.809523809523807</v>
      </c>
      <c r="Q40" s="431" t="s">
        <v>38</v>
      </c>
      <c r="R40" s="432"/>
      <c r="S40" s="432"/>
      <c r="T40" s="432"/>
      <c r="U40" s="433"/>
      <c r="V40" s="136">
        <f>IF(COUNT(V8:V37)=0,"",V39/(COUNT(V8:V37))*100)</f>
        <v>23.809523809523807</v>
      </c>
      <c r="W40" s="136">
        <f>IF(COUNT(W8:W37)=0,"",W39/(COUNT(W8:W37))*100)</f>
        <v>28.571428571428569</v>
      </c>
    </row>
    <row r="41" spans="1:28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</sheetData>
  <sheetProtection algorithmName="SHA-512" hashValue="pbeAndD8wGQygK85BgcLxcChU5GEph9PPjAuYFWKXDH7pxOX1GFUJ+abIVAu5c2PFV/O/PoXknhtOvCEWJpZ3A==" saltValue="9SpbP9QBuNMQnKwe5en6dw==" spinCount="100000" sheet="1" objects="1" scenarios="1"/>
  <dataConsolidate link="1"/>
  <mergeCells count="44">
    <mergeCell ref="A3:G3"/>
    <mergeCell ref="H4:O5"/>
    <mergeCell ref="P4:W5"/>
    <mergeCell ref="H3:W3"/>
    <mergeCell ref="D6:G6"/>
    <mergeCell ref="X6:Y6"/>
    <mergeCell ref="B7:G7"/>
    <mergeCell ref="D4:G5"/>
    <mergeCell ref="B19:G19"/>
    <mergeCell ref="B8:G8"/>
    <mergeCell ref="B9:G9"/>
    <mergeCell ref="B10:G10"/>
    <mergeCell ref="B11:G11"/>
    <mergeCell ref="B12:G12"/>
    <mergeCell ref="B13:G13"/>
    <mergeCell ref="B14:G14"/>
    <mergeCell ref="B15:G15"/>
    <mergeCell ref="B16:G16"/>
    <mergeCell ref="B17:G17"/>
    <mergeCell ref="B18:G18"/>
    <mergeCell ref="B22:G22"/>
    <mergeCell ref="B23:G23"/>
    <mergeCell ref="B24:G24"/>
    <mergeCell ref="B20:G20"/>
    <mergeCell ref="B21:G21"/>
    <mergeCell ref="B37:G37"/>
    <mergeCell ref="B35:G35"/>
    <mergeCell ref="B34:G34"/>
    <mergeCell ref="B33:G33"/>
    <mergeCell ref="B25:G25"/>
    <mergeCell ref="B26:G26"/>
    <mergeCell ref="B27:G27"/>
    <mergeCell ref="B28:G28"/>
    <mergeCell ref="B32:G32"/>
    <mergeCell ref="B31:G31"/>
    <mergeCell ref="B29:G29"/>
    <mergeCell ref="B30:G30"/>
    <mergeCell ref="B36:G36"/>
    <mergeCell ref="Q40:U40"/>
    <mergeCell ref="I38:M38"/>
    <mergeCell ref="I39:M39"/>
    <mergeCell ref="I40:M40"/>
    <mergeCell ref="Q38:U38"/>
    <mergeCell ref="Q39:U39"/>
  </mergeCells>
  <dataValidations count="6">
    <dataValidation type="decimal" operator="lessThanOrEqual" allowBlank="1" showErrorMessage="1" errorTitle="Erro." error="Ultrapassou cotação máxima." sqref="H8:M37 P8:U36" xr:uid="{00000000-0002-0000-0200-000000000000}">
      <formula1>H$7</formula1>
    </dataValidation>
    <dataValidation type="decimal" operator="lessThanOrEqual" allowBlank="1" showErrorMessage="1" errorTitle="ERRO!" error="A pergunta não vale tanto!" sqref="P37" xr:uid="{00000000-0002-0000-0200-000001000000}">
      <formula1>P$7</formula1>
    </dataValidation>
    <dataValidation type="decimal" operator="lessThanOrEqual" allowBlank="1" showInputMessage="1" showErrorMessage="1" errorTitle="ERRO!" error="A pergunta não vale tanto!..." sqref="Q37:U37 N8:N37" xr:uid="{00000000-0002-0000-0200-000002000000}">
      <formula1>N$7</formula1>
    </dataValidation>
    <dataValidation type="decimal" operator="lessThanOrEqual" showInputMessage="1" showErrorMessage="1" sqref="V8:V37" xr:uid="{00000000-0002-0000-0200-000004000000}">
      <formula1>V$7</formula1>
    </dataValidation>
    <dataValidation type="decimal" operator="lessThanOrEqual" allowBlank="1" showInputMessage="1" showErrorMessage="1" errorTitle="Erro." error="Ultrapassou cotação máxima." sqref="O8:O37" xr:uid="{00000000-0002-0000-0200-000005000000}">
      <formula1>O$7</formula1>
    </dataValidation>
    <dataValidation type="decimal" operator="lessThanOrEqual" showInputMessage="1" showErrorMessage="1" errorTitle="Erro" error="Ultrapassou cotação máxima." sqref="W8:W37" xr:uid="{00000000-0002-0000-0200-000006000000}">
      <formula1>W$7</formula1>
    </dataValidation>
  </dataValidations>
  <pageMargins left="0.7" right="0.7" top="0.75" bottom="0.75" header="0.3" footer="0.3"/>
  <pageSetup paperSize="9" orientation="portrait" horizontalDpi="4294967292" r:id="rId1"/>
  <ignoredErrors>
    <ignoredError sqref="B8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lha6">
    <pageSetUpPr fitToPage="1"/>
  </sheetPr>
  <dimension ref="A1:AC54"/>
  <sheetViews>
    <sheetView zoomScale="90" zoomScaleNormal="90" workbookViewId="0">
      <pane xSplit="7" ySplit="7" topLeftCell="H8" activePane="bottomRight" state="frozen"/>
      <selection activeCell="U42" sqref="U42"/>
      <selection pane="topRight" activeCell="U42" sqref="U42"/>
      <selection pane="bottomLeft" activeCell="U42" sqref="U42"/>
      <selection pane="bottomRight" activeCell="P8" sqref="P8"/>
    </sheetView>
  </sheetViews>
  <sheetFormatPr defaultRowHeight="15" x14ac:dyDescent="0.25"/>
  <cols>
    <col min="1" max="2" width="9.140625" style="63"/>
    <col min="3" max="3" width="8.5703125" style="63" customWidth="1"/>
    <col min="4" max="4" width="9.140625" style="63" hidden="1" customWidth="1"/>
    <col min="5" max="5" width="0.28515625" style="63" customWidth="1"/>
    <col min="6" max="6" width="9.140625" style="63" hidden="1" customWidth="1"/>
    <col min="7" max="7" width="2.7109375" style="63" customWidth="1"/>
    <col min="8" max="10" width="9.140625" style="63"/>
    <col min="11" max="11" width="14.140625" style="63" bestFit="1" customWidth="1"/>
    <col min="12" max="13" width="9.140625" style="63"/>
    <col min="14" max="14" width="13" style="63" customWidth="1"/>
    <col min="15" max="15" width="11.28515625" style="63" customWidth="1"/>
    <col min="16" max="16" width="10" style="63" customWidth="1"/>
    <col min="17" max="20" width="9.140625" style="63"/>
    <col min="21" max="22" width="9.140625" style="63" customWidth="1"/>
    <col min="23" max="23" width="10.85546875" style="63" customWidth="1"/>
    <col min="24" max="24" width="9.140625" style="63" customWidth="1"/>
    <col min="25" max="25" width="9.28515625" style="63" customWidth="1"/>
    <col min="26" max="16384" width="9.140625" style="63"/>
  </cols>
  <sheetData>
    <row r="1" spans="1:26" ht="27" x14ac:dyDescent="0.25">
      <c r="A1" s="1" t="s">
        <v>18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</row>
    <row r="2" spans="1:26" ht="27" x14ac:dyDescent="0.25">
      <c r="A2" s="4" t="s">
        <v>3</v>
      </c>
      <c r="B2" s="1"/>
      <c r="C2" s="1"/>
      <c r="D2" s="1"/>
      <c r="E2" s="1"/>
      <c r="F2" s="1"/>
      <c r="G2" s="1"/>
      <c r="H2" s="1"/>
      <c r="I2" s="1"/>
      <c r="J2" s="1"/>
      <c r="K2" s="238" t="s">
        <v>79</v>
      </c>
      <c r="L2" s="1"/>
      <c r="M2" s="1"/>
      <c r="N2" s="1"/>
      <c r="O2" s="1"/>
      <c r="P2" s="1"/>
      <c r="Q2" s="1"/>
      <c r="R2" s="1"/>
      <c r="S2" s="1"/>
      <c r="T2" s="60"/>
      <c r="U2" s="1"/>
      <c r="V2" s="1"/>
      <c r="W2" s="1"/>
      <c r="X2" s="1"/>
      <c r="Y2" s="1"/>
    </row>
    <row r="3" spans="1:26" ht="20.25" x14ac:dyDescent="0.25">
      <c r="A3" s="448"/>
      <c r="B3" s="449"/>
      <c r="C3" s="449"/>
      <c r="D3" s="449"/>
      <c r="E3" s="449"/>
      <c r="F3" s="449"/>
      <c r="G3" s="461"/>
      <c r="H3" s="450" t="s">
        <v>98</v>
      </c>
      <c r="I3" s="411"/>
      <c r="J3" s="411"/>
      <c r="K3" s="411"/>
      <c r="L3" s="411"/>
      <c r="M3" s="411"/>
      <c r="N3" s="411"/>
      <c r="O3" s="411"/>
      <c r="P3" s="411"/>
      <c r="Q3" s="411"/>
      <c r="R3" s="411"/>
      <c r="S3" s="411"/>
      <c r="T3" s="411"/>
      <c r="U3" s="411"/>
      <c r="V3" s="411"/>
      <c r="W3" s="411"/>
      <c r="X3" s="411"/>
      <c r="Y3" s="412"/>
    </row>
    <row r="4" spans="1:26" x14ac:dyDescent="0.25">
      <c r="A4" s="6"/>
      <c r="B4" s="7"/>
      <c r="C4" s="7"/>
      <c r="D4" s="438"/>
      <c r="E4" s="438"/>
      <c r="F4" s="438"/>
      <c r="G4" s="415"/>
      <c r="H4" s="416" t="s">
        <v>91</v>
      </c>
      <c r="I4" s="417"/>
      <c r="J4" s="417"/>
      <c r="K4" s="417"/>
      <c r="L4" s="417"/>
      <c r="M4" s="417"/>
      <c r="N4" s="417"/>
      <c r="O4" s="418"/>
      <c r="P4" s="422" t="s">
        <v>19</v>
      </c>
      <c r="Q4" s="416" t="s">
        <v>90</v>
      </c>
      <c r="R4" s="417"/>
      <c r="S4" s="417"/>
      <c r="T4" s="417"/>
      <c r="U4" s="417"/>
      <c r="V4" s="417"/>
      <c r="W4" s="417"/>
      <c r="X4" s="418"/>
      <c r="Y4" s="422" t="s">
        <v>19</v>
      </c>
    </row>
    <row r="5" spans="1:26" x14ac:dyDescent="0.25">
      <c r="A5" s="6"/>
      <c r="B5" s="7"/>
      <c r="C5" s="7"/>
      <c r="D5" s="438"/>
      <c r="E5" s="438"/>
      <c r="F5" s="438"/>
      <c r="G5" s="415"/>
      <c r="H5" s="419"/>
      <c r="I5" s="420"/>
      <c r="J5" s="420"/>
      <c r="K5" s="420"/>
      <c r="L5" s="420"/>
      <c r="M5" s="420"/>
      <c r="N5" s="420"/>
      <c r="O5" s="421"/>
      <c r="P5" s="424"/>
      <c r="Q5" s="419"/>
      <c r="R5" s="420"/>
      <c r="S5" s="420"/>
      <c r="T5" s="420"/>
      <c r="U5" s="420"/>
      <c r="V5" s="420"/>
      <c r="W5" s="420"/>
      <c r="X5" s="421"/>
      <c r="Y5" s="424"/>
    </row>
    <row r="6" spans="1:26" ht="18" customHeight="1" x14ac:dyDescent="0.25">
      <c r="A6" s="8"/>
      <c r="B6" s="33"/>
      <c r="C6" s="451" t="s">
        <v>21</v>
      </c>
      <c r="D6" s="452"/>
      <c r="E6" s="452"/>
      <c r="F6" s="452"/>
      <c r="G6" s="453"/>
      <c r="H6" s="53" t="s">
        <v>24</v>
      </c>
      <c r="I6" s="54" t="s">
        <v>26</v>
      </c>
      <c r="J6" s="54" t="s">
        <v>28</v>
      </c>
      <c r="K6" s="54" t="s">
        <v>30</v>
      </c>
      <c r="L6" s="54" t="s">
        <v>32</v>
      </c>
      <c r="M6" s="211" t="s">
        <v>52</v>
      </c>
      <c r="N6" s="228" t="s">
        <v>53</v>
      </c>
      <c r="O6" s="207" t="s">
        <v>50</v>
      </c>
      <c r="P6" s="28"/>
      <c r="Q6" s="204" t="s">
        <v>17</v>
      </c>
      <c r="R6" s="205" t="s">
        <v>35</v>
      </c>
      <c r="S6" s="205" t="s">
        <v>43</v>
      </c>
      <c r="T6" s="205" t="s">
        <v>44</v>
      </c>
      <c r="U6" s="205" t="s">
        <v>45</v>
      </c>
      <c r="V6" s="29" t="s">
        <v>42</v>
      </c>
      <c r="W6" s="228" t="s">
        <v>53</v>
      </c>
      <c r="X6" s="207" t="s">
        <v>50</v>
      </c>
      <c r="Y6" s="31"/>
    </row>
    <row r="7" spans="1:26" ht="30.75" customHeight="1" x14ac:dyDescent="0.25">
      <c r="A7" s="27" t="s">
        <v>5</v>
      </c>
      <c r="B7" s="435" t="s">
        <v>40</v>
      </c>
      <c r="C7" s="436"/>
      <c r="D7" s="436"/>
      <c r="E7" s="436"/>
      <c r="F7" s="436"/>
      <c r="G7" s="436"/>
      <c r="H7" s="52">
        <v>20</v>
      </c>
      <c r="I7" s="51">
        <v>20</v>
      </c>
      <c r="J7" s="51">
        <v>20</v>
      </c>
      <c r="K7" s="51">
        <v>20</v>
      </c>
      <c r="L7" s="51">
        <v>20</v>
      </c>
      <c r="M7" s="212"/>
      <c r="N7" s="73">
        <f>SUM(H7:L7)</f>
        <v>100</v>
      </c>
      <c r="O7" s="73">
        <v>100</v>
      </c>
      <c r="P7" s="73">
        <f>100</f>
        <v>100</v>
      </c>
      <c r="Q7" s="50">
        <v>100</v>
      </c>
      <c r="R7" s="51"/>
      <c r="S7" s="51"/>
      <c r="T7" s="51"/>
      <c r="U7" s="51"/>
      <c r="V7" s="51"/>
      <c r="W7" s="75">
        <f>SUM(Q7:U7)</f>
        <v>100</v>
      </c>
      <c r="X7" s="73">
        <v>100</v>
      </c>
      <c r="Y7" s="74">
        <f>100</f>
        <v>100</v>
      </c>
    </row>
    <row r="8" spans="1:26" x14ac:dyDescent="0.25">
      <c r="A8" s="107">
        <f>IF('Avaliação Períodos'!A9=0,"",'Avaliação Períodos'!A9)</f>
        <v>1</v>
      </c>
      <c r="B8" s="439" t="str">
        <f>IF('Avaliação Períodos'!B9=0,"",'Avaliação Períodos'!B9)</f>
        <v>Ademar Monforte</v>
      </c>
      <c r="C8" s="440"/>
      <c r="D8" s="440"/>
      <c r="E8" s="440"/>
      <c r="F8" s="440"/>
      <c r="G8" s="441"/>
      <c r="H8" s="147">
        <v>15</v>
      </c>
      <c r="I8" s="111">
        <v>15</v>
      </c>
      <c r="J8" s="111">
        <v>10</v>
      </c>
      <c r="K8" s="111">
        <v>10</v>
      </c>
      <c r="L8" s="112">
        <v>10</v>
      </c>
      <c r="M8" s="139"/>
      <c r="N8" s="219">
        <f>IF(COUNT(H8:M8)=0,"",IF(SUM(H8:L8) - ABS(M8)&lt;0,"0",SUM(H8:L8) - ABS(M8)))</f>
        <v>60</v>
      </c>
      <c r="O8" s="208">
        <v>89</v>
      </c>
      <c r="P8" s="12" cm="1">
        <f t="array" ref="P8">composicaoValor(H8:L8,O8,M8)</f>
        <v>74.5</v>
      </c>
      <c r="Q8" s="131">
        <v>40</v>
      </c>
      <c r="R8" s="132"/>
      <c r="S8" s="132"/>
      <c r="T8" s="132"/>
      <c r="U8" s="132"/>
      <c r="V8" s="132"/>
      <c r="W8" s="219">
        <f>IF(COUNT(Q8:V8)=0,"",IF(SUM(Q8:U8) - ABS(V8)&lt;0,"0",SUM(Q8:U8) - ABS(V8)))</f>
        <v>40</v>
      </c>
      <c r="X8" s="208">
        <v>80</v>
      </c>
      <c r="Y8" s="12" cm="1">
        <f t="array" ref="Y8">composicaoValor(Q8:U8,X8,V8)</f>
        <v>60</v>
      </c>
    </row>
    <row r="9" spans="1:26" x14ac:dyDescent="0.25">
      <c r="A9" s="108">
        <f>IF('Avaliação Períodos'!A10=0,"",'Avaliação Períodos'!A10)</f>
        <v>2</v>
      </c>
      <c r="B9" s="442" t="str">
        <f>IF('Avaliação Períodos'!B10=0,"",'Avaliação Períodos'!B10)</f>
        <v>Alexandre Simões</v>
      </c>
      <c r="C9" s="443"/>
      <c r="D9" s="443"/>
      <c r="E9" s="443"/>
      <c r="F9" s="443"/>
      <c r="G9" s="444"/>
      <c r="H9" s="113">
        <v>10</v>
      </c>
      <c r="I9" s="114">
        <v>10</v>
      </c>
      <c r="J9" s="114">
        <v>10</v>
      </c>
      <c r="K9" s="114">
        <v>10</v>
      </c>
      <c r="L9" s="115">
        <v>5</v>
      </c>
      <c r="M9" s="213"/>
      <c r="N9" s="220">
        <f t="shared" ref="N9:N37" si="0">IF(COUNT(H9:M9)=0,"",IF(SUM(H9:L9) - ABS(M9)&lt;0,"0",SUM(H9:L9) - ABS(M9)))</f>
        <v>45</v>
      </c>
      <c r="O9" s="209">
        <v>90</v>
      </c>
      <c r="P9" s="12" cm="1">
        <f t="array" ref="P9">composicaoValor(H9:L9,O9,M9)</f>
        <v>67.5</v>
      </c>
      <c r="Q9" s="113">
        <v>40</v>
      </c>
      <c r="R9" s="114"/>
      <c r="S9" s="114"/>
      <c r="T9" s="114"/>
      <c r="U9" s="114"/>
      <c r="V9" s="114"/>
      <c r="W9" s="220">
        <f t="shared" ref="W9:W37" si="1">IF(COUNT(Q9:V9)=0,"",IF(SUM(Q9:U9) - ABS(V9)&lt;0,"0",SUM(Q9:U9) - ABS(V9)))</f>
        <v>40</v>
      </c>
      <c r="X9" s="209">
        <v>60</v>
      </c>
      <c r="Y9" s="12" cm="1">
        <f t="array" ref="Y9">composicaoValor(Q9:U9,X9,V9)</f>
        <v>50</v>
      </c>
    </row>
    <row r="10" spans="1:26" x14ac:dyDescent="0.25">
      <c r="A10" s="107">
        <f>IF('Avaliação Períodos'!A11=0,"",'Avaliação Períodos'!A11)</f>
        <v>3</v>
      </c>
      <c r="B10" s="457" t="str">
        <f>IF('Avaliação Períodos'!B11=0,"",'Avaliação Períodos'!B11)</f>
        <v>Ana Inácio</v>
      </c>
      <c r="C10" s="458"/>
      <c r="D10" s="458"/>
      <c r="E10" s="458"/>
      <c r="F10" s="458"/>
      <c r="G10" s="459"/>
      <c r="H10" s="117">
        <v>15</v>
      </c>
      <c r="I10" s="118">
        <v>15</v>
      </c>
      <c r="J10" s="118">
        <v>15</v>
      </c>
      <c r="K10" s="118">
        <v>15</v>
      </c>
      <c r="L10" s="119">
        <v>20</v>
      </c>
      <c r="M10" s="141"/>
      <c r="N10" s="221">
        <f t="shared" si="0"/>
        <v>80</v>
      </c>
      <c r="O10" s="215">
        <v>90</v>
      </c>
      <c r="P10" s="12" cm="1">
        <f t="array" ref="P10">composicaoValor(H10:L10,O10,M10)</f>
        <v>85</v>
      </c>
      <c r="Q10" s="117">
        <v>60</v>
      </c>
      <c r="R10" s="118"/>
      <c r="S10" s="118"/>
      <c r="T10" s="118"/>
      <c r="U10" s="118"/>
      <c r="V10" s="118"/>
      <c r="W10" s="221">
        <f t="shared" si="1"/>
        <v>60</v>
      </c>
      <c r="X10" s="215">
        <v>75</v>
      </c>
      <c r="Y10" s="12" cm="1">
        <f t="array" ref="Y10">composicaoValor(Q10:U10,X10,V10)</f>
        <v>67.5</v>
      </c>
    </row>
    <row r="11" spans="1:26" x14ac:dyDescent="0.25">
      <c r="A11" s="108">
        <f>IF('Avaliação Períodos'!A12=0,"",'Avaliação Períodos'!A12)</f>
        <v>4</v>
      </c>
      <c r="B11" s="442" t="str">
        <f>IF('Avaliação Períodos'!B12=0,"",'Avaliação Períodos'!B12)</f>
        <v>Ana Gomes</v>
      </c>
      <c r="C11" s="443"/>
      <c r="D11" s="443"/>
      <c r="E11" s="443"/>
      <c r="F11" s="443"/>
      <c r="G11" s="444"/>
      <c r="H11" s="120">
        <v>15</v>
      </c>
      <c r="I11" s="121">
        <v>15</v>
      </c>
      <c r="J11" s="121">
        <v>15</v>
      </c>
      <c r="K11" s="121">
        <v>15</v>
      </c>
      <c r="L11" s="122">
        <v>15</v>
      </c>
      <c r="M11" s="140"/>
      <c r="N11" s="222">
        <f t="shared" si="0"/>
        <v>75</v>
      </c>
      <c r="O11" s="216">
        <v>84</v>
      </c>
      <c r="P11" s="12" cm="1">
        <f t="array" ref="P11">composicaoValor(H11:L11,O11,M11)</f>
        <v>79.5</v>
      </c>
      <c r="Q11" s="120">
        <v>45</v>
      </c>
      <c r="R11" s="121"/>
      <c r="S11" s="121"/>
      <c r="T11" s="121"/>
      <c r="U11" s="121"/>
      <c r="V11" s="121"/>
      <c r="W11" s="222">
        <f t="shared" si="1"/>
        <v>45</v>
      </c>
      <c r="X11" s="216">
        <v>80</v>
      </c>
      <c r="Y11" s="12" cm="1">
        <f t="array" ref="Y11">composicaoValor(Q11:U11,X11,V11)</f>
        <v>62.5</v>
      </c>
    </row>
    <row r="12" spans="1:26" x14ac:dyDescent="0.25">
      <c r="A12" s="107">
        <f>IF('Avaliação Períodos'!A13=0,"",'Avaliação Períodos'!A13)</f>
        <v>5</v>
      </c>
      <c r="B12" s="457" t="str">
        <f>IF('Avaliação Períodos'!B13=0,"",'Avaliação Períodos'!B13)</f>
        <v>Bruna Lemos</v>
      </c>
      <c r="C12" s="458"/>
      <c r="D12" s="458"/>
      <c r="E12" s="458"/>
      <c r="F12" s="458"/>
      <c r="G12" s="459"/>
      <c r="H12" s="117">
        <v>10</v>
      </c>
      <c r="I12" s="118">
        <v>10</v>
      </c>
      <c r="J12" s="118">
        <v>5</v>
      </c>
      <c r="K12" s="118">
        <v>10</v>
      </c>
      <c r="L12" s="119">
        <v>10</v>
      </c>
      <c r="M12" s="141"/>
      <c r="N12" s="221">
        <f t="shared" si="0"/>
        <v>45</v>
      </c>
      <c r="O12" s="215">
        <v>60</v>
      </c>
      <c r="P12" s="12" cm="1">
        <f t="array" ref="P12">composicaoValor(H12:L12,O12,M12)</f>
        <v>52.5</v>
      </c>
      <c r="Q12" s="117">
        <v>45</v>
      </c>
      <c r="R12" s="118"/>
      <c r="S12" s="118"/>
      <c r="T12" s="118"/>
      <c r="U12" s="118"/>
      <c r="V12" s="118"/>
      <c r="W12" s="221">
        <f t="shared" si="1"/>
        <v>45</v>
      </c>
      <c r="X12" s="215">
        <v>75</v>
      </c>
      <c r="Y12" s="12" cm="1">
        <f t="array" ref="Y12">composicaoValor(Q12:U12,X12,V12)</f>
        <v>60</v>
      </c>
    </row>
    <row r="13" spans="1:26" x14ac:dyDescent="0.25">
      <c r="A13" s="108">
        <f>IF('Avaliação Períodos'!A14=0,"",'Avaliação Períodos'!A14)</f>
        <v>6</v>
      </c>
      <c r="B13" s="442" t="str">
        <f>IF('Avaliação Períodos'!B14=0,"",'Avaliação Períodos'!B14)</f>
        <v>Constança Abreu</v>
      </c>
      <c r="C13" s="443"/>
      <c r="D13" s="443"/>
      <c r="E13" s="443"/>
      <c r="F13" s="443"/>
      <c r="G13" s="444"/>
      <c r="H13" s="120">
        <v>15</v>
      </c>
      <c r="I13" s="121">
        <v>15</v>
      </c>
      <c r="J13" s="121">
        <v>10</v>
      </c>
      <c r="K13" s="121">
        <v>10</v>
      </c>
      <c r="L13" s="122">
        <v>10</v>
      </c>
      <c r="M13" s="140"/>
      <c r="N13" s="222">
        <f t="shared" si="0"/>
        <v>60</v>
      </c>
      <c r="O13" s="216">
        <v>90</v>
      </c>
      <c r="P13" s="12" cm="1">
        <f t="array" ref="P13">composicaoValor(H13:L13,O13,M13)</f>
        <v>75</v>
      </c>
      <c r="Q13" s="120">
        <v>70</v>
      </c>
      <c r="R13" s="121"/>
      <c r="S13" s="121"/>
      <c r="T13" s="121"/>
      <c r="U13" s="121"/>
      <c r="V13" s="121"/>
      <c r="W13" s="222">
        <f t="shared" si="1"/>
        <v>70</v>
      </c>
      <c r="X13" s="216">
        <v>80</v>
      </c>
      <c r="Y13" s="12" cm="1">
        <f t="array" ref="Y13">composicaoValor(Q13:U13,X13,V13)</f>
        <v>75</v>
      </c>
    </row>
    <row r="14" spans="1:26" x14ac:dyDescent="0.25">
      <c r="A14" s="107">
        <f>IF('Avaliação Períodos'!A15=0,"",'Avaliação Períodos'!A15)</f>
        <v>7</v>
      </c>
      <c r="B14" s="457" t="str">
        <f>IF('Avaliação Períodos'!B15=0,"",'Avaliação Períodos'!B15)</f>
        <v>Cristiano Emídio</v>
      </c>
      <c r="C14" s="458"/>
      <c r="D14" s="458"/>
      <c r="E14" s="458"/>
      <c r="F14" s="458"/>
      <c r="G14" s="459"/>
      <c r="H14" s="117">
        <v>10</v>
      </c>
      <c r="I14" s="118">
        <v>10</v>
      </c>
      <c r="J14" s="118">
        <v>5</v>
      </c>
      <c r="K14" s="118">
        <v>10</v>
      </c>
      <c r="L14" s="119">
        <v>10</v>
      </c>
      <c r="M14" s="141"/>
      <c r="N14" s="221">
        <f t="shared" si="0"/>
        <v>45</v>
      </c>
      <c r="O14" s="215">
        <v>90</v>
      </c>
      <c r="P14" s="12" cm="1">
        <f t="array" ref="P14">composicaoValor(H14:L14,O14,M14)</f>
        <v>67.5</v>
      </c>
      <c r="Q14" s="117">
        <v>1</v>
      </c>
      <c r="R14" s="118"/>
      <c r="S14" s="118"/>
      <c r="T14" s="118"/>
      <c r="U14" s="118"/>
      <c r="V14" s="118"/>
      <c r="W14" s="221">
        <f t="shared" si="1"/>
        <v>1</v>
      </c>
      <c r="X14" s="215">
        <v>0</v>
      </c>
      <c r="Y14" s="12" cm="1">
        <f t="array" ref="Y14">composicaoValor(Q14:U14,X14,V14)</f>
        <v>0.5</v>
      </c>
    </row>
    <row r="15" spans="1:26" x14ac:dyDescent="0.25">
      <c r="A15" s="108">
        <f>IF('Avaliação Períodos'!A16=0,"",'Avaliação Períodos'!A16)</f>
        <v>8</v>
      </c>
      <c r="B15" s="442" t="str">
        <f>IF('Avaliação Períodos'!B16=0,"",'Avaliação Períodos'!B16)</f>
        <v>Edgar Gonçalves</v>
      </c>
      <c r="C15" s="443"/>
      <c r="D15" s="443"/>
      <c r="E15" s="443"/>
      <c r="F15" s="443"/>
      <c r="G15" s="444"/>
      <c r="H15" s="120">
        <v>15</v>
      </c>
      <c r="I15" s="121">
        <v>15</v>
      </c>
      <c r="J15" s="123">
        <v>10</v>
      </c>
      <c r="K15" s="121">
        <v>10</v>
      </c>
      <c r="L15" s="122">
        <v>5</v>
      </c>
      <c r="M15" s="140"/>
      <c r="N15" s="222">
        <f t="shared" si="0"/>
        <v>55</v>
      </c>
      <c r="O15" s="216">
        <v>90</v>
      </c>
      <c r="P15" s="12" cm="1">
        <f t="array" ref="P15">composicaoValor(H15:L15,O15,M15)</f>
        <v>72.5</v>
      </c>
      <c r="Q15" s="120">
        <v>50</v>
      </c>
      <c r="R15" s="121"/>
      <c r="S15" s="123"/>
      <c r="T15" s="121"/>
      <c r="U15" s="121"/>
      <c r="V15" s="121"/>
      <c r="W15" s="222">
        <f t="shared" si="1"/>
        <v>50</v>
      </c>
      <c r="X15" s="216">
        <v>75</v>
      </c>
      <c r="Y15" s="12" cm="1">
        <f t="array" ref="Y15">composicaoValor(Q15:U15,X15,V15)</f>
        <v>62.5</v>
      </c>
    </row>
    <row r="16" spans="1:26" x14ac:dyDescent="0.25">
      <c r="A16" s="107">
        <f>IF('Avaliação Períodos'!A17=0,"",'Avaliação Períodos'!A17)</f>
        <v>9</v>
      </c>
      <c r="B16" s="457" t="str">
        <f>IF('Avaliação Períodos'!B17=0,"",'Avaliação Períodos'!B17)</f>
        <v>Fábio Trino</v>
      </c>
      <c r="C16" s="458"/>
      <c r="D16" s="458"/>
      <c r="E16" s="458"/>
      <c r="F16" s="458"/>
      <c r="G16" s="459"/>
      <c r="H16" s="117">
        <v>15</v>
      </c>
      <c r="I16" s="118">
        <v>15</v>
      </c>
      <c r="J16" s="118">
        <v>10</v>
      </c>
      <c r="K16" s="118">
        <v>10</v>
      </c>
      <c r="L16" s="119">
        <v>10</v>
      </c>
      <c r="M16" s="141"/>
      <c r="N16" s="221">
        <f t="shared" si="0"/>
        <v>60</v>
      </c>
      <c r="O16" s="215">
        <v>84</v>
      </c>
      <c r="P16" s="12" cm="1">
        <f t="array" ref="P16">composicaoValor(H16:L16,O16,M16)</f>
        <v>72</v>
      </c>
      <c r="Q16" s="117">
        <v>40</v>
      </c>
      <c r="R16" s="118"/>
      <c r="S16" s="118"/>
      <c r="T16" s="118"/>
      <c r="U16" s="118"/>
      <c r="V16" s="118"/>
      <c r="W16" s="221">
        <f t="shared" si="1"/>
        <v>40</v>
      </c>
      <c r="X16" s="215">
        <v>60</v>
      </c>
      <c r="Y16" s="12" cm="1">
        <f t="array" ref="Y16">composicaoValor(Q16:U16,X16,V16)</f>
        <v>50</v>
      </c>
      <c r="Z16" s="100"/>
    </row>
    <row r="17" spans="1:29" x14ac:dyDescent="0.25">
      <c r="A17" s="108">
        <f>IF('Avaliação Períodos'!A18=0,"",'Avaliação Períodos'!A18)</f>
        <v>10</v>
      </c>
      <c r="B17" s="442" t="str">
        <f>IF('Avaliação Períodos'!B18=0,"",'Avaliação Períodos'!B18)</f>
        <v>Francisco Pedrosa</v>
      </c>
      <c r="C17" s="443"/>
      <c r="D17" s="443"/>
      <c r="E17" s="443"/>
      <c r="F17" s="443"/>
      <c r="G17" s="444"/>
      <c r="H17" s="120">
        <v>10</v>
      </c>
      <c r="I17" s="121">
        <v>10</v>
      </c>
      <c r="J17" s="121">
        <v>10</v>
      </c>
      <c r="K17" s="121">
        <v>5</v>
      </c>
      <c r="L17" s="122">
        <v>10</v>
      </c>
      <c r="M17" s="140">
        <v>2</v>
      </c>
      <c r="N17" s="222">
        <f t="shared" si="0"/>
        <v>43</v>
      </c>
      <c r="O17" s="216">
        <v>90</v>
      </c>
      <c r="P17" s="12" cm="1">
        <f t="array" ref="P17">composicaoValor(H17:L17,O17,M17)</f>
        <v>66.5</v>
      </c>
      <c r="Q17" s="120">
        <v>50</v>
      </c>
      <c r="R17" s="121"/>
      <c r="S17" s="121"/>
      <c r="T17" s="121"/>
      <c r="U17" s="121"/>
      <c r="V17" s="121"/>
      <c r="W17" s="222">
        <f t="shared" si="1"/>
        <v>50</v>
      </c>
      <c r="X17" s="216">
        <v>75</v>
      </c>
      <c r="Y17" s="12" cm="1">
        <f t="array" ref="Y17">composicaoValor(Q17:U17,X17,V17)</f>
        <v>62.5</v>
      </c>
      <c r="AC17" s="100"/>
    </row>
    <row r="18" spans="1:29" x14ac:dyDescent="0.25">
      <c r="A18" s="107">
        <f>IF('Avaliação Períodos'!A19=0,"",'Avaliação Períodos'!A19)</f>
        <v>11</v>
      </c>
      <c r="B18" s="457" t="str">
        <f>IF('Avaliação Períodos'!B19=0,"",'Avaliação Períodos'!B19)</f>
        <v>Francisco Miranda</v>
      </c>
      <c r="C18" s="458"/>
      <c r="D18" s="458"/>
      <c r="E18" s="458"/>
      <c r="F18" s="458"/>
      <c r="G18" s="459"/>
      <c r="H18" s="124">
        <v>10</v>
      </c>
      <c r="I18" s="118">
        <v>10</v>
      </c>
      <c r="J18" s="118">
        <v>10</v>
      </c>
      <c r="K18" s="118">
        <v>5</v>
      </c>
      <c r="L18" s="119">
        <v>10</v>
      </c>
      <c r="M18" s="141"/>
      <c r="N18" s="221">
        <f t="shared" si="0"/>
        <v>45</v>
      </c>
      <c r="O18" s="215">
        <v>60</v>
      </c>
      <c r="P18" s="12" cm="1">
        <f t="array" ref="P18">composicaoValor(H18:L18,O18,M18)</f>
        <v>52.5</v>
      </c>
      <c r="Q18" s="124">
        <v>25</v>
      </c>
      <c r="R18" s="118"/>
      <c r="S18" s="118"/>
      <c r="T18" s="118"/>
      <c r="U18" s="118"/>
      <c r="V18" s="118"/>
      <c r="W18" s="221">
        <f t="shared" si="1"/>
        <v>25</v>
      </c>
      <c r="X18" s="215">
        <v>60</v>
      </c>
      <c r="Y18" s="12" cm="1">
        <f t="array" ref="Y18">composicaoValor(Q18:U18,X18,V18)</f>
        <v>42.5</v>
      </c>
    </row>
    <row r="19" spans="1:29" x14ac:dyDescent="0.25">
      <c r="A19" s="108">
        <f>IF('Avaliação Períodos'!A20=0,"",'Avaliação Períodos'!A20)</f>
        <v>12</v>
      </c>
      <c r="B19" s="442" t="str">
        <f>IF('Avaliação Períodos'!B20=0,"",'Avaliação Períodos'!B20)</f>
        <v>Francisco Mota</v>
      </c>
      <c r="C19" s="443"/>
      <c r="D19" s="443"/>
      <c r="E19" s="443"/>
      <c r="F19" s="443"/>
      <c r="G19" s="444"/>
      <c r="H19" s="120">
        <v>15</v>
      </c>
      <c r="I19" s="121">
        <v>15</v>
      </c>
      <c r="J19" s="121">
        <v>15</v>
      </c>
      <c r="K19" s="121">
        <v>15</v>
      </c>
      <c r="L19" s="122">
        <v>20</v>
      </c>
      <c r="M19" s="140"/>
      <c r="N19" s="222">
        <f t="shared" si="0"/>
        <v>80</v>
      </c>
      <c r="O19" s="216">
        <v>84</v>
      </c>
      <c r="P19" s="12" cm="1">
        <f t="array" ref="P19">composicaoValor(H19:L19,O19,M19)</f>
        <v>82</v>
      </c>
      <c r="Q19" s="120">
        <v>45</v>
      </c>
      <c r="R19" s="121"/>
      <c r="S19" s="121"/>
      <c r="T19" s="121"/>
      <c r="U19" s="121"/>
      <c r="V19" s="121"/>
      <c r="W19" s="222">
        <f t="shared" si="1"/>
        <v>45</v>
      </c>
      <c r="X19" s="216">
        <v>60</v>
      </c>
      <c r="Y19" s="12" cm="1">
        <f t="array" ref="Y19">composicaoValor(Q19:U19,X19,V19)</f>
        <v>52.5</v>
      </c>
    </row>
    <row r="20" spans="1:29" x14ac:dyDescent="0.25">
      <c r="A20" s="107">
        <f>IF('Avaliação Períodos'!A21=0,"",'Avaliação Períodos'!A21)</f>
        <v>13</v>
      </c>
      <c r="B20" s="457" t="str">
        <f>IF('Avaliação Períodos'!B21=0,"",'Avaliação Períodos'!B21)</f>
        <v>Francisco Marques</v>
      </c>
      <c r="C20" s="458"/>
      <c r="D20" s="458"/>
      <c r="E20" s="458"/>
      <c r="F20" s="458"/>
      <c r="G20" s="459"/>
      <c r="H20" s="124">
        <v>10</v>
      </c>
      <c r="I20" s="118">
        <v>10</v>
      </c>
      <c r="J20" s="118">
        <v>5</v>
      </c>
      <c r="K20" s="118">
        <v>5</v>
      </c>
      <c r="L20" s="119">
        <v>10</v>
      </c>
      <c r="M20" s="141"/>
      <c r="N20" s="221">
        <f t="shared" si="0"/>
        <v>40</v>
      </c>
      <c r="O20" s="215">
        <v>89</v>
      </c>
      <c r="P20" s="12" cm="1">
        <f t="array" ref="P20">composicaoValor(H20:L20,O20,M20)</f>
        <v>64.5</v>
      </c>
      <c r="Q20" s="124">
        <v>40</v>
      </c>
      <c r="R20" s="118"/>
      <c r="S20" s="118"/>
      <c r="T20" s="118"/>
      <c r="U20" s="118"/>
      <c r="V20" s="118"/>
      <c r="W20" s="221">
        <f t="shared" si="1"/>
        <v>40</v>
      </c>
      <c r="X20" s="215">
        <v>75</v>
      </c>
      <c r="Y20" s="12" cm="1">
        <f t="array" ref="Y20">composicaoValor(Q20:U20,X20,V20)</f>
        <v>57.5</v>
      </c>
    </row>
    <row r="21" spans="1:29" x14ac:dyDescent="0.25">
      <c r="A21" s="108">
        <f>IF('Avaliação Períodos'!A22=0,"",'Avaliação Períodos'!A22)</f>
        <v>14</v>
      </c>
      <c r="B21" s="442" t="str">
        <f>IF('Avaliação Períodos'!B22=0,"",'Avaliação Períodos'!B22)</f>
        <v>Jamila Portilha</v>
      </c>
      <c r="C21" s="443"/>
      <c r="D21" s="443"/>
      <c r="E21" s="443"/>
      <c r="F21" s="443"/>
      <c r="G21" s="444"/>
      <c r="H21" s="120">
        <v>20</v>
      </c>
      <c r="I21" s="121">
        <v>20</v>
      </c>
      <c r="J21" s="121">
        <v>20</v>
      </c>
      <c r="K21" s="121">
        <v>20</v>
      </c>
      <c r="L21" s="122">
        <v>20</v>
      </c>
      <c r="M21" s="140"/>
      <c r="N21" s="222">
        <f t="shared" si="0"/>
        <v>100</v>
      </c>
      <c r="O21" s="216">
        <v>89</v>
      </c>
      <c r="P21" s="12" cm="1">
        <f t="array" ref="P21">composicaoValor(H21:L21,O21,M21)</f>
        <v>94.5</v>
      </c>
      <c r="Q21" s="120">
        <v>75</v>
      </c>
      <c r="R21" s="121"/>
      <c r="S21" s="121"/>
      <c r="T21" s="121"/>
      <c r="U21" s="121"/>
      <c r="V21" s="121"/>
      <c r="W21" s="222">
        <f t="shared" si="1"/>
        <v>75</v>
      </c>
      <c r="X21" s="216">
        <v>75</v>
      </c>
      <c r="Y21" s="12" cm="1">
        <f t="array" ref="Y21">composicaoValor(Q21:U21,X21,V21)</f>
        <v>75</v>
      </c>
    </row>
    <row r="22" spans="1:29" x14ac:dyDescent="0.25">
      <c r="A22" s="107">
        <f>IF('Avaliação Períodos'!A23=0,"",'Avaliação Períodos'!A23)</f>
        <v>15</v>
      </c>
      <c r="B22" s="457" t="str">
        <f>IF('Avaliação Períodos'!B23=0,"",'Avaliação Períodos'!B23)</f>
        <v>Joelma Emídio</v>
      </c>
      <c r="C22" s="458"/>
      <c r="D22" s="458"/>
      <c r="E22" s="458"/>
      <c r="F22" s="458"/>
      <c r="G22" s="459"/>
      <c r="H22" s="124">
        <v>0</v>
      </c>
      <c r="I22" s="118">
        <v>0</v>
      </c>
      <c r="J22" s="118">
        <v>0</v>
      </c>
      <c r="K22" s="118">
        <v>0</v>
      </c>
      <c r="L22" s="119">
        <v>0</v>
      </c>
      <c r="M22" s="141"/>
      <c r="N22" s="221">
        <f t="shared" si="0"/>
        <v>0</v>
      </c>
      <c r="O22" s="215">
        <v>89</v>
      </c>
      <c r="P22" s="12" cm="1">
        <f t="array" ref="P22">composicaoValor(H22:L22,O22,M22)</f>
        <v>44.5</v>
      </c>
      <c r="Q22" s="124">
        <v>1</v>
      </c>
      <c r="R22" s="118"/>
      <c r="S22" s="118"/>
      <c r="T22" s="118"/>
      <c r="U22" s="118"/>
      <c r="V22" s="118"/>
      <c r="W22" s="221">
        <f t="shared" si="1"/>
        <v>1</v>
      </c>
      <c r="X22" s="215">
        <v>0</v>
      </c>
      <c r="Y22" s="12" cm="1">
        <f t="array" ref="Y22">composicaoValor(Q22:U22,X22,V22)</f>
        <v>0.5</v>
      </c>
    </row>
    <row r="23" spans="1:29" x14ac:dyDescent="0.25">
      <c r="A23" s="108">
        <f>IF('Avaliação Períodos'!A24=0,"",'Avaliação Períodos'!A24)</f>
        <v>16</v>
      </c>
      <c r="B23" s="442" t="str">
        <f>IF('Avaliação Períodos'!B24=0,"",'Avaliação Períodos'!B24)</f>
        <v>José Garcia</v>
      </c>
      <c r="C23" s="443"/>
      <c r="D23" s="443"/>
      <c r="E23" s="443"/>
      <c r="F23" s="443"/>
      <c r="G23" s="444"/>
      <c r="H23" s="120">
        <v>10</v>
      </c>
      <c r="I23" s="121">
        <v>10</v>
      </c>
      <c r="J23" s="121">
        <v>10</v>
      </c>
      <c r="K23" s="121">
        <v>10</v>
      </c>
      <c r="L23" s="122">
        <v>10</v>
      </c>
      <c r="M23" s="140"/>
      <c r="N23" s="222">
        <f t="shared" si="0"/>
        <v>50</v>
      </c>
      <c r="O23" s="216">
        <v>0</v>
      </c>
      <c r="P23" s="12" cm="1">
        <f t="array" ref="P23">composicaoValor(H23:L23,O23,M23)</f>
        <v>25</v>
      </c>
      <c r="Q23" s="120">
        <v>1</v>
      </c>
      <c r="R23" s="121"/>
      <c r="S23" s="121"/>
      <c r="T23" s="121"/>
      <c r="U23" s="121"/>
      <c r="V23" s="121"/>
      <c r="W23" s="222">
        <f t="shared" si="1"/>
        <v>1</v>
      </c>
      <c r="X23" s="216">
        <v>0</v>
      </c>
      <c r="Y23" s="12" cm="1">
        <f t="array" ref="Y23">composicaoValor(Q23:U23,X23,V23)</f>
        <v>0.5</v>
      </c>
    </row>
    <row r="24" spans="1:29" x14ac:dyDescent="0.25">
      <c r="A24" s="107">
        <f>IF('Avaliação Períodos'!A25=0,"",'Avaliação Períodos'!A25)</f>
        <v>17</v>
      </c>
      <c r="B24" s="457" t="str">
        <f>IF('Avaliação Períodos'!B25=0,"",'Avaliação Períodos'!B25)</f>
        <v>Leonor Gomes</v>
      </c>
      <c r="C24" s="458"/>
      <c r="D24" s="458"/>
      <c r="E24" s="458"/>
      <c r="F24" s="458"/>
      <c r="G24" s="459"/>
      <c r="H24" s="124">
        <v>20</v>
      </c>
      <c r="I24" s="118">
        <v>20</v>
      </c>
      <c r="J24" s="118">
        <v>15</v>
      </c>
      <c r="K24" s="118">
        <v>15</v>
      </c>
      <c r="L24" s="119">
        <v>10</v>
      </c>
      <c r="M24" s="141"/>
      <c r="N24" s="221">
        <f t="shared" si="0"/>
        <v>80</v>
      </c>
      <c r="O24" s="215">
        <v>90</v>
      </c>
      <c r="P24" s="12" cm="1">
        <f t="array" ref="P24">composicaoValor(H24:L24,O24,M24)</f>
        <v>85</v>
      </c>
      <c r="Q24" s="124">
        <v>60</v>
      </c>
      <c r="R24" s="118"/>
      <c r="S24" s="118"/>
      <c r="T24" s="118"/>
      <c r="U24" s="118"/>
      <c r="V24" s="118"/>
      <c r="W24" s="221">
        <f t="shared" si="1"/>
        <v>60</v>
      </c>
      <c r="X24" s="215">
        <v>75</v>
      </c>
      <c r="Y24" s="12" cm="1">
        <f t="array" ref="Y24">composicaoValor(Q24:U24,X24,V24)</f>
        <v>67.5</v>
      </c>
    </row>
    <row r="25" spans="1:29" x14ac:dyDescent="0.25">
      <c r="A25" s="108">
        <f>IF('Avaliação Períodos'!A26=0,"",'Avaliação Períodos'!A26)</f>
        <v>18</v>
      </c>
      <c r="B25" s="442" t="str">
        <f>IF('Avaliação Períodos'!B26=0,"",'Avaliação Períodos'!B26)</f>
        <v>Martim Santos</v>
      </c>
      <c r="C25" s="443"/>
      <c r="D25" s="443"/>
      <c r="E25" s="443"/>
      <c r="F25" s="443"/>
      <c r="G25" s="444"/>
      <c r="H25" s="120">
        <v>15</v>
      </c>
      <c r="I25" s="121">
        <v>10</v>
      </c>
      <c r="J25" s="121">
        <v>10</v>
      </c>
      <c r="K25" s="121">
        <v>10</v>
      </c>
      <c r="L25" s="122">
        <v>5</v>
      </c>
      <c r="M25" s="140"/>
      <c r="N25" s="222">
        <f t="shared" si="0"/>
        <v>50</v>
      </c>
      <c r="O25" s="216">
        <v>90</v>
      </c>
      <c r="P25" s="12" cm="1">
        <f t="array" ref="P25">composicaoValor(H25:L25,O25,M25)</f>
        <v>70</v>
      </c>
      <c r="Q25" s="120">
        <v>55</v>
      </c>
      <c r="R25" s="121"/>
      <c r="S25" s="121"/>
      <c r="T25" s="121"/>
      <c r="U25" s="121"/>
      <c r="V25" s="121"/>
      <c r="W25" s="222">
        <f t="shared" si="1"/>
        <v>55</v>
      </c>
      <c r="X25" s="216">
        <v>75</v>
      </c>
      <c r="Y25" s="12" cm="1">
        <f t="array" ref="Y25">composicaoValor(Q25:U25,X25,V25)</f>
        <v>65</v>
      </c>
    </row>
    <row r="26" spans="1:29" x14ac:dyDescent="0.25">
      <c r="A26" s="107">
        <f>IF('Avaliação Períodos'!A27=0,"",'Avaliação Períodos'!A27)</f>
        <v>19</v>
      </c>
      <c r="B26" s="457" t="str">
        <f>IF('Avaliação Períodos'!B27=0,"",'Avaliação Períodos'!B27)</f>
        <v>Nikole Lage</v>
      </c>
      <c r="C26" s="458"/>
      <c r="D26" s="458"/>
      <c r="E26" s="458"/>
      <c r="F26" s="458"/>
      <c r="G26" s="459"/>
      <c r="H26" s="124">
        <v>10</v>
      </c>
      <c r="I26" s="118">
        <v>10</v>
      </c>
      <c r="J26" s="118">
        <v>10</v>
      </c>
      <c r="K26" s="118">
        <v>10</v>
      </c>
      <c r="L26" s="119">
        <v>10</v>
      </c>
      <c r="M26" s="141"/>
      <c r="N26" s="221">
        <f t="shared" si="0"/>
        <v>50</v>
      </c>
      <c r="O26" s="215">
        <v>90</v>
      </c>
      <c r="P26" s="12" cm="1">
        <f t="array" ref="P26">composicaoValor(H26:L26,O26,M26)</f>
        <v>70</v>
      </c>
      <c r="Q26" s="124">
        <v>1</v>
      </c>
      <c r="R26" s="118"/>
      <c r="S26" s="118"/>
      <c r="T26" s="118"/>
      <c r="U26" s="118"/>
      <c r="V26" s="118"/>
      <c r="W26" s="221">
        <f t="shared" si="1"/>
        <v>1</v>
      </c>
      <c r="X26" s="215">
        <v>0</v>
      </c>
      <c r="Y26" s="12" cm="1">
        <f t="array" ref="Y26">composicaoValor(Q26:U26,X26,V26)</f>
        <v>0.5</v>
      </c>
    </row>
    <row r="27" spans="1:29" x14ac:dyDescent="0.25">
      <c r="A27" s="108">
        <f>IF('Avaliação Períodos'!A28=0,"",'Avaliação Períodos'!A28)</f>
        <v>20</v>
      </c>
      <c r="B27" s="442" t="str">
        <f>IF('Avaliação Períodos'!B28=0,"",'Avaliação Períodos'!B28)</f>
        <v>Tatiana Gomes</v>
      </c>
      <c r="C27" s="443"/>
      <c r="D27" s="443"/>
      <c r="E27" s="443"/>
      <c r="F27" s="443"/>
      <c r="G27" s="444"/>
      <c r="H27" s="120">
        <v>20</v>
      </c>
      <c r="I27" s="121">
        <v>20</v>
      </c>
      <c r="J27" s="121">
        <v>20</v>
      </c>
      <c r="K27" s="121">
        <v>20</v>
      </c>
      <c r="L27" s="122">
        <v>15</v>
      </c>
      <c r="M27" s="140"/>
      <c r="N27" s="222">
        <f t="shared" si="0"/>
        <v>95</v>
      </c>
      <c r="O27" s="216">
        <v>89</v>
      </c>
      <c r="P27" s="12" cm="1">
        <f t="array" ref="P27">composicaoValor(H27:L27,O27,M27)</f>
        <v>92</v>
      </c>
      <c r="Q27" s="120">
        <v>60</v>
      </c>
      <c r="R27" s="121"/>
      <c r="S27" s="121"/>
      <c r="T27" s="121"/>
      <c r="U27" s="121"/>
      <c r="V27" s="121"/>
      <c r="W27" s="222">
        <f t="shared" si="1"/>
        <v>60</v>
      </c>
      <c r="X27" s="216">
        <v>80</v>
      </c>
      <c r="Y27" s="12" cm="1">
        <f t="array" ref="Y27">composicaoValor(Q27:U27,X27,V27)</f>
        <v>70</v>
      </c>
    </row>
    <row r="28" spans="1:29" x14ac:dyDescent="0.25">
      <c r="A28" s="107">
        <f>IF('Avaliação Períodos'!A29=0,"",'Avaliação Períodos'!A29)</f>
        <v>21</v>
      </c>
      <c r="B28" s="457" t="str">
        <f>IF('Avaliação Períodos'!B29=0,"",'Avaliação Períodos'!B29)</f>
        <v>Manuel Ascenso</v>
      </c>
      <c r="C28" s="458"/>
      <c r="D28" s="458"/>
      <c r="E28" s="458"/>
      <c r="F28" s="458"/>
      <c r="G28" s="459"/>
      <c r="H28" s="124">
        <v>20</v>
      </c>
      <c r="I28" s="118">
        <v>20</v>
      </c>
      <c r="J28" s="118">
        <v>15</v>
      </c>
      <c r="K28" s="118">
        <v>20</v>
      </c>
      <c r="L28" s="119">
        <v>20</v>
      </c>
      <c r="M28" s="141"/>
      <c r="N28" s="221">
        <f t="shared" si="0"/>
        <v>95</v>
      </c>
      <c r="O28" s="215">
        <v>90</v>
      </c>
      <c r="P28" s="12" cm="1">
        <f t="array" ref="P28">composicaoValor(H28:L28,O28,M28)</f>
        <v>92.5</v>
      </c>
      <c r="Q28" s="124">
        <v>60</v>
      </c>
      <c r="R28" s="118"/>
      <c r="S28" s="118"/>
      <c r="T28" s="118"/>
      <c r="U28" s="118"/>
      <c r="V28" s="118"/>
      <c r="W28" s="221">
        <f t="shared" si="1"/>
        <v>60</v>
      </c>
      <c r="X28" s="215">
        <v>75</v>
      </c>
      <c r="Y28" s="12" cm="1">
        <f t="array" ref="Y28">composicaoValor(Q28:U28,X28,V28)</f>
        <v>67.5</v>
      </c>
    </row>
    <row r="29" spans="1:29" x14ac:dyDescent="0.25">
      <c r="A29" s="108" t="str">
        <f>IF('Avaliação Períodos'!A30=0,"",'Avaliação Períodos'!A30)</f>
        <v/>
      </c>
      <c r="B29" s="442" t="str">
        <f>IF('Avaliação Períodos'!B30=0,"",'Avaliação Períodos'!B30)</f>
        <v>Ana Ramos</v>
      </c>
      <c r="C29" s="443"/>
      <c r="D29" s="443"/>
      <c r="E29" s="443"/>
      <c r="F29" s="443"/>
      <c r="G29" s="444"/>
      <c r="H29" s="125"/>
      <c r="I29" s="126"/>
      <c r="J29" s="126"/>
      <c r="K29" s="126"/>
      <c r="L29" s="127"/>
      <c r="M29" s="142"/>
      <c r="N29" s="223" t="str">
        <f t="shared" si="0"/>
        <v/>
      </c>
      <c r="O29" s="217">
        <v>0</v>
      </c>
      <c r="P29" s="12" cm="1">
        <f t="array" ref="P29">composicaoValor(H29:L29,O29,M29)</f>
        <v>0</v>
      </c>
      <c r="Q29" s="125"/>
      <c r="R29" s="126"/>
      <c r="S29" s="126"/>
      <c r="T29" s="126"/>
      <c r="U29" s="126"/>
      <c r="V29" s="126">
        <v>0</v>
      </c>
      <c r="W29" s="223">
        <f t="shared" si="1"/>
        <v>0</v>
      </c>
      <c r="X29" s="217">
        <v>0</v>
      </c>
      <c r="Y29" s="12" cm="1">
        <f t="array" ref="Y29">composicaoValor(Q29:U29,X29,V29)</f>
        <v>0</v>
      </c>
    </row>
    <row r="30" spans="1:29" x14ac:dyDescent="0.25">
      <c r="A30" s="107" t="str">
        <f>IF('Avaliação Períodos'!A31=0,"",'Avaliação Períodos'!A31)</f>
        <v/>
      </c>
      <c r="B30" s="457" t="str">
        <f>IF('Avaliação Períodos'!B31=0,"",'Avaliação Períodos'!B31)</f>
        <v/>
      </c>
      <c r="C30" s="458"/>
      <c r="D30" s="458"/>
      <c r="E30" s="458"/>
      <c r="F30" s="458"/>
      <c r="G30" s="459"/>
      <c r="H30" s="124"/>
      <c r="I30" s="118"/>
      <c r="J30" s="118"/>
      <c r="K30" s="118"/>
      <c r="L30" s="119"/>
      <c r="M30" s="141"/>
      <c r="N30" s="221" t="str">
        <f t="shared" si="0"/>
        <v/>
      </c>
      <c r="O30" s="215"/>
      <c r="P30" s="12" t="str" cm="1">
        <f t="array" ref="P30">composicaoValor(H30:L30,O30,M30)</f>
        <v/>
      </c>
      <c r="Q30" s="124"/>
      <c r="R30" s="118"/>
      <c r="S30" s="118"/>
      <c r="T30" s="118"/>
      <c r="U30" s="118"/>
      <c r="V30" s="118"/>
      <c r="W30" s="221" t="str">
        <f t="shared" si="1"/>
        <v/>
      </c>
      <c r="X30" s="215"/>
      <c r="Y30" s="12" t="str" cm="1">
        <f t="array" ref="Y30">composicaoValor(Q30:U30,X30,V30)</f>
        <v/>
      </c>
    </row>
    <row r="31" spans="1:29" x14ac:dyDescent="0.25">
      <c r="A31" s="108" t="str">
        <f>IF('Avaliação Períodos'!A32=0,"",'Avaliação Períodos'!A32)</f>
        <v/>
      </c>
      <c r="B31" s="442" t="str">
        <f>IF('Avaliação Períodos'!B32=0,"",'Avaliação Períodos'!B32)</f>
        <v/>
      </c>
      <c r="C31" s="443"/>
      <c r="D31" s="443"/>
      <c r="E31" s="443"/>
      <c r="F31" s="443"/>
      <c r="G31" s="444"/>
      <c r="H31" s="120"/>
      <c r="I31" s="121"/>
      <c r="J31" s="121"/>
      <c r="K31" s="121"/>
      <c r="L31" s="122"/>
      <c r="M31" s="140"/>
      <c r="N31" s="222" t="str">
        <f t="shared" si="0"/>
        <v/>
      </c>
      <c r="O31" s="216"/>
      <c r="P31" s="12" t="str" cm="1">
        <f t="array" ref="P31">composicaoValor(H31:L31,O31,M31)</f>
        <v/>
      </c>
      <c r="Q31" s="120"/>
      <c r="R31" s="121"/>
      <c r="S31" s="121"/>
      <c r="T31" s="121"/>
      <c r="U31" s="121"/>
      <c r="V31" s="121"/>
      <c r="W31" s="222" t="str">
        <f t="shared" si="1"/>
        <v/>
      </c>
      <c r="X31" s="216"/>
      <c r="Y31" s="12" t="str" cm="1">
        <f t="array" ref="Y31">composicaoValor(Q31:U31,X31,V31)</f>
        <v/>
      </c>
    </row>
    <row r="32" spans="1:29" x14ac:dyDescent="0.25">
      <c r="A32" s="107" t="str">
        <f>IF('Avaliação Períodos'!A33=0,"",'Avaliação Períodos'!A33)</f>
        <v/>
      </c>
      <c r="B32" s="457" t="str">
        <f>IF('Avaliação Períodos'!B33=0,"",'Avaliação Períodos'!B33)</f>
        <v/>
      </c>
      <c r="C32" s="458"/>
      <c r="D32" s="458"/>
      <c r="E32" s="458"/>
      <c r="F32" s="458"/>
      <c r="G32" s="459"/>
      <c r="H32" s="124"/>
      <c r="I32" s="118"/>
      <c r="J32" s="118"/>
      <c r="K32" s="118"/>
      <c r="L32" s="119"/>
      <c r="M32" s="141"/>
      <c r="N32" s="221" t="str">
        <f t="shared" si="0"/>
        <v/>
      </c>
      <c r="O32" s="215"/>
      <c r="P32" s="12" t="str" cm="1">
        <f t="array" ref="P32">composicaoValor(H32:L32,O32,M32)</f>
        <v/>
      </c>
      <c r="Q32" s="124"/>
      <c r="R32" s="118"/>
      <c r="S32" s="118"/>
      <c r="T32" s="118"/>
      <c r="U32" s="118"/>
      <c r="V32" s="118"/>
      <c r="W32" s="221" t="str">
        <f t="shared" si="1"/>
        <v/>
      </c>
      <c r="X32" s="215"/>
      <c r="Y32" s="12" t="str" cm="1">
        <f t="array" ref="Y32">composicaoValor(Q32:U32,X32,V32)</f>
        <v/>
      </c>
    </row>
    <row r="33" spans="1:25" x14ac:dyDescent="0.25">
      <c r="A33" s="108" t="str">
        <f>IF('Avaliação Períodos'!A34=0,"",'Avaliação Períodos'!A34)</f>
        <v/>
      </c>
      <c r="B33" s="442" t="str">
        <f>IF('Avaliação Períodos'!B34=0,"",'Avaliação Períodos'!B34)</f>
        <v/>
      </c>
      <c r="C33" s="443"/>
      <c r="D33" s="443"/>
      <c r="E33" s="443"/>
      <c r="F33" s="443"/>
      <c r="G33" s="444"/>
      <c r="H33" s="120"/>
      <c r="I33" s="121"/>
      <c r="J33" s="121"/>
      <c r="K33" s="121"/>
      <c r="L33" s="122"/>
      <c r="M33" s="140"/>
      <c r="N33" s="222" t="str">
        <f t="shared" si="0"/>
        <v/>
      </c>
      <c r="O33" s="216"/>
      <c r="P33" s="12" t="str" cm="1">
        <f t="array" ref="P33">composicaoValor(H33:L33,O33,M33)</f>
        <v/>
      </c>
      <c r="Q33" s="120"/>
      <c r="R33" s="121"/>
      <c r="S33" s="121"/>
      <c r="T33" s="121"/>
      <c r="U33" s="121"/>
      <c r="V33" s="121"/>
      <c r="W33" s="222" t="str">
        <f t="shared" si="1"/>
        <v/>
      </c>
      <c r="X33" s="216"/>
      <c r="Y33" s="12" t="str" cm="1">
        <f t="array" ref="Y33">composicaoValor(Q33:U33,X33,V33)</f>
        <v/>
      </c>
    </row>
    <row r="34" spans="1:25" x14ac:dyDescent="0.25">
      <c r="A34" s="107" t="str">
        <f>IF('Avaliação Períodos'!A35=0,"",'Avaliação Períodos'!A35)</f>
        <v/>
      </c>
      <c r="B34" s="457" t="str">
        <f>IF('Avaliação Períodos'!B35=0,"",'Avaliação Períodos'!B35)</f>
        <v/>
      </c>
      <c r="C34" s="458"/>
      <c r="D34" s="458"/>
      <c r="E34" s="458"/>
      <c r="F34" s="458"/>
      <c r="G34" s="459"/>
      <c r="H34" s="124"/>
      <c r="I34" s="118"/>
      <c r="J34" s="118"/>
      <c r="K34" s="118"/>
      <c r="L34" s="119"/>
      <c r="M34" s="141"/>
      <c r="N34" s="221" t="str">
        <f t="shared" si="0"/>
        <v/>
      </c>
      <c r="O34" s="215"/>
      <c r="P34" s="12" t="str" cm="1">
        <f t="array" ref="P34">composicaoValor(H34:L34,O34,M34)</f>
        <v/>
      </c>
      <c r="Q34" s="124"/>
      <c r="R34" s="118"/>
      <c r="S34" s="118"/>
      <c r="T34" s="118"/>
      <c r="U34" s="118"/>
      <c r="V34" s="118"/>
      <c r="W34" s="221" t="str">
        <f t="shared" si="1"/>
        <v/>
      </c>
      <c r="X34" s="215"/>
      <c r="Y34" s="12" t="str" cm="1">
        <f t="array" ref="Y34">composicaoValor(Q34:U34,X34,V34)</f>
        <v/>
      </c>
    </row>
    <row r="35" spans="1:25" x14ac:dyDescent="0.25">
      <c r="A35" s="108" t="str">
        <f>IF('Avaliação Períodos'!A36=0,"",'Avaliação Períodos'!A36)</f>
        <v/>
      </c>
      <c r="B35" s="442" t="str">
        <f>IF('Avaliação Períodos'!B36=0,"",'Avaliação Períodos'!B36)</f>
        <v/>
      </c>
      <c r="C35" s="443"/>
      <c r="D35" s="443"/>
      <c r="E35" s="443"/>
      <c r="F35" s="443"/>
      <c r="G35" s="444"/>
      <c r="H35" s="120"/>
      <c r="I35" s="121"/>
      <c r="J35" s="121"/>
      <c r="K35" s="121"/>
      <c r="L35" s="122"/>
      <c r="M35" s="140"/>
      <c r="N35" s="222" t="str">
        <f t="shared" si="0"/>
        <v/>
      </c>
      <c r="O35" s="216"/>
      <c r="P35" s="12" t="str" cm="1">
        <f t="array" ref="P35">composicaoValor(H35:L35,O35,M35)</f>
        <v/>
      </c>
      <c r="Q35" s="120"/>
      <c r="R35" s="121"/>
      <c r="S35" s="121"/>
      <c r="T35" s="121"/>
      <c r="U35" s="121"/>
      <c r="V35" s="121"/>
      <c r="W35" s="222" t="str">
        <f t="shared" si="1"/>
        <v/>
      </c>
      <c r="X35" s="216"/>
      <c r="Y35" s="12" t="str" cm="1">
        <f t="array" ref="Y35">composicaoValor(Q35:U35,X35,V35)</f>
        <v/>
      </c>
    </row>
    <row r="36" spans="1:25" x14ac:dyDescent="0.25">
      <c r="A36" s="109" t="str">
        <f>IF('Avaliação Períodos'!A37=0,"",'Avaliação Períodos'!A37)</f>
        <v/>
      </c>
      <c r="B36" s="454" t="str">
        <f>IF('Avaliação Períodos'!B37=0,"",'Avaliação Períodos'!B37)</f>
        <v/>
      </c>
      <c r="C36" s="455"/>
      <c r="D36" s="455"/>
      <c r="E36" s="455"/>
      <c r="F36" s="455"/>
      <c r="G36" s="456"/>
      <c r="H36" s="128"/>
      <c r="I36" s="129"/>
      <c r="J36" s="129"/>
      <c r="K36" s="129"/>
      <c r="L36" s="129"/>
      <c r="M36" s="214"/>
      <c r="N36" s="224" t="str">
        <f t="shared" si="0"/>
        <v/>
      </c>
      <c r="O36" s="210"/>
      <c r="P36" s="12" t="str" cm="1">
        <f t="array" ref="P36">composicaoValor(H36:L36,O36,M36)</f>
        <v/>
      </c>
      <c r="Q36" s="128"/>
      <c r="R36" s="129"/>
      <c r="S36" s="129"/>
      <c r="T36" s="129"/>
      <c r="U36" s="129"/>
      <c r="V36" s="129"/>
      <c r="W36" s="224" t="str">
        <f t="shared" si="1"/>
        <v/>
      </c>
      <c r="X36" s="210"/>
      <c r="Y36" s="12" t="str" cm="1">
        <f t="array" ref="Y36">composicaoValor(Q36:U36,X36,V36)</f>
        <v/>
      </c>
    </row>
    <row r="37" spans="1:25" x14ac:dyDescent="0.25">
      <c r="A37" s="110" t="str">
        <f>IF('Avaliação Períodos'!A38=0,"",'Avaliação Períodos'!A38)</f>
        <v/>
      </c>
      <c r="B37" s="428" t="str">
        <f>IF('Avaliação Períodos'!B38=0,"",'Avaliação Períodos'!B38)</f>
        <v xml:space="preserve"> </v>
      </c>
      <c r="C37" s="429"/>
      <c r="D37" s="429"/>
      <c r="E37" s="429"/>
      <c r="F37" s="429"/>
      <c r="G37" s="430"/>
      <c r="H37" s="22"/>
      <c r="I37" s="225"/>
      <c r="J37" s="225"/>
      <c r="K37" s="225"/>
      <c r="L37" s="225"/>
      <c r="M37" s="226"/>
      <c r="N37" s="227" t="str">
        <f t="shared" si="0"/>
        <v/>
      </c>
      <c r="O37" s="218"/>
      <c r="P37" s="12" t="str" cm="1">
        <f t="array" ref="P37">composicaoValor(H37:L37,O37,M37)</f>
        <v/>
      </c>
      <c r="Q37" s="22"/>
      <c r="R37" s="23"/>
      <c r="S37" s="23"/>
      <c r="T37" s="23"/>
      <c r="U37" s="23"/>
      <c r="V37" s="23"/>
      <c r="W37" s="227" t="str">
        <f t="shared" si="1"/>
        <v/>
      </c>
      <c r="X37" s="218"/>
      <c r="Y37" s="12" t="str" cm="1">
        <f t="array" ref="Y37">composicaoValor(Q37:U37,X37,V37)</f>
        <v/>
      </c>
    </row>
    <row r="38" spans="1:25" x14ac:dyDescent="0.25">
      <c r="A38" s="2"/>
      <c r="B38" s="2"/>
      <c r="C38" s="2"/>
      <c r="D38" s="2"/>
      <c r="E38" s="2"/>
      <c r="F38" s="2"/>
      <c r="G38" s="2"/>
      <c r="I38" s="431" t="s">
        <v>36</v>
      </c>
      <c r="J38" s="432"/>
      <c r="K38" s="432"/>
      <c r="L38" s="432"/>
      <c r="M38" s="432"/>
      <c r="N38" s="433"/>
      <c r="O38" s="202"/>
      <c r="P38" s="134">
        <f>IF(COUNT(P8:P37)=0,"",AVERAGE(P8:P37))</f>
        <v>67.5</v>
      </c>
      <c r="R38" s="431" t="s">
        <v>36</v>
      </c>
      <c r="S38" s="432"/>
      <c r="T38" s="432"/>
      <c r="U38" s="432"/>
      <c r="V38" s="432"/>
      <c r="W38" s="432"/>
      <c r="X38" s="433"/>
      <c r="Y38" s="134">
        <f>IF(COUNT(Y8:Y37)=0,"",AVERAGE(Y8:Y37))</f>
        <v>47.704545454545453</v>
      </c>
    </row>
    <row r="39" spans="1:25" x14ac:dyDescent="0.25">
      <c r="A39" s="2"/>
      <c r="B39" s="2"/>
      <c r="C39" s="2"/>
      <c r="D39" s="2"/>
      <c r="E39" s="2"/>
      <c r="F39" s="2"/>
      <c r="G39" s="2"/>
      <c r="I39" s="431" t="s">
        <v>37</v>
      </c>
      <c r="J39" s="432"/>
      <c r="K39" s="432"/>
      <c r="L39" s="432"/>
      <c r="M39" s="432"/>
      <c r="N39" s="433"/>
      <c r="O39" s="202"/>
      <c r="P39" s="135">
        <f>COUNTIF(P8:P37,"&lt;50")</f>
        <v>3</v>
      </c>
      <c r="R39" s="431" t="s">
        <v>37</v>
      </c>
      <c r="S39" s="432"/>
      <c r="T39" s="432"/>
      <c r="U39" s="432"/>
      <c r="V39" s="432"/>
      <c r="W39" s="432"/>
      <c r="X39" s="433"/>
      <c r="Y39" s="135">
        <f>COUNTIF(Y8:Y37,"&lt;50")</f>
        <v>6</v>
      </c>
    </row>
    <row r="40" spans="1:25" x14ac:dyDescent="0.25">
      <c r="A40" s="2"/>
      <c r="B40" s="2"/>
      <c r="C40" s="2"/>
      <c r="D40" s="2"/>
      <c r="E40" s="2"/>
      <c r="F40" s="2"/>
      <c r="G40" s="2"/>
      <c r="I40" s="431" t="s">
        <v>38</v>
      </c>
      <c r="J40" s="432"/>
      <c r="K40" s="432"/>
      <c r="L40" s="432"/>
      <c r="M40" s="432"/>
      <c r="N40" s="433"/>
      <c r="O40" s="202"/>
      <c r="P40" s="136">
        <f>IF(COUNT(P8:P37)=0,"",$P39/(COUNT(P8:P37))*100)</f>
        <v>13.636363636363635</v>
      </c>
      <c r="R40" s="431" t="s">
        <v>38</v>
      </c>
      <c r="S40" s="432"/>
      <c r="T40" s="432"/>
      <c r="U40" s="432"/>
      <c r="V40" s="432"/>
      <c r="W40" s="432"/>
      <c r="X40" s="433"/>
      <c r="Y40" s="136">
        <f>IF(COUNT(Y8:Y37)=0,"",$Y39/(COUNT(Y8:Y37))*100)</f>
        <v>27.27272727272727</v>
      </c>
    </row>
    <row r="42" spans="1:25" x14ac:dyDescent="0.25">
      <c r="P42" s="460" t="s">
        <v>22</v>
      </c>
      <c r="Q42" s="460"/>
      <c r="R42" s="62"/>
      <c r="S42" s="11" t="s">
        <v>23</v>
      </c>
    </row>
    <row r="43" spans="1:25" x14ac:dyDescent="0.25">
      <c r="P43" s="13" t="s">
        <v>24</v>
      </c>
      <c r="Q43" s="14" t="s">
        <v>25</v>
      </c>
      <c r="R43" s="14"/>
      <c r="S43" s="15">
        <v>20</v>
      </c>
    </row>
    <row r="44" spans="1:25" x14ac:dyDescent="0.25">
      <c r="P44" s="13" t="s">
        <v>26</v>
      </c>
      <c r="Q44" s="14" t="s">
        <v>27</v>
      </c>
      <c r="R44" s="14"/>
      <c r="S44" s="15">
        <v>20</v>
      </c>
    </row>
    <row r="45" spans="1:25" x14ac:dyDescent="0.25">
      <c r="P45" s="13" t="s">
        <v>28</v>
      </c>
      <c r="Q45" s="14" t="s">
        <v>29</v>
      </c>
      <c r="R45" s="14"/>
      <c r="S45" s="15">
        <v>20</v>
      </c>
    </row>
    <row r="46" spans="1:25" x14ac:dyDescent="0.25">
      <c r="P46" s="13" t="s">
        <v>30</v>
      </c>
      <c r="Q46" s="14" t="s">
        <v>31</v>
      </c>
      <c r="R46" s="14"/>
      <c r="S46" s="15">
        <v>20</v>
      </c>
    </row>
    <row r="47" spans="1:25" x14ac:dyDescent="0.25">
      <c r="P47" s="13" t="s">
        <v>32</v>
      </c>
      <c r="Q47" s="14" t="s">
        <v>33</v>
      </c>
      <c r="R47" s="14"/>
      <c r="S47" s="15">
        <v>20</v>
      </c>
    </row>
    <row r="48" spans="1:25" x14ac:dyDescent="0.25">
      <c r="P48" s="13"/>
      <c r="Q48" s="14"/>
      <c r="R48" s="14"/>
      <c r="S48" s="15"/>
    </row>
    <row r="49" spans="14:19" x14ac:dyDescent="0.25">
      <c r="P49" s="13"/>
      <c r="Q49" s="14"/>
      <c r="R49" s="14"/>
      <c r="S49" s="16" t="s">
        <v>34</v>
      </c>
    </row>
    <row r="50" spans="14:19" x14ac:dyDescent="0.25">
      <c r="P50" s="13"/>
      <c r="Q50" s="17"/>
      <c r="R50" s="17"/>
      <c r="S50" s="15"/>
    </row>
    <row r="51" spans="14:19" x14ac:dyDescent="0.25">
      <c r="P51" s="10"/>
      <c r="Q51" s="18" t="s">
        <v>20</v>
      </c>
      <c r="R51" s="18"/>
      <c r="S51" s="62">
        <f>SUM(S43:S48)</f>
        <v>100</v>
      </c>
    </row>
    <row r="54" spans="14:19" x14ac:dyDescent="0.25">
      <c r="N54" s="206"/>
      <c r="O54" s="203"/>
    </row>
  </sheetData>
  <sheetProtection algorithmName="SHA-512" hashValue="heHon6I+aDEpum11QG+rZSbGkXFKRQ69tOcJKpxKqaGmtcWBnVHhITi7F3Vh28U0/pnP/STuvjczAmJYpTYAWQ==" saltValue="Tq3L96yv8Yh3rH47fClQGg==" spinCount="100000" sheet="1" objects="1" scenarios="1"/>
  <dataConsolidate function="max" link="1"/>
  <mergeCells count="46">
    <mergeCell ref="P42:Q42"/>
    <mergeCell ref="A3:G3"/>
    <mergeCell ref="H3:Y3"/>
    <mergeCell ref="D4:G5"/>
    <mergeCell ref="P4:P5"/>
    <mergeCell ref="Q4:X5"/>
    <mergeCell ref="Y4:Y5"/>
    <mergeCell ref="B7:G7"/>
    <mergeCell ref="B8:G8"/>
    <mergeCell ref="B9:G9"/>
    <mergeCell ref="B10:G10"/>
    <mergeCell ref="B11:G11"/>
    <mergeCell ref="B23:G23"/>
    <mergeCell ref="B12:G12"/>
    <mergeCell ref="B13:G13"/>
    <mergeCell ref="B14:G14"/>
    <mergeCell ref="B15:G15"/>
    <mergeCell ref="B16:G16"/>
    <mergeCell ref="B17:G17"/>
    <mergeCell ref="B24:G24"/>
    <mergeCell ref="B18:G18"/>
    <mergeCell ref="B19:G19"/>
    <mergeCell ref="B20:G20"/>
    <mergeCell ref="B21:G21"/>
    <mergeCell ref="B22:G22"/>
    <mergeCell ref="B35:G35"/>
    <mergeCell ref="B25:G25"/>
    <mergeCell ref="B26:G26"/>
    <mergeCell ref="B27:G27"/>
    <mergeCell ref="B28:G28"/>
    <mergeCell ref="H4:O5"/>
    <mergeCell ref="B29:G29"/>
    <mergeCell ref="I40:N40"/>
    <mergeCell ref="R40:X40"/>
    <mergeCell ref="C6:G6"/>
    <mergeCell ref="B36:G36"/>
    <mergeCell ref="B37:G37"/>
    <mergeCell ref="I38:N38"/>
    <mergeCell ref="R38:X38"/>
    <mergeCell ref="I39:N39"/>
    <mergeCell ref="R39:X39"/>
    <mergeCell ref="B30:G30"/>
    <mergeCell ref="B31:G31"/>
    <mergeCell ref="B32:G32"/>
    <mergeCell ref="B33:G33"/>
    <mergeCell ref="B34:G34"/>
  </mergeCells>
  <dataValidations count="3">
    <dataValidation type="decimal" allowBlank="1" showErrorMessage="1" errorTitle="Erro." error="Ultrapassou cotação máxima." sqref="W8:X37 Q8:U36 I8:O37" xr:uid="{00000000-0002-0000-0500-000000000000}">
      <formula1>0</formula1>
      <formula2>I$7</formula2>
    </dataValidation>
    <dataValidation type="decimal" operator="lessThanOrEqual" allowBlank="1" showInputMessage="1" showErrorMessage="1" errorTitle="ERRO!" error="A pergunta não vale tanto!..." sqref="P8:P37" xr:uid="{00000000-0002-0000-0500-000001000000}">
      <formula1>P$7</formula1>
    </dataValidation>
    <dataValidation type="whole" allowBlank="1" showInputMessage="1" showErrorMessage="1" sqref="Q37:U37 V8:V37 H8:H37" xr:uid="{00000000-0002-0000-0500-000003000000}">
      <formula1>0</formula1>
      <formula2>H$7</formula2>
    </dataValidation>
  </dataValidations>
  <pageMargins left="0.7" right="0.7" top="0.75" bottom="0.75" header="0.3" footer="0.3"/>
  <pageSetup paperSize="9" scale="87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Folhas de Cálculo</vt:lpstr>
      </vt:variant>
      <vt:variant>
        <vt:i4>4</vt:i4>
      </vt:variant>
      <vt:variant>
        <vt:lpstr>Intervalos com Nome</vt:lpstr>
      </vt:variant>
      <vt:variant>
        <vt:i4>2</vt:i4>
      </vt:variant>
    </vt:vector>
  </HeadingPairs>
  <TitlesOfParts>
    <vt:vector size="6" baseType="lpstr">
      <vt:lpstr>Avaliação Períodos</vt:lpstr>
      <vt:lpstr>Comp. Escrita</vt:lpstr>
      <vt:lpstr>Oralidade</vt:lpstr>
      <vt:lpstr>Prod. Escrita</vt:lpstr>
      <vt:lpstr>'Avaliação Períodos'!Área_de_Impressão</vt:lpstr>
      <vt:lpstr>'Prod. Escrita'!Área_de_Impressão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Rosa</dc:creator>
  <cp:lastModifiedBy>miguelPC</cp:lastModifiedBy>
  <cp:revision/>
  <cp:lastPrinted>2021-06-23T13:04:06Z</cp:lastPrinted>
  <dcterms:created xsi:type="dcterms:W3CDTF">2011-09-16T07:34:53Z</dcterms:created>
  <dcterms:modified xsi:type="dcterms:W3CDTF">2021-11-15T20:00:48Z</dcterms:modified>
</cp:coreProperties>
</file>