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00000000-0000-0000-0000-000000000000}"/>
  <fileSharing readOnlyRecommended="1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D:\git_projects\evaluation_charts\src\"/>
    </mc:Choice>
  </mc:AlternateContent>
  <xr:revisionPtr revIDLastSave="0" documentId="13_ncr:1_{D3A16E89-5BC9-4F80-AAD7-8A1D364CE0E4}" xr6:coauthVersionLast="46" xr6:coauthVersionMax="46" xr10:uidLastSave="{00000000-0000-0000-0000-000000000000}"/>
  <workbookProtection workbookAlgorithmName="SHA-512" workbookHashValue="jKTP1fjrlpXMptF2xdJ7NVQzVne6QEsrC2tbhC9URV1/ojsq++seTH1dwhg/FFiwhYPPIqcOA+XCI1Bc5s1k8A==" workbookSaltValue="swKJ3eCklz9BcssuzZSIsw==" workbookSpinCount="100000" lockStructure="1"/>
  <bookViews>
    <workbookView xWindow="-120" yWindow="-120" windowWidth="29040" windowHeight="15840" xr2:uid="{00000000-000D-0000-FFFF-FFFF00000000}"/>
  </bookViews>
  <sheets>
    <sheet name="Avaliação Períodos" sheetId="2" r:id="rId1"/>
    <sheet name="Comp. Escrita" sheetId="8" r:id="rId2"/>
    <sheet name="Oralidade" sheetId="4" r:id="rId3"/>
    <sheet name="Prod. Escrita" sheetId="7" r:id="rId4"/>
  </sheets>
  <functionGroups builtInGroupCount="19"/>
  <definedNames>
    <definedName name="_xlnm.Print_Area" localSheetId="0">'Avaliação Períodos'!$A$4:$AG$48</definedName>
    <definedName name="_xlnm.Print_Area" localSheetId="3">'Prod. Escrita'!$A$4:$P$40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1" i="2"/>
  <c r="C32" i="2"/>
  <c r="C33" i="2"/>
  <c r="C34" i="2"/>
  <c r="C35" i="2"/>
  <c r="C36" i="2"/>
  <c r="C37" i="2"/>
  <c r="C38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9" i="2"/>
  <c r="O10" i="2"/>
  <c r="O11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BQ9" i="7" a="1"/>
  <c r="BQ10" i="7" a="1"/>
  <c r="BQ14" i="7" a="1"/>
  <c r="BQ18" i="7" a="1"/>
  <c r="BQ22" i="7" a="1"/>
  <c r="BQ26" i="7" a="1"/>
  <c r="BQ30" i="7" a="1"/>
  <c r="BQ34" i="7" a="1"/>
  <c r="BQ23" i="7" a="1"/>
  <c r="BQ31" i="7" a="1"/>
  <c r="BQ21" i="7" a="1"/>
  <c r="BQ29" i="7" a="1"/>
  <c r="BQ11" i="7" a="1"/>
  <c r="BQ15" i="7" a="1"/>
  <c r="BQ19" i="7" a="1"/>
  <c r="BQ27" i="7" a="1"/>
  <c r="BQ35" i="7" a="1"/>
  <c r="BQ12" i="7" a="1"/>
  <c r="BQ16" i="7" a="1"/>
  <c r="BQ20" i="7" a="1"/>
  <c r="BQ24" i="7" a="1"/>
  <c r="BQ28" i="7" a="1"/>
  <c r="BQ32" i="7" a="1"/>
  <c r="BQ36" i="7" a="1"/>
  <c r="BQ13" i="7" a="1"/>
  <c r="BQ17" i="7" a="1"/>
  <c r="BQ25" i="7" a="1"/>
  <c r="BQ33" i="7" a="1"/>
  <c r="BQ37" i="7" a="1"/>
  <c r="BQ8" i="7" a="1"/>
  <c r="BQ37" i="7" l="1"/>
  <c r="BQ33" i="7"/>
  <c r="BQ25" i="7"/>
  <c r="BQ17" i="7"/>
  <c r="BQ13" i="7"/>
  <c r="BQ36" i="7"/>
  <c r="BQ32" i="7"/>
  <c r="BQ28" i="7"/>
  <c r="BQ24" i="7"/>
  <c r="BQ20" i="7"/>
  <c r="BQ16" i="7"/>
  <c r="BQ12" i="7"/>
  <c r="BQ35" i="7"/>
  <c r="BQ27" i="7"/>
  <c r="BQ19" i="7"/>
  <c r="BQ15" i="7"/>
  <c r="BQ11" i="7"/>
  <c r="BQ29" i="7"/>
  <c r="BQ21" i="7"/>
  <c r="BQ31" i="7"/>
  <c r="BQ23" i="7"/>
  <c r="BQ34" i="7"/>
  <c r="BQ30" i="7"/>
  <c r="BQ26" i="7"/>
  <c r="BQ22" i="7"/>
  <c r="BQ18" i="7"/>
  <c r="BQ14" i="7"/>
  <c r="BQ10" i="7"/>
  <c r="BQ9" i="7"/>
  <c r="BQ8" i="7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9" i="2"/>
  <c r="C9" i="2"/>
  <c r="CW9" i="8"/>
  <c r="CW10" i="8"/>
  <c r="CW11" i="8"/>
  <c r="CW12" i="8"/>
  <c r="CW13" i="8"/>
  <c r="CW14" i="8"/>
  <c r="CW15" i="8"/>
  <c r="CW16" i="8"/>
  <c r="CW17" i="8"/>
  <c r="CW18" i="8"/>
  <c r="CW19" i="8"/>
  <c r="CW20" i="8"/>
  <c r="CW21" i="8"/>
  <c r="CW22" i="8"/>
  <c r="CW23" i="8"/>
  <c r="CW24" i="8"/>
  <c r="CW25" i="8"/>
  <c r="CW26" i="8"/>
  <c r="CW27" i="8"/>
  <c r="CW28" i="8"/>
  <c r="CW29" i="8"/>
  <c r="CW30" i="8"/>
  <c r="CW31" i="8"/>
  <c r="CW32" i="8"/>
  <c r="CW33" i="8"/>
  <c r="CW34" i="8"/>
  <c r="CW35" i="8"/>
  <c r="CW36" i="8"/>
  <c r="CW37" i="8"/>
  <c r="CW8" i="8"/>
  <c r="CV9" i="8"/>
  <c r="CV10" i="8"/>
  <c r="CV11" i="8"/>
  <c r="CV12" i="8"/>
  <c r="CV13" i="8"/>
  <c r="CV14" i="8"/>
  <c r="CV15" i="8"/>
  <c r="CV16" i="8"/>
  <c r="CV17" i="8"/>
  <c r="CV18" i="8"/>
  <c r="CV19" i="8"/>
  <c r="CV20" i="8"/>
  <c r="CV21" i="8"/>
  <c r="CV22" i="8"/>
  <c r="CV23" i="8"/>
  <c r="CV24" i="8"/>
  <c r="CV25" i="8"/>
  <c r="CV26" i="8"/>
  <c r="CV27" i="8"/>
  <c r="CV28" i="8"/>
  <c r="CV29" i="8"/>
  <c r="CV30" i="8"/>
  <c r="CV31" i="8"/>
  <c r="CV32" i="8"/>
  <c r="CV33" i="8"/>
  <c r="CV34" i="8"/>
  <c r="CV35" i="8"/>
  <c r="CV36" i="8"/>
  <c r="CV37" i="8"/>
  <c r="CV8" i="8"/>
  <c r="CU9" i="8"/>
  <c r="CU10" i="8"/>
  <c r="CU11" i="8"/>
  <c r="CU12" i="8"/>
  <c r="CU13" i="8"/>
  <c r="CU14" i="8"/>
  <c r="CU15" i="8"/>
  <c r="CU16" i="8"/>
  <c r="CU17" i="8"/>
  <c r="CU18" i="8"/>
  <c r="CU19" i="8"/>
  <c r="CU20" i="8"/>
  <c r="CU21" i="8"/>
  <c r="CU22" i="8"/>
  <c r="CU23" i="8"/>
  <c r="CU24" i="8"/>
  <c r="CU25" i="8"/>
  <c r="CU26" i="8"/>
  <c r="CU27" i="8"/>
  <c r="CU28" i="8"/>
  <c r="CU29" i="8"/>
  <c r="CU30" i="8"/>
  <c r="CU31" i="8"/>
  <c r="CU32" i="8"/>
  <c r="CU33" i="8"/>
  <c r="CU34" i="8"/>
  <c r="CU35" i="8"/>
  <c r="CU36" i="8"/>
  <c r="CU37" i="8"/>
  <c r="CU8" i="8"/>
  <c r="CT9" i="8"/>
  <c r="CT10" i="8"/>
  <c r="CT11" i="8"/>
  <c r="CT12" i="8"/>
  <c r="CT13" i="8"/>
  <c r="CT14" i="8"/>
  <c r="CT15" i="8"/>
  <c r="CT16" i="8"/>
  <c r="CT17" i="8"/>
  <c r="CT18" i="8"/>
  <c r="CT19" i="8"/>
  <c r="CT20" i="8"/>
  <c r="CT21" i="8"/>
  <c r="CT22" i="8"/>
  <c r="CT23" i="8"/>
  <c r="CT24" i="8"/>
  <c r="CT25" i="8"/>
  <c r="CT26" i="8"/>
  <c r="CT27" i="8"/>
  <c r="CT28" i="8"/>
  <c r="CT30" i="8"/>
  <c r="CT31" i="8"/>
  <c r="CT32" i="8"/>
  <c r="CT33" i="8"/>
  <c r="CT34" i="8"/>
  <c r="CT35" i="8"/>
  <c r="CT36" i="8"/>
  <c r="CT37" i="8"/>
  <c r="CT8" i="8"/>
  <c r="CS40" i="8"/>
  <c r="CS39" i="8"/>
  <c r="BK9" i="8"/>
  <c r="BK10" i="8"/>
  <c r="BK11" i="8"/>
  <c r="BK12" i="8"/>
  <c r="BK13" i="8"/>
  <c r="BK14" i="8"/>
  <c r="BK15" i="8"/>
  <c r="BK16" i="8"/>
  <c r="BK17" i="8"/>
  <c r="BK18" i="8"/>
  <c r="BK19" i="8"/>
  <c r="BK20" i="8"/>
  <c r="BK21" i="8"/>
  <c r="BK22" i="8"/>
  <c r="BK23" i="8"/>
  <c r="BK24" i="8"/>
  <c r="BK25" i="8"/>
  <c r="BK26" i="8"/>
  <c r="BK27" i="8"/>
  <c r="BK28" i="8"/>
  <c r="BK29" i="8"/>
  <c r="BK30" i="8"/>
  <c r="BK31" i="8"/>
  <c r="BK32" i="8"/>
  <c r="BK33" i="8"/>
  <c r="BK34" i="8"/>
  <c r="BK35" i="8"/>
  <c r="BK36" i="8"/>
  <c r="BK37" i="8"/>
  <c r="BV9" i="8"/>
  <c r="BV10" i="8"/>
  <c r="BV11" i="8"/>
  <c r="BV12" i="8"/>
  <c r="BV13" i="8"/>
  <c r="BV14" i="8"/>
  <c r="BV15" i="8"/>
  <c r="BV16" i="8"/>
  <c r="BV17" i="8"/>
  <c r="BV18" i="8"/>
  <c r="BV19" i="8"/>
  <c r="BV20" i="8"/>
  <c r="BV21" i="8"/>
  <c r="BV22" i="8"/>
  <c r="BV23" i="8"/>
  <c r="BV24" i="8"/>
  <c r="BV25" i="8"/>
  <c r="BV26" i="8"/>
  <c r="BV27" i="8"/>
  <c r="BV28" i="8"/>
  <c r="BV29" i="8"/>
  <c r="BV30" i="8"/>
  <c r="BV31" i="8"/>
  <c r="BV32" i="8"/>
  <c r="BV33" i="8"/>
  <c r="BV34" i="8"/>
  <c r="BV35" i="8"/>
  <c r="BV36" i="8"/>
  <c r="BV37" i="8"/>
  <c r="CG9" i="8"/>
  <c r="CG10" i="8"/>
  <c r="CG11" i="8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5" i="8"/>
  <c r="CG36" i="8"/>
  <c r="CG37" i="8"/>
  <c r="R7" i="8"/>
  <c r="AC7" i="8"/>
  <c r="AN7" i="8"/>
  <c r="AY7" i="8"/>
  <c r="BK7" i="8"/>
  <c r="BV7" i="8"/>
  <c r="CR7" i="8"/>
  <c r="CS7" i="8" s="1"/>
  <c r="BV8" i="8"/>
  <c r="CG8" i="8"/>
  <c r="CG7" i="8"/>
  <c r="AC37" i="8"/>
  <c r="AC36" i="8"/>
  <c r="AC35" i="8"/>
  <c r="AC34" i="8"/>
  <c r="AC33" i="8"/>
  <c r="AC32" i="8"/>
  <c r="AC31" i="8"/>
  <c r="AC30" i="8"/>
  <c r="AC29" i="8"/>
  <c r="AC28" i="8"/>
  <c r="AC27" i="8"/>
  <c r="AC26" i="8"/>
  <c r="AC25" i="8"/>
  <c r="AC24" i="8"/>
  <c r="AC23" i="8"/>
  <c r="AC22" i="8"/>
  <c r="AC21" i="8"/>
  <c r="AC20" i="8"/>
  <c r="AC19" i="8"/>
  <c r="AC18" i="8"/>
  <c r="AC17" i="8"/>
  <c r="AC16" i="8"/>
  <c r="AC15" i="8"/>
  <c r="AC14" i="8"/>
  <c r="AC13" i="8"/>
  <c r="AC12" i="8"/>
  <c r="AC11" i="8"/>
  <c r="AC10" i="8"/>
  <c r="AC9" i="8"/>
  <c r="AC8" i="8"/>
  <c r="AN37" i="8"/>
  <c r="AN36" i="8"/>
  <c r="AN35" i="8"/>
  <c r="AN34" i="8"/>
  <c r="AN33" i="8"/>
  <c r="AN32" i="8"/>
  <c r="AN31" i="8"/>
  <c r="AN30" i="8"/>
  <c r="AN29" i="8"/>
  <c r="AN28" i="8"/>
  <c r="AN27" i="8"/>
  <c r="AN26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Y9" i="8"/>
  <c r="AY10" i="8"/>
  <c r="AY11" i="8"/>
  <c r="AY12" i="8"/>
  <c r="AY13" i="8"/>
  <c r="AY14" i="8"/>
  <c r="AY15" i="8"/>
  <c r="AY16" i="8"/>
  <c r="AY17" i="8"/>
  <c r="AY18" i="8"/>
  <c r="AY19" i="8"/>
  <c r="AY20" i="8"/>
  <c r="AY21" i="8"/>
  <c r="AY22" i="8"/>
  <c r="AY23" i="8"/>
  <c r="AY24" i="8"/>
  <c r="AY25" i="8"/>
  <c r="AY26" i="8"/>
  <c r="AY27" i="8"/>
  <c r="AY28" i="8"/>
  <c r="AY29" i="8"/>
  <c r="AY30" i="8"/>
  <c r="AY31" i="8"/>
  <c r="AY32" i="8"/>
  <c r="AY33" i="8"/>
  <c r="AY34" i="8"/>
  <c r="AY35" i="8"/>
  <c r="AY36" i="8"/>
  <c r="AY37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CT29" i="8" s="1"/>
  <c r="R30" i="8"/>
  <c r="R31" i="8"/>
  <c r="R32" i="8"/>
  <c r="R33" i="8"/>
  <c r="R34" i="8"/>
  <c r="R35" i="8"/>
  <c r="R36" i="8"/>
  <c r="R37" i="8"/>
  <c r="BK8" i="8"/>
  <c r="AY8" i="8"/>
  <c r="BQ7" i="7"/>
  <c r="AL7" i="7"/>
  <c r="AC37" i="7"/>
  <c r="AC36" i="7"/>
  <c r="AC35" i="7"/>
  <c r="AC34" i="7"/>
  <c r="AC33" i="7"/>
  <c r="AC32" i="7"/>
  <c r="AC31" i="7"/>
  <c r="AC30" i="7"/>
  <c r="AC29" i="7"/>
  <c r="AC28" i="7"/>
  <c r="AC27" i="7"/>
  <c r="AC26" i="7"/>
  <c r="AC25" i="7"/>
  <c r="AC24" i="7"/>
  <c r="AC23" i="7"/>
  <c r="AC22" i="7"/>
  <c r="AC21" i="7"/>
  <c r="AC20" i="7"/>
  <c r="AC19" i="7"/>
  <c r="AC18" i="7"/>
  <c r="AC17" i="7"/>
  <c r="AC16" i="7"/>
  <c r="AC15" i="7"/>
  <c r="AC14" i="7"/>
  <c r="AC13" i="7"/>
  <c r="AC12" i="7"/>
  <c r="AC11" i="7"/>
  <c r="AC10" i="7"/>
  <c r="AC9" i="7"/>
  <c r="AC8" i="7"/>
  <c r="AK7" i="7"/>
  <c r="AE7" i="7"/>
  <c r="AC7" i="7"/>
  <c r="V7" i="7"/>
  <c r="BP7" i="7"/>
  <c r="BA7" i="7"/>
  <c r="AU7" i="7"/>
  <c r="BH37" i="7"/>
  <c r="BH36" i="7"/>
  <c r="BH35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H13" i="7"/>
  <c r="BH12" i="7"/>
  <c r="BH11" i="7"/>
  <c r="BH10" i="7"/>
  <c r="BH9" i="7"/>
  <c r="BH8" i="7"/>
  <c r="BJ7" i="7"/>
  <c r="BH7" i="7"/>
  <c r="AI40" i="4"/>
  <c r="AI39" i="4"/>
  <c r="AI38" i="4"/>
  <c r="U8" i="4"/>
  <c r="O38" i="4" s="1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CR29" i="8"/>
  <c r="A8" i="8"/>
  <c r="B8" i="8"/>
  <c r="R8" i="8"/>
  <c r="CR8" i="8"/>
  <c r="A9" i="8"/>
  <c r="B9" i="8"/>
  <c r="CR9" i="8"/>
  <c r="A10" i="8"/>
  <c r="B10" i="8"/>
  <c r="CR10" i="8"/>
  <c r="A11" i="8"/>
  <c r="B11" i="8"/>
  <c r="CR11" i="8"/>
  <c r="A12" i="8"/>
  <c r="B12" i="8"/>
  <c r="CR12" i="8"/>
  <c r="A13" i="8"/>
  <c r="B13" i="8"/>
  <c r="CR13" i="8"/>
  <c r="A14" i="8"/>
  <c r="B14" i="8"/>
  <c r="CR14" i="8"/>
  <c r="A15" i="8"/>
  <c r="B15" i="8"/>
  <c r="CR15" i="8"/>
  <c r="A16" i="8"/>
  <c r="B16" i="8"/>
  <c r="CR16" i="8"/>
  <c r="A17" i="8"/>
  <c r="B17" i="8"/>
  <c r="CR17" i="8"/>
  <c r="A18" i="8"/>
  <c r="B18" i="8"/>
  <c r="CR18" i="8"/>
  <c r="A19" i="8"/>
  <c r="B19" i="8"/>
  <c r="CR19" i="8"/>
  <c r="A20" i="8"/>
  <c r="B20" i="8"/>
  <c r="CR20" i="8"/>
  <c r="A21" i="8"/>
  <c r="B21" i="8"/>
  <c r="CR21" i="8"/>
  <c r="B22" i="8"/>
  <c r="CR22" i="8"/>
  <c r="A23" i="8"/>
  <c r="B23" i="8"/>
  <c r="CR23" i="8"/>
  <c r="A24" i="8"/>
  <c r="B24" i="8"/>
  <c r="CR24" i="8"/>
  <c r="A25" i="8"/>
  <c r="B25" i="8"/>
  <c r="CR25" i="8"/>
  <c r="A26" i="8"/>
  <c r="B26" i="8"/>
  <c r="CR26" i="8"/>
  <c r="A27" i="8"/>
  <c r="B27" i="8"/>
  <c r="CR27" i="8"/>
  <c r="A28" i="8"/>
  <c r="B28" i="8"/>
  <c r="CR28" i="8"/>
  <c r="A29" i="8"/>
  <c r="B29" i="8"/>
  <c r="A30" i="8"/>
  <c r="B30" i="8"/>
  <c r="CR30" i="8"/>
  <c r="A31" i="8"/>
  <c r="B31" i="8"/>
  <c r="CR31" i="8"/>
  <c r="A32" i="8"/>
  <c r="B32" i="8"/>
  <c r="CR32" i="8"/>
  <c r="A33" i="8"/>
  <c r="B33" i="8"/>
  <c r="CR33" i="8"/>
  <c r="A34" i="8"/>
  <c r="B34" i="8"/>
  <c r="CR34" i="8"/>
  <c r="A35" i="8"/>
  <c r="B35" i="8"/>
  <c r="CR35" i="8"/>
  <c r="A36" i="8"/>
  <c r="B36" i="8"/>
  <c r="CR36" i="8"/>
  <c r="A37" i="8"/>
  <c r="B37" i="8"/>
  <c r="CR37" i="8"/>
  <c r="AB8" i="4"/>
  <c r="AL9" i="7" a="1"/>
  <c r="AL13" i="7" a="1"/>
  <c r="AL17" i="7" a="1"/>
  <c r="AL21" i="7" a="1"/>
  <c r="AL25" i="7" a="1"/>
  <c r="AL29" i="7" a="1"/>
  <c r="AL33" i="7" a="1"/>
  <c r="AL37" i="7" a="1"/>
  <c r="AL23" i="7" a="1"/>
  <c r="AL35" i="7" a="1"/>
  <c r="AL19" i="7" a="1"/>
  <c r="AL10" i="7" a="1"/>
  <c r="AL14" i="7" a="1"/>
  <c r="AL18" i="7" a="1"/>
  <c r="AL22" i="7" a="1"/>
  <c r="AL26" i="7" a="1"/>
  <c r="AL30" i="7" a="1"/>
  <c r="AL34" i="7" a="1"/>
  <c r="AL15" i="7" a="1"/>
  <c r="AL27" i="7" a="1"/>
  <c r="AL31" i="7" a="1"/>
  <c r="AL12" i="7" a="1"/>
  <c r="AL16" i="7" a="1"/>
  <c r="AL20" i="7" a="1"/>
  <c r="AL24" i="7" a="1"/>
  <c r="AL28" i="7" a="1"/>
  <c r="AL32" i="7" a="1"/>
  <c r="AL36" i="7" a="1"/>
  <c r="CS9" i="8" a="1"/>
  <c r="CS13" i="8" a="1"/>
  <c r="CS17" i="8" a="1"/>
  <c r="CS21" i="8" a="1"/>
  <c r="CS25" i="8" a="1"/>
  <c r="CS29" i="8" a="1"/>
  <c r="CS33" i="8" a="1"/>
  <c r="CS37" i="8" a="1"/>
  <c r="CS20" i="8" a="1"/>
  <c r="CS36" i="8" a="1"/>
  <c r="CS24" i="8" a="1"/>
  <c r="CS10" i="8" a="1"/>
  <c r="CS14" i="8" a="1"/>
  <c r="CS18" i="8" a="1"/>
  <c r="CS22" i="8" a="1"/>
  <c r="CS26" i="8" a="1"/>
  <c r="CS30" i="8" a="1"/>
  <c r="CS34" i="8" a="1"/>
  <c r="CS12" i="8" a="1"/>
  <c r="CS28" i="8" a="1"/>
  <c r="CS11" i="8" a="1"/>
  <c r="CS15" i="8" a="1"/>
  <c r="CS19" i="8" a="1"/>
  <c r="CS23" i="8" a="1"/>
  <c r="CS27" i="8" a="1"/>
  <c r="CS31" i="8" a="1"/>
  <c r="CS35" i="8" a="1"/>
  <c r="CS16" i="8" a="1"/>
  <c r="CS32" i="8" a="1"/>
  <c r="CS8" i="8" a="1"/>
  <c r="AZ9" i="8" a="1"/>
  <c r="AZ13" i="8" a="1"/>
  <c r="AZ17" i="8" a="1"/>
  <c r="AZ21" i="8" a="1"/>
  <c r="AZ25" i="8" a="1"/>
  <c r="AZ29" i="8" a="1"/>
  <c r="AZ33" i="8" a="1"/>
  <c r="AZ37" i="8" a="1"/>
  <c r="AZ32" i="8" a="1"/>
  <c r="AZ16" i="8" a="1"/>
  <c r="AZ10" i="8" a="1"/>
  <c r="AZ14" i="8" a="1"/>
  <c r="AZ18" i="8" a="1"/>
  <c r="AZ22" i="8" a="1"/>
  <c r="AZ26" i="8" a="1"/>
  <c r="AZ30" i="8" a="1"/>
  <c r="AZ34" i="8" a="1"/>
  <c r="AZ35" i="8" a="1"/>
  <c r="AZ20" i="8" a="1"/>
  <c r="AZ36" i="8" a="1"/>
  <c r="AZ24" i="8" a="1"/>
  <c r="AZ11" i="8" a="1"/>
  <c r="AZ15" i="8" a="1"/>
  <c r="AZ19" i="8" a="1"/>
  <c r="AZ23" i="8" a="1"/>
  <c r="AZ27" i="8" a="1"/>
  <c r="AZ31" i="8" a="1"/>
  <c r="AZ28" i="8" a="1"/>
  <c r="AZ12" i="8" a="1"/>
  <c r="AZ8" i="8" a="1"/>
  <c r="BA9" i="7" a="1"/>
  <c r="BA13" i="7" a="1"/>
  <c r="BA17" i="7" a="1"/>
  <c r="BA21" i="7" a="1"/>
  <c r="BA25" i="7" a="1"/>
  <c r="BA29" i="7" a="1"/>
  <c r="BA33" i="7" a="1"/>
  <c r="BA37" i="7" a="1"/>
  <c r="BA12" i="7" a="1"/>
  <c r="BA36" i="7" a="1"/>
  <c r="BA18" i="7" a="1"/>
  <c r="BA34" i="7" a="1"/>
  <c r="BA20" i="7" a="1"/>
  <c r="BA10" i="7" a="1"/>
  <c r="BA14" i="7" a="1"/>
  <c r="BA22" i="7" a="1"/>
  <c r="BA26" i="7" a="1"/>
  <c r="BA30" i="7" a="1"/>
  <c r="BA16" i="7" a="1"/>
  <c r="BA19" i="7" a="1"/>
  <c r="BA24" i="7" a="1"/>
  <c r="BA11" i="7" a="1"/>
  <c r="BA15" i="7" a="1"/>
  <c r="BA23" i="7" a="1"/>
  <c r="BA27" i="7" a="1"/>
  <c r="BA31" i="7" a="1"/>
  <c r="BA35" i="7" a="1"/>
  <c r="BA28" i="7" a="1"/>
  <c r="BA32" i="7" a="1"/>
  <c r="BA8" i="7" a="1"/>
  <c r="BP9" i="7" a="1"/>
  <c r="BP13" i="7" a="1"/>
  <c r="BP17" i="7" a="1"/>
  <c r="BP21" i="7" a="1"/>
  <c r="BP25" i="7" a="1"/>
  <c r="BP29" i="7" a="1"/>
  <c r="BP33" i="7" a="1"/>
  <c r="BP37" i="7" a="1"/>
  <c r="BP18" i="7" a="1"/>
  <c r="BP26" i="7" a="1"/>
  <c r="BP30" i="7" a="1"/>
  <c r="BP34" i="7" a="1"/>
  <c r="BP14" i="7" a="1"/>
  <c r="BP10" i="7" a="1"/>
  <c r="BP22" i="7" a="1"/>
  <c r="BP11" i="7" a="1"/>
  <c r="BP19" i="7" a="1"/>
  <c r="BP31" i="7" a="1"/>
  <c r="BP28" i="7" a="1"/>
  <c r="BP15" i="7" a="1"/>
  <c r="BP23" i="7" a="1"/>
  <c r="BP27" i="7" a="1"/>
  <c r="BP35" i="7" a="1"/>
  <c r="BP32" i="7" a="1"/>
  <c r="BP12" i="7" a="1"/>
  <c r="BP16" i="7" a="1"/>
  <c r="BP20" i="7" a="1"/>
  <c r="BP24" i="7" a="1"/>
  <c r="BP36" i="7" a="1"/>
  <c r="BP8" i="7" a="1"/>
  <c r="V8" i="7" a="1"/>
  <c r="V12" i="7" a="1"/>
  <c r="V9" i="7" a="1"/>
  <c r="V13" i="7" a="1"/>
  <c r="V10" i="7" a="1"/>
  <c r="V14" i="7" a="1"/>
  <c r="V11" i="7" a="1"/>
  <c r="V15" i="7" a="1"/>
  <c r="V19" i="7" a="1"/>
  <c r="V23" i="7" a="1"/>
  <c r="V27" i="7" a="1"/>
  <c r="V31" i="7" a="1"/>
  <c r="V35" i="7" a="1"/>
  <c r="V20" i="7" a="1"/>
  <c r="V36" i="7" a="1"/>
  <c r="V24" i="7" a="1"/>
  <c r="V21" i="7" a="1"/>
  <c r="V22" i="7" a="1"/>
  <c r="V34" i="7" a="1"/>
  <c r="V32" i="7" a="1"/>
  <c r="V17" i="7" a="1"/>
  <c r="V25" i="7" a="1"/>
  <c r="V29" i="7" a="1"/>
  <c r="V33" i="7" a="1"/>
  <c r="V37" i="7" a="1"/>
  <c r="V18" i="7" a="1"/>
  <c r="V26" i="7" a="1"/>
  <c r="V28" i="7" a="1"/>
  <c r="V30" i="7" a="1"/>
  <c r="V16" i="7" a="1"/>
  <c r="AE36" i="7" a="1"/>
  <c r="AE28" i="7" a="1"/>
  <c r="AE20" i="7" a="1"/>
  <c r="AE12" i="7" a="1"/>
  <c r="AE26" i="7" a="1"/>
  <c r="AE18" i="7" a="1"/>
  <c r="AE37" i="7" a="1"/>
  <c r="AE13" i="7" a="1"/>
  <c r="AE31" i="7" a="1"/>
  <c r="AE23" i="7" a="1"/>
  <c r="AE15" i="7" a="1"/>
  <c r="AE34" i="7" a="1"/>
  <c r="AE10" i="7" a="1"/>
  <c r="AE29" i="7" a="1"/>
  <c r="AE21" i="7" a="1"/>
  <c r="AE16" i="7" a="1"/>
  <c r="AE19" i="7" a="1"/>
  <c r="AE35" i="7" a="1"/>
  <c r="AE27" i="7" a="1"/>
  <c r="AE30" i="7" a="1"/>
  <c r="AE22" i="7" a="1"/>
  <c r="AE14" i="7" a="1"/>
  <c r="AE24" i="7" a="1"/>
  <c r="AE11" i="7" a="1"/>
  <c r="AE33" i="7" a="1"/>
  <c r="AE25" i="7" a="1"/>
  <c r="AE17" i="7" a="1"/>
  <c r="AE9" i="7" a="1"/>
  <c r="AE32" i="7" a="1"/>
  <c r="AE8" i="7" a="1"/>
  <c r="BJ32" i="7" a="1"/>
  <c r="BJ24" i="7" a="1"/>
  <c r="BJ16" i="7" a="1"/>
  <c r="BJ8" i="7" a="1"/>
  <c r="BJ25" i="7" a="1"/>
  <c r="BJ22" i="7" a="1"/>
  <c r="BJ14" i="7" a="1"/>
  <c r="BJ37" i="7" a="1"/>
  <c r="BJ29" i="7" a="1"/>
  <c r="BJ21" i="7" a="1"/>
  <c r="BJ13" i="7" a="1"/>
  <c r="BJ33" i="7" a="1"/>
  <c r="BJ34" i="7" a="1"/>
  <c r="BJ26" i="7" a="1"/>
  <c r="BJ18" i="7" a="1"/>
  <c r="BJ10" i="7" a="1"/>
  <c r="BJ31" i="7" a="1"/>
  <c r="BJ23" i="7" a="1"/>
  <c r="BJ15" i="7" a="1"/>
  <c r="BJ30" i="7" a="1"/>
  <c r="BJ36" i="7" a="1"/>
  <c r="BJ28" i="7" a="1"/>
  <c r="BJ20" i="7" a="1"/>
  <c r="BJ12" i="7" a="1"/>
  <c r="BJ35" i="7" a="1"/>
  <c r="BJ27" i="7" a="1"/>
  <c r="BJ19" i="7" a="1"/>
  <c r="BJ11" i="7" a="1"/>
  <c r="BJ17" i="7" a="1"/>
  <c r="BJ9" i="7" a="1"/>
  <c r="P8" i="7" a="1"/>
  <c r="AL36" i="7" l="1"/>
  <c r="AL32" i="7"/>
  <c r="AL28" i="7"/>
  <c r="AL24" i="7"/>
  <c r="AL20" i="7"/>
  <c r="AL16" i="7"/>
  <c r="AL12" i="7"/>
  <c r="AL31" i="7"/>
  <c r="AL27" i="7"/>
  <c r="AL15" i="7"/>
  <c r="AL34" i="7"/>
  <c r="AL30" i="7"/>
  <c r="AL26" i="7"/>
  <c r="AL22" i="7"/>
  <c r="AL18" i="7"/>
  <c r="AL14" i="7"/>
  <c r="AL10" i="7"/>
  <c r="AL19" i="7"/>
  <c r="AL35" i="7"/>
  <c r="AL23" i="7"/>
  <c r="AL37" i="7"/>
  <c r="AL33" i="7"/>
  <c r="AL29" i="7"/>
  <c r="AL25" i="7"/>
  <c r="AL21" i="7"/>
  <c r="AL17" i="7"/>
  <c r="AL13" i="7"/>
  <c r="AL9" i="7"/>
  <c r="CS32" i="8"/>
  <c r="CS16" i="8"/>
  <c r="CS35" i="8"/>
  <c r="CS31" i="8"/>
  <c r="CS27" i="8"/>
  <c r="CS23" i="8"/>
  <c r="CS19" i="8"/>
  <c r="CS15" i="8"/>
  <c r="CS11" i="8"/>
  <c r="CS28" i="8"/>
  <c r="CS12" i="8"/>
  <c r="CS34" i="8"/>
  <c r="CS30" i="8"/>
  <c r="CS26" i="8"/>
  <c r="CS22" i="8"/>
  <c r="CS18" i="8"/>
  <c r="CS14" i="8"/>
  <c r="CS10" i="8"/>
  <c r="CS24" i="8"/>
  <c r="CS36" i="8"/>
  <c r="CS20" i="8"/>
  <c r="CS37" i="8"/>
  <c r="CS33" i="8"/>
  <c r="CS29" i="8"/>
  <c r="CS25" i="8"/>
  <c r="CS21" i="8"/>
  <c r="CS17" i="8"/>
  <c r="CS13" i="8"/>
  <c r="CS9" i="8"/>
  <c r="CS8" i="8"/>
  <c r="AZ12" i="8"/>
  <c r="AZ28" i="8"/>
  <c r="AZ31" i="8"/>
  <c r="AZ27" i="8"/>
  <c r="AZ23" i="8"/>
  <c r="AZ19" i="8"/>
  <c r="AZ15" i="8"/>
  <c r="AZ11" i="8"/>
  <c r="AZ24" i="8"/>
  <c r="AZ36" i="8"/>
  <c r="AZ20" i="8"/>
  <c r="AZ35" i="8"/>
  <c r="AZ34" i="8"/>
  <c r="AZ30" i="8"/>
  <c r="AZ26" i="8"/>
  <c r="AZ22" i="8"/>
  <c r="AZ18" i="8"/>
  <c r="AZ14" i="8"/>
  <c r="AZ10" i="8"/>
  <c r="AZ16" i="8"/>
  <c r="AZ32" i="8"/>
  <c r="AZ37" i="8"/>
  <c r="AZ33" i="8"/>
  <c r="AZ29" i="8"/>
  <c r="C30" i="2" s="1"/>
  <c r="AZ25" i="8"/>
  <c r="AZ21" i="8"/>
  <c r="AZ17" i="8"/>
  <c r="AZ13" i="8"/>
  <c r="AZ9" i="8"/>
  <c r="AZ8" i="8"/>
  <c r="AZ39" i="8"/>
  <c r="AZ40" i="8" s="1"/>
  <c r="BA32" i="7"/>
  <c r="BA28" i="7"/>
  <c r="BA35" i="7"/>
  <c r="BA31" i="7"/>
  <c r="BA27" i="7"/>
  <c r="BA23" i="7"/>
  <c r="BA15" i="7"/>
  <c r="BA11" i="7"/>
  <c r="BA24" i="7"/>
  <c r="BA19" i="7"/>
  <c r="BA16" i="7"/>
  <c r="BA30" i="7"/>
  <c r="BA26" i="7"/>
  <c r="BA22" i="7"/>
  <c r="BA14" i="7"/>
  <c r="BA10" i="7"/>
  <c r="BA20" i="7"/>
  <c r="BA34" i="7"/>
  <c r="BA18" i="7"/>
  <c r="BA36" i="7"/>
  <c r="BA12" i="7"/>
  <c r="BA37" i="7"/>
  <c r="BA33" i="7"/>
  <c r="BA29" i="7"/>
  <c r="BA25" i="7"/>
  <c r="BA21" i="7"/>
  <c r="BA17" i="7"/>
  <c r="BA13" i="7"/>
  <c r="BA9" i="7"/>
  <c r="BA8" i="7"/>
  <c r="BP36" i="7"/>
  <c r="BP24" i="7"/>
  <c r="BP20" i="7"/>
  <c r="BP16" i="7"/>
  <c r="BP12" i="7"/>
  <c r="BP32" i="7"/>
  <c r="BP35" i="7"/>
  <c r="BP27" i="7"/>
  <c r="BP23" i="7"/>
  <c r="BP15" i="7"/>
  <c r="BP28" i="7"/>
  <c r="BP31" i="7"/>
  <c r="BP19" i="7"/>
  <c r="BP11" i="7"/>
  <c r="BP22" i="7"/>
  <c r="BP10" i="7"/>
  <c r="BP14" i="7"/>
  <c r="BP34" i="7"/>
  <c r="BP30" i="7"/>
  <c r="BP26" i="7"/>
  <c r="BP18" i="7"/>
  <c r="BP37" i="7"/>
  <c r="BP33" i="7"/>
  <c r="BP29" i="7"/>
  <c r="BP25" i="7"/>
  <c r="BP21" i="7"/>
  <c r="BP17" i="7"/>
  <c r="BP13" i="7"/>
  <c r="BP9" i="7"/>
  <c r="BP8" i="7"/>
  <c r="V11" i="7"/>
  <c r="V14" i="7"/>
  <c r="V10" i="7"/>
  <c r="V13" i="7"/>
  <c r="V9" i="7"/>
  <c r="V12" i="7"/>
  <c r="V8" i="7"/>
  <c r="V16" i="7"/>
  <c r="V30" i="7"/>
  <c r="V28" i="7"/>
  <c r="V26" i="7"/>
  <c r="V18" i="7"/>
  <c r="V37" i="7"/>
  <c r="V33" i="7"/>
  <c r="V29" i="7"/>
  <c r="V25" i="7"/>
  <c r="V17" i="7"/>
  <c r="V32" i="7"/>
  <c r="V34" i="7"/>
  <c r="V22" i="7"/>
  <c r="V21" i="7"/>
  <c r="V24" i="7"/>
  <c r="V36" i="7"/>
  <c r="V20" i="7"/>
  <c r="V35" i="7"/>
  <c r="V31" i="7"/>
  <c r="V27" i="7"/>
  <c r="V23" i="7"/>
  <c r="V19" i="7"/>
  <c r="V15" i="7"/>
  <c r="AE8" i="7"/>
  <c r="AE32" i="7"/>
  <c r="AE9" i="7"/>
  <c r="AE17" i="7"/>
  <c r="AE25" i="7"/>
  <c r="AE33" i="7"/>
  <c r="AE11" i="7"/>
  <c r="AE24" i="7"/>
  <c r="AE14" i="7"/>
  <c r="AE22" i="7"/>
  <c r="AE30" i="7"/>
  <c r="AE27" i="7"/>
  <c r="AE35" i="7"/>
  <c r="AE19" i="7"/>
  <c r="AE16" i="7"/>
  <c r="AE21" i="7"/>
  <c r="AE29" i="7"/>
  <c r="AE10" i="7"/>
  <c r="AE34" i="7"/>
  <c r="AE15" i="7"/>
  <c r="AE23" i="7"/>
  <c r="AE31" i="7"/>
  <c r="AE13" i="7"/>
  <c r="AE37" i="7"/>
  <c r="AE18" i="7"/>
  <c r="AE26" i="7"/>
  <c r="AE12" i="7"/>
  <c r="AE20" i="7"/>
  <c r="AE28" i="7"/>
  <c r="AE36" i="7"/>
  <c r="BJ9" i="7"/>
  <c r="BJ17" i="7"/>
  <c r="BJ11" i="7"/>
  <c r="BJ19" i="7"/>
  <c r="BJ27" i="7"/>
  <c r="BJ35" i="7"/>
  <c r="BJ12" i="7"/>
  <c r="BJ20" i="7"/>
  <c r="BJ28" i="7"/>
  <c r="BJ36" i="7"/>
  <c r="BJ30" i="7"/>
  <c r="BJ15" i="7"/>
  <c r="BJ23" i="7"/>
  <c r="BJ31" i="7"/>
  <c r="BJ10" i="7"/>
  <c r="BJ18" i="7"/>
  <c r="BJ26" i="7"/>
  <c r="BJ34" i="7"/>
  <c r="BJ33" i="7"/>
  <c r="BJ13" i="7"/>
  <c r="BJ21" i="7"/>
  <c r="BJ29" i="7"/>
  <c r="BJ37" i="7"/>
  <c r="BJ14" i="7"/>
  <c r="BJ22" i="7"/>
  <c r="BJ25" i="7"/>
  <c r="BJ8" i="7"/>
  <c r="BJ16" i="7"/>
  <c r="BJ24" i="7"/>
  <c r="BJ32" i="7"/>
  <c r="P8" i="7"/>
  <c r="AZ38" i="8"/>
  <c r="R38" i="8"/>
  <c r="R39" i="8"/>
  <c r="R40" i="8" s="1"/>
  <c r="G9" i="2"/>
  <c r="J9" i="2"/>
  <c r="N8" i="4"/>
  <c r="I9" i="2"/>
  <c r="AB9" i="4"/>
  <c r="G10" i="2" s="1"/>
  <c r="J10" i="2"/>
  <c r="AB10" i="4"/>
  <c r="G11" i="2" s="1"/>
  <c r="J11" i="2"/>
  <c r="AB11" i="4"/>
  <c r="G12" i="2" s="1"/>
  <c r="J12" i="2"/>
  <c r="AB12" i="4"/>
  <c r="G13" i="2" s="1"/>
  <c r="J13" i="2"/>
  <c r="AB13" i="4"/>
  <c r="G14" i="2" s="1"/>
  <c r="J14" i="2"/>
  <c r="AB14" i="4"/>
  <c r="G15" i="2" s="1"/>
  <c r="J15" i="2"/>
  <c r="AB15" i="4"/>
  <c r="G16" i="2" s="1"/>
  <c r="J16" i="2"/>
  <c r="AB16" i="4"/>
  <c r="G17" i="2" s="1"/>
  <c r="J17" i="2"/>
  <c r="AB17" i="4"/>
  <c r="G18" i="2" s="1"/>
  <c r="J18" i="2"/>
  <c r="AB18" i="4"/>
  <c r="G19" i="2" s="1"/>
  <c r="J19" i="2"/>
  <c r="AB19" i="4"/>
  <c r="G20" i="2" s="1"/>
  <c r="J20" i="2"/>
  <c r="AB20" i="4"/>
  <c r="G21" i="2" s="1"/>
  <c r="J21" i="2"/>
  <c r="AB21" i="4"/>
  <c r="G22" i="2" s="1"/>
  <c r="J22" i="2"/>
  <c r="AB22" i="4"/>
  <c r="G23" i="2" s="1"/>
  <c r="J23" i="2"/>
  <c r="AB23" i="4"/>
  <c r="G24" i="2" s="1"/>
  <c r="J24" i="2"/>
  <c r="AB24" i="4"/>
  <c r="G25" i="2" s="1"/>
  <c r="J25" i="2"/>
  <c r="AB25" i="4"/>
  <c r="G26" i="2" s="1"/>
  <c r="J26" i="2"/>
  <c r="AB26" i="4"/>
  <c r="G27" i="2" s="1"/>
  <c r="J27" i="2"/>
  <c r="AB27" i="4"/>
  <c r="G28" i="2" s="1"/>
  <c r="J28" i="2"/>
  <c r="AB28" i="4"/>
  <c r="G29" i="2" s="1"/>
  <c r="J29" i="2"/>
  <c r="AB29" i="4"/>
  <c r="G30" i="2" s="1"/>
  <c r="J30" i="2"/>
  <c r="AB30" i="4"/>
  <c r="G31" i="2" s="1"/>
  <c r="J31" i="2"/>
  <c r="AB31" i="4"/>
  <c r="G32" i="2" s="1"/>
  <c r="J32" i="2"/>
  <c r="AB32" i="4"/>
  <c r="G33" i="2" s="1"/>
  <c r="J33" i="2"/>
  <c r="AB33" i="4"/>
  <c r="G34" i="2" s="1"/>
  <c r="J34" i="2"/>
  <c r="AB34" i="4"/>
  <c r="G35" i="2" s="1"/>
  <c r="J35" i="2"/>
  <c r="AB35" i="4"/>
  <c r="G36" i="2" s="1"/>
  <c r="J36" i="2"/>
  <c r="AB36" i="4"/>
  <c r="G37" i="2" s="1"/>
  <c r="J37" i="2"/>
  <c r="AB37" i="4"/>
  <c r="G38" i="2" s="1"/>
  <c r="J38" i="2"/>
  <c r="AS9" i="7"/>
  <c r="AS10" i="7"/>
  <c r="AS11" i="7"/>
  <c r="AS12" i="7"/>
  <c r="AS13" i="7"/>
  <c r="AS14" i="7"/>
  <c r="AS15" i="7"/>
  <c r="AS16" i="7"/>
  <c r="AS17" i="7"/>
  <c r="AS18" i="7"/>
  <c r="AS19" i="7"/>
  <c r="AS20" i="7"/>
  <c r="AS21" i="7"/>
  <c r="AS22" i="7"/>
  <c r="AS23" i="7"/>
  <c r="AS24" i="7"/>
  <c r="AS25" i="7"/>
  <c r="AS26" i="7"/>
  <c r="AS27" i="7"/>
  <c r="AS28" i="7"/>
  <c r="AS29" i="7"/>
  <c r="AS30" i="7"/>
  <c r="AS31" i="7"/>
  <c r="AS32" i="7"/>
  <c r="AS33" i="7"/>
  <c r="AS34" i="7"/>
  <c r="AS35" i="7"/>
  <c r="AS36" i="7"/>
  <c r="AS37" i="7"/>
  <c r="AS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8" i="7"/>
  <c r="AS7" i="7"/>
  <c r="P7" i="7"/>
  <c r="N7" i="7"/>
  <c r="N10" i="4"/>
  <c r="F11" i="2" s="1"/>
  <c r="I11" i="2"/>
  <c r="N9" i="4"/>
  <c r="F10" i="2" s="1"/>
  <c r="I10" i="2"/>
  <c r="N11" i="4"/>
  <c r="F12" i="2" s="1"/>
  <c r="I12" i="2"/>
  <c r="N12" i="4"/>
  <c r="F13" i="2" s="1"/>
  <c r="I13" i="2"/>
  <c r="N13" i="4"/>
  <c r="F14" i="2" s="1"/>
  <c r="I14" i="2"/>
  <c r="N14" i="4"/>
  <c r="F15" i="2" s="1"/>
  <c r="I15" i="2"/>
  <c r="N15" i="4"/>
  <c r="F16" i="2" s="1"/>
  <c r="I16" i="2"/>
  <c r="N16" i="4"/>
  <c r="F17" i="2" s="1"/>
  <c r="I17" i="2"/>
  <c r="N17" i="4"/>
  <c r="F18" i="2" s="1"/>
  <c r="I18" i="2"/>
  <c r="N18" i="4"/>
  <c r="F19" i="2" s="1"/>
  <c r="I19" i="2"/>
  <c r="N19" i="4"/>
  <c r="F20" i="2" s="1"/>
  <c r="I20" i="2"/>
  <c r="N20" i="4"/>
  <c r="F21" i="2" s="1"/>
  <c r="I21" i="2"/>
  <c r="N21" i="4"/>
  <c r="F22" i="2" s="1"/>
  <c r="I22" i="2"/>
  <c r="N22" i="4"/>
  <c r="F23" i="2" s="1"/>
  <c r="I23" i="2"/>
  <c r="N23" i="4"/>
  <c r="F24" i="2" s="1"/>
  <c r="I24" i="2"/>
  <c r="N24" i="4"/>
  <c r="F25" i="2" s="1"/>
  <c r="I25" i="2"/>
  <c r="N25" i="4"/>
  <c r="F26" i="2" s="1"/>
  <c r="I26" i="2"/>
  <c r="N26" i="4"/>
  <c r="F27" i="2" s="1"/>
  <c r="I27" i="2"/>
  <c r="N27" i="4"/>
  <c r="F28" i="2" s="1"/>
  <c r="I28" i="2"/>
  <c r="N28" i="4"/>
  <c r="F29" i="2" s="1"/>
  <c r="I29" i="2"/>
  <c r="N29" i="4"/>
  <c r="F30" i="2" s="1"/>
  <c r="I30" i="2"/>
  <c r="N30" i="4"/>
  <c r="F31" i="2" s="1"/>
  <c r="I31" i="2"/>
  <c r="N31" i="4"/>
  <c r="F32" i="2" s="1"/>
  <c r="I32" i="2"/>
  <c r="N32" i="4"/>
  <c r="F33" i="2" s="1"/>
  <c r="I33" i="2"/>
  <c r="N33" i="4"/>
  <c r="F34" i="2" s="1"/>
  <c r="I34" i="2"/>
  <c r="N34" i="4"/>
  <c r="F35" i="2" s="1"/>
  <c r="I35" i="2"/>
  <c r="N35" i="4"/>
  <c r="F36" i="2" s="1"/>
  <c r="I36" i="2"/>
  <c r="N36" i="4"/>
  <c r="F37" i="2" s="1"/>
  <c r="I37" i="2"/>
  <c r="N37" i="4"/>
  <c r="F38" i="2" s="1"/>
  <c r="I38" i="2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8" i="4"/>
  <c r="B8" i="4"/>
  <c r="AB7" i="4"/>
  <c r="N7" i="4"/>
  <c r="O39" i="4"/>
  <c r="O40" i="4" s="1"/>
  <c r="W54" i="7"/>
  <c r="B37" i="7"/>
  <c r="A37" i="7"/>
  <c r="B36" i="7"/>
  <c r="A36" i="7"/>
  <c r="B35" i="7"/>
  <c r="A35" i="7"/>
  <c r="B34" i="7"/>
  <c r="A34" i="7"/>
  <c r="B33" i="7"/>
  <c r="A33" i="7"/>
  <c r="B32" i="7"/>
  <c r="A32" i="7"/>
  <c r="B31" i="7"/>
  <c r="A31" i="7"/>
  <c r="B30" i="7"/>
  <c r="A30" i="7"/>
  <c r="B29" i="7"/>
  <c r="A29" i="7"/>
  <c r="B28" i="7"/>
  <c r="A28" i="7"/>
  <c r="B27" i="7"/>
  <c r="A27" i="7"/>
  <c r="B26" i="7"/>
  <c r="A26" i="7"/>
  <c r="B25" i="7"/>
  <c r="A25" i="7"/>
  <c r="B24" i="7"/>
  <c r="A24" i="7"/>
  <c r="B23" i="7"/>
  <c r="A23" i="7"/>
  <c r="B22" i="7"/>
  <c r="A22" i="7"/>
  <c r="B21" i="7"/>
  <c r="A21" i="7"/>
  <c r="B20" i="7"/>
  <c r="A20" i="7"/>
  <c r="B19" i="7"/>
  <c r="A19" i="7"/>
  <c r="B18" i="7"/>
  <c r="A18" i="7"/>
  <c r="B17" i="7"/>
  <c r="A17" i="7"/>
  <c r="B16" i="7"/>
  <c r="A16" i="7"/>
  <c r="B15" i="7"/>
  <c r="A15" i="7"/>
  <c r="B14" i="7"/>
  <c r="A14" i="7"/>
  <c r="B13" i="7"/>
  <c r="A13" i="7"/>
  <c r="B12" i="7"/>
  <c r="A12" i="7"/>
  <c r="B11" i="7"/>
  <c r="A11" i="7"/>
  <c r="B10" i="7"/>
  <c r="A10" i="7"/>
  <c r="B9" i="7"/>
  <c r="A9" i="7"/>
  <c r="B8" i="7"/>
  <c r="A8" i="7"/>
  <c r="AL8" i="7" a="1"/>
  <c r="AU17" i="7" a="1"/>
  <c r="P13" i="7" a="1"/>
  <c r="AU34" i="7" a="1"/>
  <c r="P36" i="7" a="1"/>
  <c r="P31" i="7" a="1"/>
  <c r="P11" i="7" a="1"/>
  <c r="AU28" i="7" a="1"/>
  <c r="P22" i="7" a="1"/>
  <c r="P18" i="7" a="1"/>
  <c r="P29" i="7" a="1"/>
  <c r="P24" i="7" a="1"/>
  <c r="AU11" i="7" a="1"/>
  <c r="AU33" i="7" a="1"/>
  <c r="AU20" i="7" a="1"/>
  <c r="P25" i="7" a="1"/>
  <c r="AU9" i="7" a="1"/>
  <c r="P28" i="7" a="1"/>
  <c r="P9" i="7" a="1"/>
  <c r="P10" i="7" a="1"/>
  <c r="AU19" i="7" a="1"/>
  <c r="AU12" i="7" a="1"/>
  <c r="AU36" i="7" a="1"/>
  <c r="AU30" i="7" a="1"/>
  <c r="P34" i="7" a="1"/>
  <c r="AU29" i="7" a="1"/>
  <c r="AU15" i="7" a="1"/>
  <c r="P32" i="7" a="1"/>
  <c r="P20" i="7" a="1"/>
  <c r="P23" i="7" a="1"/>
  <c r="AU10" i="7" a="1"/>
  <c r="AU21" i="7" a="1"/>
  <c r="P30" i="7" a="1"/>
  <c r="AU26" i="7" a="1"/>
  <c r="AU16" i="7" a="1"/>
  <c r="P19" i="7" a="1"/>
  <c r="P12" i="7" a="1"/>
  <c r="AU32" i="7" a="1"/>
  <c r="AU24" i="7" a="1"/>
  <c r="AU23" i="7" a="1"/>
  <c r="AU8" i="7" a="1"/>
  <c r="AU25" i="7" a="1"/>
  <c r="AU35" i="7" a="1"/>
  <c r="AU22" i="7" a="1"/>
  <c r="AU37" i="7" a="1"/>
  <c r="P33" i="7" a="1"/>
  <c r="AU31" i="7" a="1"/>
  <c r="AU13" i="7" a="1"/>
  <c r="AU27" i="7" a="1"/>
  <c r="P15" i="7" a="1"/>
  <c r="P35" i="7" a="1"/>
  <c r="P26" i="7" a="1"/>
  <c r="AU14" i="7" a="1"/>
  <c r="P14" i="7" a="1"/>
  <c r="P17" i="7" a="1"/>
  <c r="P27" i="7" a="1"/>
  <c r="P37" i="7" a="1"/>
  <c r="AU18" i="7" a="1"/>
  <c r="P21" i="7" a="1"/>
  <c r="P16" i="7" a="1"/>
  <c r="AL8" i="7" l="1"/>
  <c r="O9" i="2" s="1"/>
  <c r="CS38" i="8"/>
  <c r="F9" i="2"/>
  <c r="U9" i="2" s="1"/>
  <c r="N38" i="4"/>
  <c r="AH39" i="4"/>
  <c r="AH38" i="4"/>
  <c r="AH40" i="4"/>
  <c r="P33" i="7"/>
  <c r="P32" i="7"/>
  <c r="AU12" i="7"/>
  <c r="AU17" i="7"/>
  <c r="P37" i="7"/>
  <c r="AU35" i="7"/>
  <c r="AU16" i="7"/>
  <c r="P36" i="7"/>
  <c r="P31" i="7"/>
  <c r="AU36" i="7"/>
  <c r="AU34" i="7"/>
  <c r="AU27" i="7"/>
  <c r="AU13" i="7"/>
  <c r="P30" i="7"/>
  <c r="AU37" i="7"/>
  <c r="AU28" i="7"/>
  <c r="AU26" i="7"/>
  <c r="AU19" i="7"/>
  <c r="AU14" i="7"/>
  <c r="AU8" i="7"/>
  <c r="AU11" i="7"/>
  <c r="P35" i="7"/>
  <c r="AU33" i="7"/>
  <c r="AU32" i="7"/>
  <c r="AU31" i="7"/>
  <c r="AU30" i="7"/>
  <c r="AU29" i="7"/>
  <c r="AU20" i="7"/>
  <c r="AU18" i="7"/>
  <c r="P34" i="7"/>
  <c r="P29" i="7"/>
  <c r="AU25" i="7"/>
  <c r="AU24" i="7"/>
  <c r="AU23" i="7"/>
  <c r="AU22" i="7"/>
  <c r="AU21" i="7"/>
  <c r="AU15" i="7"/>
  <c r="AU10" i="7"/>
  <c r="AU9" i="7"/>
  <c r="N39" i="4"/>
  <c r="N40" i="4" s="1"/>
  <c r="P25" i="7"/>
  <c r="P21" i="7"/>
  <c r="P17" i="7"/>
  <c r="P12" i="7"/>
  <c r="P28" i="7"/>
  <c r="P24" i="7"/>
  <c r="P20" i="7"/>
  <c r="P16" i="7"/>
  <c r="P11" i="7"/>
  <c r="P27" i="7"/>
  <c r="P23" i="7"/>
  <c r="P19" i="7"/>
  <c r="P15" i="7"/>
  <c r="P10" i="7"/>
  <c r="P26" i="7"/>
  <c r="P22" i="7"/>
  <c r="P18" i="7"/>
  <c r="P13" i="7"/>
  <c r="P9" i="7"/>
  <c r="P14" i="7"/>
  <c r="AL11" i="7" a="1"/>
  <c r="AK24" i="7" a="1"/>
  <c r="AK28" i="7" a="1"/>
  <c r="AK12" i="7" a="1"/>
  <c r="AK18" i="7" a="1"/>
  <c r="AK13" i="7" a="1"/>
  <c r="AK23" i="7" a="1"/>
  <c r="AK34" i="7" a="1"/>
  <c r="AK29" i="7" a="1"/>
  <c r="AK11" i="7" a="1"/>
  <c r="AK25" i="7" a="1"/>
  <c r="AK9" i="7" a="1"/>
  <c r="AK8" i="7" a="1"/>
  <c r="AK27" i="7" a="1"/>
  <c r="AK16" i="7" a="1"/>
  <c r="AK35" i="7" a="1"/>
  <c r="AK30" i="7" a="1"/>
  <c r="AK14" i="7" a="1"/>
  <c r="AK36" i="7" a="1"/>
  <c r="AK20" i="7" a="1"/>
  <c r="AK26" i="7" a="1"/>
  <c r="AK19" i="7" a="1"/>
  <c r="AK21" i="7" a="1"/>
  <c r="AK32" i="7" a="1"/>
  <c r="AK31" i="7" a="1"/>
  <c r="AK15" i="7" a="1"/>
  <c r="AK10" i="7" a="1"/>
  <c r="AK37" i="7" a="1"/>
  <c r="AK22" i="7" a="1"/>
  <c r="AK33" i="7" a="1"/>
  <c r="AK17" i="7" a="1"/>
  <c r="AL11" i="7" l="1"/>
  <c r="O12" i="2" s="1"/>
  <c r="AK17" i="7"/>
  <c r="AK33" i="7"/>
  <c r="AK22" i="7"/>
  <c r="AK37" i="7"/>
  <c r="AK10" i="7"/>
  <c r="AK15" i="7"/>
  <c r="AK31" i="7"/>
  <c r="AK32" i="7"/>
  <c r="AK21" i="7"/>
  <c r="AK19" i="7"/>
  <c r="AK26" i="7"/>
  <c r="AK20" i="7"/>
  <c r="AK36" i="7"/>
  <c r="AK14" i="7"/>
  <c r="AK30" i="7"/>
  <c r="AK35" i="7"/>
  <c r="AK16" i="7"/>
  <c r="AK27" i="7"/>
  <c r="AK8" i="7"/>
  <c r="AK9" i="7"/>
  <c r="AK25" i="7"/>
  <c r="AK11" i="7"/>
  <c r="AK29" i="7"/>
  <c r="AK34" i="7"/>
  <c r="AK23" i="7"/>
  <c r="AK13" i="7"/>
  <c r="AK18" i="7"/>
  <c r="AK12" i="7"/>
  <c r="AK28" i="7"/>
  <c r="AK24" i="7"/>
  <c r="U10" i="2"/>
  <c r="U12" i="2"/>
  <c r="Y17" i="2"/>
  <c r="V9" i="2"/>
  <c r="X9" i="2" s="1"/>
  <c r="Y9" i="2"/>
  <c r="BQ39" i="7"/>
  <c r="BQ40" i="7" s="1"/>
  <c r="U15" i="2"/>
  <c r="AL39" i="7"/>
  <c r="AL40" i="7" s="1"/>
  <c r="U20" i="2" l="1"/>
  <c r="V20" i="2" s="1"/>
  <c r="X20" i="2" s="1"/>
  <c r="Y22" i="2"/>
  <c r="Z22" i="2" s="1"/>
  <c r="AB22" i="2" s="1"/>
  <c r="Y14" i="2"/>
  <c r="Z14" i="2" s="1"/>
  <c r="Y34" i="2"/>
  <c r="Z34" i="2" s="1"/>
  <c r="AB34" i="2" s="1"/>
  <c r="Y32" i="2"/>
  <c r="Z32" i="2" s="1"/>
  <c r="AB32" i="2" s="1"/>
  <c r="Y23" i="2"/>
  <c r="Z23" i="2" s="1"/>
  <c r="AB23" i="2" s="1"/>
  <c r="U11" i="2"/>
  <c r="V11" i="2" s="1"/>
  <c r="X11" i="2" s="1"/>
  <c r="U22" i="2"/>
  <c r="V22" i="2" s="1"/>
  <c r="X22" i="2" s="1"/>
  <c r="U33" i="2"/>
  <c r="V33" i="2" s="1"/>
  <c r="X33" i="2" s="1"/>
  <c r="Y12" i="2"/>
  <c r="Z12" i="2" s="1"/>
  <c r="AB12" i="2" s="1"/>
  <c r="Y10" i="2"/>
  <c r="Z10" i="2" s="1"/>
  <c r="AB10" i="2" s="1"/>
  <c r="Y25" i="2"/>
  <c r="Z25" i="2" s="1"/>
  <c r="AB25" i="2" s="1"/>
  <c r="U38" i="2"/>
  <c r="V38" i="2" s="1"/>
  <c r="U32" i="2"/>
  <c r="V32" i="2" s="1"/>
  <c r="X32" i="2" s="1"/>
  <c r="U18" i="2"/>
  <c r="V18" i="2" s="1"/>
  <c r="X18" i="2" s="1"/>
  <c r="U19" i="2"/>
  <c r="V19" i="2" s="1"/>
  <c r="X19" i="2" s="1"/>
  <c r="Y24" i="2"/>
  <c r="Z24" i="2" s="1"/>
  <c r="AB24" i="2" s="1"/>
  <c r="U37" i="2"/>
  <c r="V37" i="2" s="1"/>
  <c r="Y19" i="2"/>
  <c r="Z19" i="2" s="1"/>
  <c r="AB19" i="2" s="1"/>
  <c r="Y37" i="2"/>
  <c r="Z37" i="2" s="1"/>
  <c r="AB37" i="2" s="1"/>
  <c r="U31" i="2"/>
  <c r="V31" i="2" s="1"/>
  <c r="X31" i="2" s="1"/>
  <c r="U21" i="2"/>
  <c r="V21" i="2" s="1"/>
  <c r="X21" i="2" s="1"/>
  <c r="U28" i="2"/>
  <c r="V28" i="2" s="1"/>
  <c r="X28" i="2" s="1"/>
  <c r="Y27" i="2"/>
  <c r="Z27" i="2" s="1"/>
  <c r="U34" i="2"/>
  <c r="V34" i="2" s="1"/>
  <c r="X34" i="2" s="1"/>
  <c r="Y16" i="2"/>
  <c r="Z16" i="2" s="1"/>
  <c r="AB16" i="2" s="1"/>
  <c r="Y29" i="2"/>
  <c r="Z29" i="2" s="1"/>
  <c r="AB29" i="2" s="1"/>
  <c r="Y31" i="2"/>
  <c r="Z31" i="2" s="1"/>
  <c r="AB31" i="2" s="1"/>
  <c r="U36" i="2"/>
  <c r="V36" i="2" s="1"/>
  <c r="U27" i="2"/>
  <c r="V27" i="2" s="1"/>
  <c r="X27" i="2" s="1"/>
  <c r="U30" i="2"/>
  <c r="V30" i="2" s="1"/>
  <c r="X30" i="2" s="1"/>
  <c r="U14" i="2"/>
  <c r="V14" i="2" s="1"/>
  <c r="X14" i="2" s="1"/>
  <c r="Y21" i="2"/>
  <c r="Z21" i="2" s="1"/>
  <c r="Y15" i="2"/>
  <c r="Z15" i="2" s="1"/>
  <c r="AB15" i="2" s="1"/>
  <c r="Y20" i="2"/>
  <c r="Z20" i="2" s="1"/>
  <c r="AB20" i="2" s="1"/>
  <c r="Y18" i="2"/>
  <c r="Z18" i="2" s="1"/>
  <c r="AB18" i="2" s="1"/>
  <c r="Y36" i="2"/>
  <c r="Z36" i="2" s="1"/>
  <c r="AB36" i="2" s="1"/>
  <c r="Y33" i="2"/>
  <c r="Z33" i="2" s="1"/>
  <c r="AB33" i="2" s="1"/>
  <c r="Y13" i="2"/>
  <c r="Z13" i="2" s="1"/>
  <c r="AB13" i="2" s="1"/>
  <c r="U35" i="2"/>
  <c r="V35" i="2" s="1"/>
  <c r="U17" i="2"/>
  <c r="V17" i="2" s="1"/>
  <c r="X17" i="2" s="1"/>
  <c r="U29" i="2"/>
  <c r="V29" i="2" s="1"/>
  <c r="X29" i="2" s="1"/>
  <c r="U24" i="2"/>
  <c r="V24" i="2" s="1"/>
  <c r="X24" i="2" s="1"/>
  <c r="U26" i="2"/>
  <c r="V26" i="2" s="1"/>
  <c r="X26" i="2" s="1"/>
  <c r="Y38" i="2"/>
  <c r="Z38" i="2" s="1"/>
  <c r="AB38" i="2" s="1"/>
  <c r="Y30" i="2"/>
  <c r="Z30" i="2" s="1"/>
  <c r="AB30" i="2" s="1"/>
  <c r="U25" i="2"/>
  <c r="V25" i="2" s="1"/>
  <c r="Y28" i="2"/>
  <c r="Z28" i="2" s="1"/>
  <c r="AB28" i="2" s="1"/>
  <c r="Y11" i="2"/>
  <c r="Z11" i="2" s="1"/>
  <c r="AB11" i="2" s="1"/>
  <c r="Y26" i="2"/>
  <c r="Z26" i="2" s="1"/>
  <c r="AB26" i="2" s="1"/>
  <c r="Y35" i="2"/>
  <c r="Z35" i="2" s="1"/>
  <c r="AB35" i="2" s="1"/>
  <c r="U13" i="2"/>
  <c r="V13" i="2" s="1"/>
  <c r="X13" i="2" s="1"/>
  <c r="U23" i="2"/>
  <c r="V23" i="2" s="1"/>
  <c r="X23" i="2" s="1"/>
  <c r="U16" i="2"/>
  <c r="V16" i="2" s="1"/>
  <c r="X16" i="2" s="1"/>
  <c r="BQ38" i="7"/>
  <c r="V15" i="2"/>
  <c r="X15" i="2" s="1"/>
  <c r="Z9" i="2"/>
  <c r="AB9" i="2" s="1"/>
  <c r="V12" i="2"/>
  <c r="X12" i="2" s="1"/>
  <c r="Z17" i="2"/>
  <c r="AB17" i="2" s="1"/>
  <c r="V10" i="2"/>
  <c r="X10" i="2" s="1"/>
  <c r="AL38" i="7" l="1"/>
  <c r="O46" i="2"/>
  <c r="O44" i="2"/>
  <c r="O45" i="2"/>
  <c r="U46" i="2"/>
  <c r="U45" i="2"/>
  <c r="U47" i="2"/>
  <c r="U44" i="2"/>
  <c r="U48" i="2"/>
  <c r="O47" i="2"/>
  <c r="O48" i="2"/>
  <c r="O43" i="2" l="1"/>
  <c r="U4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<sst xmlns="http://schemas.openxmlformats.org/spreadsheetml/2006/main" count="233" uniqueCount="113">
  <si>
    <t xml:space="preserve">AVALIAÇÃO GLOBAL </t>
  </si>
  <si>
    <t>ORALIDADE</t>
  </si>
  <si>
    <t>ESCRITA</t>
  </si>
  <si>
    <t>FINAL</t>
  </si>
  <si>
    <t>Nº</t>
  </si>
  <si>
    <t>NOME</t>
  </si>
  <si>
    <t>1º P</t>
  </si>
  <si>
    <t>2º P</t>
  </si>
  <si>
    <t>dadas</t>
  </si>
  <si>
    <t>previstas</t>
  </si>
  <si>
    <t>sucesso</t>
  </si>
  <si>
    <t>nível 2</t>
  </si>
  <si>
    <t>nível 3</t>
  </si>
  <si>
    <t>nível 4</t>
  </si>
  <si>
    <t>nível 5</t>
  </si>
  <si>
    <t>Ano: 7.º</t>
  </si>
  <si>
    <t>A</t>
  </si>
  <si>
    <t>GRELHA DE CORREÇÃO</t>
  </si>
  <si>
    <t>SUBTOTAL</t>
  </si>
  <si>
    <t>TOTAL</t>
  </si>
  <si>
    <t>Questão</t>
  </si>
  <si>
    <t>GRUPO IV- ESCRITA: PARÂMETROS</t>
  </si>
  <si>
    <t>CL</t>
  </si>
  <si>
    <t>A.</t>
  </si>
  <si>
    <t>Género / Formato textual</t>
  </si>
  <si>
    <t>B.</t>
  </si>
  <si>
    <t>Tema e Pertinência da informação</t>
  </si>
  <si>
    <t>C.</t>
  </si>
  <si>
    <t>Organização e coesão textuais</t>
  </si>
  <si>
    <t>D.</t>
  </si>
  <si>
    <t>Morfologia, Sintaxe e Pontuação</t>
  </si>
  <si>
    <t>E.</t>
  </si>
  <si>
    <t>Ortografia</t>
  </si>
  <si>
    <t>4 a 8</t>
  </si>
  <si>
    <t>B</t>
  </si>
  <si>
    <t>Média dos testes</t>
  </si>
  <si>
    <t>N.º de negativas</t>
  </si>
  <si>
    <t>% de negativas</t>
  </si>
  <si>
    <t xml:space="preserve"> </t>
  </si>
  <si>
    <t xml:space="preserve">                   Cotação
Nome
</t>
  </si>
  <si>
    <t>nível 1</t>
  </si>
  <si>
    <t>Desc.</t>
  </si>
  <si>
    <t>C</t>
  </si>
  <si>
    <t>D</t>
  </si>
  <si>
    <t>E</t>
  </si>
  <si>
    <t>AV ajuste</t>
  </si>
  <si>
    <t>1º P Auto Av.</t>
  </si>
  <si>
    <t>2º P Auto Av.</t>
  </si>
  <si>
    <t>DAC</t>
  </si>
  <si>
    <r>
      <rPr>
        <b/>
        <u/>
        <sz val="12"/>
        <color theme="7" tint="-0.249977111117893"/>
        <rFont val="Trebuchet MS"/>
        <family val="2"/>
      </rPr>
      <t>NOTA:</t>
    </r>
    <r>
      <rPr>
        <sz val="12"/>
        <color theme="7" tint="-0.249977111117893"/>
        <rFont val="Trebuchet MS"/>
        <family val="2"/>
      </rPr>
      <t xml:space="preserve">  Campos devem ser preenchidos nas folhas respetivas! Notas poderão ser ajustadas nas colunas Av. Ajuste!</t>
    </r>
  </si>
  <si>
    <r>
      <rPr>
        <b/>
        <sz val="9"/>
        <color rgb="FFFF0000"/>
        <rFont val="Arial"/>
        <family val="2"/>
      </rPr>
      <t>Desc</t>
    </r>
    <r>
      <rPr>
        <b/>
        <sz val="9"/>
        <color theme="1"/>
        <rFont val="Arial"/>
        <family val="2"/>
      </rPr>
      <t>.</t>
    </r>
  </si>
  <si>
    <t>Total Comp.</t>
  </si>
  <si>
    <t>C. Oral</t>
  </si>
  <si>
    <t>SUBTOTAL C. Oral</t>
  </si>
  <si>
    <t>7.º</t>
  </si>
  <si>
    <t>2º Semestre</t>
  </si>
  <si>
    <t>1º Semestre</t>
  </si>
  <si>
    <t>1ºS</t>
  </si>
  <si>
    <t>2ºS</t>
  </si>
  <si>
    <t>1º S</t>
  </si>
  <si>
    <t>2º S</t>
  </si>
  <si>
    <t>1.º S</t>
  </si>
  <si>
    <t>2.º S</t>
  </si>
  <si>
    <t>P. Oral</t>
  </si>
  <si>
    <t>COMP. ESTRATÉGICA</t>
  </si>
  <si>
    <t>COMPREENSÃO ORAL + PRODUÇÃO ORAL</t>
  </si>
  <si>
    <t>SUBTOTAL Prod. Oral</t>
  </si>
  <si>
    <t>FRANCÊS</t>
  </si>
  <si>
    <t>7.º E</t>
  </si>
  <si>
    <t>Ano Letivo 2021/22</t>
  </si>
  <si>
    <t>7.ºe</t>
  </si>
  <si>
    <t>Miguel</t>
  </si>
  <si>
    <t>7.ºD</t>
  </si>
  <si>
    <t>Turma:D</t>
  </si>
  <si>
    <t>Andji</t>
  </si>
  <si>
    <t>Cecília</t>
  </si>
  <si>
    <t>Daniela</t>
  </si>
  <si>
    <t>Joana</t>
  </si>
  <si>
    <t>José</t>
  </si>
  <si>
    <t>Laura</t>
  </si>
  <si>
    <t>Liliana</t>
  </si>
  <si>
    <t>Luana</t>
  </si>
  <si>
    <t>Madalena</t>
  </si>
  <si>
    <t>Mª João</t>
  </si>
  <si>
    <t>Mª José</t>
  </si>
  <si>
    <t>Mariana</t>
  </si>
  <si>
    <t>Sofia</t>
  </si>
  <si>
    <t>Tiago Neves</t>
  </si>
  <si>
    <t>Tiago Machado</t>
  </si>
  <si>
    <t>Tomás Santos</t>
  </si>
  <si>
    <t>Tomás António</t>
  </si>
  <si>
    <t>Sony</t>
  </si>
  <si>
    <t>PRODUÇÃO ESCRITA + GRAMÁTICA</t>
  </si>
  <si>
    <t>1ª Gramática</t>
  </si>
  <si>
    <t>2ª Composição</t>
  </si>
  <si>
    <t>1ª Composição</t>
  </si>
  <si>
    <t>2ª Gramática</t>
  </si>
  <si>
    <t>Média composição + gramática (1º período)</t>
  </si>
  <si>
    <t>Média do 2ª semestre (Gramática + Composição)</t>
  </si>
  <si>
    <t>COMPREENSÃO ESCRITA + VOCABULÁRIO</t>
  </si>
  <si>
    <t>1ª COMPREENSÃO ESCRITA</t>
  </si>
  <si>
    <t>1º VOCABULÁRIO</t>
  </si>
  <si>
    <t>2ª COMPREENSÃO ESCRITA</t>
  </si>
  <si>
    <t>2º VOCABULÁRIO</t>
  </si>
  <si>
    <t>2º COMPREENSÃO ESCRITA</t>
  </si>
  <si>
    <t>MÉDIA COMP.ESCRITA</t>
  </si>
  <si>
    <t>MÉDIA VOCABULÁRIO</t>
  </si>
  <si>
    <t>Média do ano (Comp.Escrita + Gramática)</t>
  </si>
  <si>
    <t>COMP. ESCRITA + VOCABULÁRIO</t>
  </si>
  <si>
    <t>Estruturação (25%)</t>
  </si>
  <si>
    <t>Desenvolvimento temático (25%)</t>
  </si>
  <si>
    <t>Organização (25%)</t>
  </si>
  <si>
    <t>Correção linguística (25%)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</si>
</sst>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&quot;%&quot;"/>
  </numFmts>
  <fonts count="6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7"/>
      <name val="Arial Narrow"/>
      <family val="2"/>
    </font>
    <font>
      <sz val="10"/>
      <name val="Trebuchet MS"/>
      <family val="2"/>
    </font>
    <font>
      <sz val="10"/>
      <color theme="7" tint="-0.249977111117893"/>
      <name val="Trebuchet MS"/>
      <family val="2"/>
    </font>
    <font>
      <sz val="14"/>
      <name val="Trebuchet MS"/>
      <family val="2"/>
    </font>
    <font>
      <sz val="10"/>
      <color theme="1"/>
      <name val="Arial"/>
      <family val="2"/>
    </font>
    <font>
      <sz val="10"/>
      <color indexed="60"/>
      <name val="Arial"/>
      <family val="2"/>
    </font>
    <font>
      <sz val="10"/>
      <color rgb="FF0070C0"/>
      <name val="Arial"/>
      <family val="2"/>
    </font>
    <font>
      <b/>
      <sz val="12"/>
      <name val="Trebuchet MS"/>
      <family val="2"/>
    </font>
    <font>
      <sz val="18"/>
      <name val="Trebuchet MS"/>
      <family val="2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sz val="8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name val="Arial"/>
      <family val="2"/>
    </font>
    <font>
      <sz val="18"/>
      <name val="Arial"/>
      <family val="2"/>
    </font>
    <font>
      <sz val="16"/>
      <name val="Arial"/>
      <family val="2"/>
    </font>
    <font>
      <sz val="11"/>
      <color theme="1"/>
      <name val="Arial"/>
      <family val="2"/>
    </font>
    <font>
      <sz val="9"/>
      <name val="Arial"/>
      <family val="2"/>
    </font>
    <font>
      <b/>
      <sz val="11"/>
      <color rgb="FFFF0000"/>
      <name val="Arial"/>
      <family val="2"/>
    </font>
    <font>
      <b/>
      <sz val="14"/>
      <name val="Arial"/>
      <family val="2"/>
    </font>
    <font>
      <b/>
      <sz val="9"/>
      <color indexed="10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1"/>
      <color theme="1"/>
      <name val="Arial"/>
      <family val="2"/>
    </font>
    <font>
      <sz val="9"/>
      <color rgb="FFFF0000"/>
      <name val="Arial"/>
      <family val="2"/>
    </font>
    <font>
      <b/>
      <u/>
      <sz val="8"/>
      <name val="Arial"/>
      <family val="2"/>
    </font>
    <font>
      <b/>
      <sz val="9"/>
      <color theme="1"/>
      <name val="Arial"/>
      <family val="2"/>
    </font>
    <font>
      <b/>
      <sz val="12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9"/>
      <color rgb="FFFF000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rgb="FFFF0000"/>
      <name val="Arial"/>
      <family val="2"/>
    </font>
    <font>
      <sz val="8"/>
      <name val="Arial"/>
      <family val="2"/>
    </font>
    <font>
      <sz val="8"/>
      <color rgb="FF4472C4"/>
      <name val="Arial"/>
      <family val="2"/>
    </font>
    <font>
      <sz val="8"/>
      <color rgb="FF333399"/>
      <name val="Arial"/>
      <family val="2"/>
    </font>
    <font>
      <sz val="8"/>
      <name val="Trebuchet MS"/>
      <family val="2"/>
    </font>
    <font>
      <sz val="8"/>
      <color theme="7" tint="-0.249977111117893"/>
      <name val="Trebuchet MS"/>
      <family val="2"/>
    </font>
    <font>
      <b/>
      <sz val="11"/>
      <color theme="6" tint="-0.499984740745262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u/>
      <sz val="12"/>
      <color theme="7" tint="-0.249977111117893"/>
      <name val="Trebuchet MS"/>
      <family val="2"/>
    </font>
    <font>
      <sz val="12"/>
      <color theme="7" tint="-0.249977111117893"/>
      <name val="Trebuchet MS"/>
      <family val="2"/>
    </font>
    <font>
      <sz val="11"/>
      <color rgb="FF9C5700"/>
      <name val="Calibri"/>
      <family val="2"/>
      <scheme val="minor"/>
    </font>
    <font>
      <sz val="12"/>
      <color rgb="FFFF0000"/>
      <name val="Arial"/>
      <family val="2"/>
    </font>
    <font>
      <b/>
      <sz val="13"/>
      <color rgb="FFFF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name val="Arial"/>
      <family val="2"/>
    </font>
    <font>
      <sz val="9"/>
      <color theme="1"/>
      <name val="Arial"/>
      <family val="2"/>
    </font>
    <font>
      <sz val="11"/>
      <color theme="3" tint="0.2499465926084170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9.9948118533890809E-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39"/>
      <color theme="3" tint="0.24994659260841701"/>
      <name val="Cambria"/>
      <family val="2"/>
      <scheme val="major"/>
    </font>
    <font>
      <sz val="10"/>
      <color theme="1" tint="0.34998626667073579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30"/>
      <color theme="1" tint="0.34998626667073579"/>
      <name val="Cambria"/>
      <family val="2"/>
      <scheme val="major"/>
    </font>
    <font>
      <u/>
      <sz val="11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7999816888943144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27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1" tint="0.34998626667073579"/>
        <bgColor indexed="64"/>
      </patternFill>
    </fill>
  </fills>
  <borders count="19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/>
      <top style="thin">
        <color auto="1"/>
      </top>
      <bottom style="thin">
        <color auto="1"/>
      </bottom>
      <diagonal style="thin">
        <color auto="1"/>
      </diagonal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</borders>
  <cellStyleXfs count="29">
    <xf numFmtId="0" fontId="0" fillId="0" borderId="0"/>
    <xf numFmtId="0" fontId="1" fillId="0" borderId="0"/>
    <xf numFmtId="0" fontId="17" fillId="0" borderId="0"/>
    <xf numFmtId="0" fontId="51" fillId="12" borderId="0" applyNumberFormat="0" applyBorder="0" applyAlignment="0" applyProtection="0"/>
    <xf numFmtId="0" fontId="57" fillId="0" borderId="0">
      <alignment vertical="top"/>
    </xf>
    <xf numFmtId="0" fontId="6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60" fillId="0" borderId="0" applyNumberFormat="0" applyFill="0" applyAlignment="0" applyProtection="0"/>
    <xf numFmtId="0" fontId="62" fillId="0" borderId="0"/>
    <xf numFmtId="0" fontId="58" fillId="14" borderId="0" applyNumberFormat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2" fillId="0" borderId="0"/>
    <xf numFmtId="0" fontId="17" fillId="0" borderId="0"/>
    <xf numFmtId="0" fontId="65" fillId="0" borderId="0" applyNumberFormat="0" applyFill="0" applyBorder="0" applyAlignment="0" applyProtection="0">
      <alignment vertical="top"/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3" borderId="0" applyNumberFormat="0" applyBorder="0" applyAlignment="0" applyProtection="0"/>
  </cellStyleXfs>
  <cellXfs count="549">
    <xf numFmtId="0" fontId="0" fillId="0" borderId="0" xfId="0"/>
    <xf numFmtId="0" fontId="18" fillId="0" borderId="0" xfId="0" applyFont="1" applyAlignment="1" applyProtection="1">
      <alignment vertical="center"/>
      <protection locked="0"/>
    </xf>
    <xf numFmtId="0" fontId="1" fillId="0" borderId="0" xfId="0" applyFont="1" applyProtection="1">
      <protection locked="0"/>
    </xf>
    <xf numFmtId="0" fontId="19" fillId="3" borderId="0" xfId="0" applyFont="1" applyFill="1" applyAlignment="1" applyProtection="1">
      <alignment vertical="center"/>
      <protection locked="0"/>
    </xf>
    <xf numFmtId="0" fontId="1" fillId="4" borderId="38" xfId="0" applyFont="1" applyFill="1" applyBorder="1" applyAlignment="1" applyProtection="1">
      <alignment horizontal="left" vertical="top"/>
      <protection locked="0"/>
    </xf>
    <xf numFmtId="0" fontId="1" fillId="4" borderId="0" xfId="0" applyFont="1" applyFill="1" applyAlignment="1" applyProtection="1">
      <alignment horizontal="left" vertical="top"/>
      <protection locked="0"/>
    </xf>
    <xf numFmtId="0" fontId="1" fillId="4" borderId="40" xfId="0" applyFont="1" applyFill="1" applyBorder="1" applyAlignment="1" applyProtection="1">
      <alignment horizontal="left" vertical="top"/>
      <protection locked="0"/>
    </xf>
    <xf numFmtId="1" fontId="26" fillId="0" borderId="0" xfId="0" applyNumberFormat="1" applyFont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1" fontId="26" fillId="6" borderId="0" xfId="0" applyNumberFormat="1" applyFont="1" applyFill="1" applyAlignment="1" applyProtection="1">
      <alignment horizontal="center" vertical="center"/>
      <protection locked="0"/>
    </xf>
    <xf numFmtId="1" fontId="14" fillId="9" borderId="65" xfId="0" applyNumberFormat="1" applyFont="1" applyFill="1" applyBorder="1" applyAlignment="1" applyProtection="1">
      <alignment horizontal="center" vertical="center"/>
      <protection hidden="1"/>
    </xf>
    <xf numFmtId="2" fontId="22" fillId="10" borderId="0" xfId="0" applyNumberFormat="1" applyFont="1" applyFill="1" applyAlignment="1" applyProtection="1">
      <alignment horizontal="center" vertical="center" wrapText="1"/>
      <protection locked="0"/>
    </xf>
    <xf numFmtId="1" fontId="22" fillId="10" borderId="0" xfId="0" applyNumberFormat="1" applyFont="1" applyFill="1" applyAlignment="1" applyProtection="1">
      <alignment horizontal="left" vertical="center"/>
      <protection locked="0"/>
    </xf>
    <xf numFmtId="0" fontId="22" fillId="10" borderId="0" xfId="0" applyFont="1" applyFill="1" applyAlignment="1" applyProtection="1">
      <alignment horizontal="center" vertical="center"/>
      <protection locked="0"/>
    </xf>
    <xf numFmtId="16" fontId="22" fillId="10" borderId="0" xfId="0" applyNumberFormat="1" applyFont="1" applyFill="1" applyAlignment="1" applyProtection="1">
      <alignment horizontal="center" vertical="center"/>
      <protection locked="0"/>
    </xf>
    <xf numFmtId="0" fontId="22" fillId="10" borderId="0" xfId="0" applyFont="1" applyFill="1" applyProtection="1">
      <protection locked="0"/>
    </xf>
    <xf numFmtId="0" fontId="1" fillId="6" borderId="0" xfId="0" applyFont="1" applyFill="1" applyAlignment="1" applyProtection="1">
      <alignment vertical="center"/>
      <protection locked="0"/>
    </xf>
    <xf numFmtId="0" fontId="22" fillId="0" borderId="0" xfId="0" applyFont="1" applyAlignment="1" applyProtection="1">
      <alignment wrapText="1"/>
      <protection locked="0"/>
    </xf>
    <xf numFmtId="0" fontId="22" fillId="0" borderId="0" xfId="0" applyFont="1" applyProtection="1">
      <protection locked="0"/>
    </xf>
    <xf numFmtId="0" fontId="20" fillId="4" borderId="37" xfId="0" applyFont="1" applyFill="1" applyBorder="1" applyAlignment="1" applyProtection="1">
      <alignment vertical="top"/>
      <protection locked="0"/>
    </xf>
    <xf numFmtId="1" fontId="14" fillId="9" borderId="6" xfId="0" applyNumberFormat="1" applyFont="1" applyFill="1" applyBorder="1" applyAlignment="1" applyProtection="1">
      <alignment horizontal="center" vertical="center"/>
      <protection hidden="1"/>
    </xf>
    <xf numFmtId="0" fontId="20" fillId="4" borderId="15" xfId="0" applyFont="1" applyFill="1" applyBorder="1" applyAlignment="1" applyProtection="1">
      <alignment vertical="top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1" fontId="25" fillId="4" borderId="74" xfId="0" applyNumberFormat="1" applyFont="1" applyFill="1" applyBorder="1" applyAlignment="1" applyProtection="1">
      <alignment horizontal="center" vertical="center"/>
      <protection locked="0"/>
    </xf>
    <xf numFmtId="1" fontId="25" fillId="5" borderId="60" xfId="0" applyNumberFormat="1" applyFont="1" applyFill="1" applyBorder="1" applyAlignment="1" applyProtection="1">
      <alignment horizontal="center" vertical="center"/>
      <protection locked="0"/>
    </xf>
    <xf numFmtId="1" fontId="14" fillId="9" borderId="62" xfId="0" applyNumberFormat="1" applyFont="1" applyFill="1" applyBorder="1" applyAlignment="1" applyProtection="1">
      <alignment horizontal="center" vertical="center"/>
      <protection hidden="1"/>
    </xf>
    <xf numFmtId="1" fontId="25" fillId="4" borderId="6" xfId="0" applyNumberFormat="1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left" vertical="top"/>
      <protection locked="0"/>
    </xf>
    <xf numFmtId="0" fontId="14" fillId="6" borderId="59" xfId="0" applyFont="1" applyFill="1" applyBorder="1" applyAlignment="1" applyProtection="1">
      <alignment horizontal="center" vertical="center"/>
      <protection locked="0"/>
    </xf>
    <xf numFmtId="1" fontId="14" fillId="9" borderId="52" xfId="0" applyNumberFormat="1" applyFont="1" applyFill="1" applyBorder="1" applyAlignment="1" applyProtection="1">
      <alignment horizontal="center" vertical="center"/>
      <protection hidden="1"/>
    </xf>
    <xf numFmtId="1" fontId="27" fillId="0" borderId="0" xfId="0" applyNumberFormat="1" applyFont="1" applyBorder="1" applyAlignment="1" applyProtection="1">
      <alignment horizontal="center" vertical="center"/>
      <protection locked="0"/>
    </xf>
    <xf numFmtId="164" fontId="26" fillId="0" borderId="0" xfId="0" applyNumberFormat="1" applyFont="1" applyBorder="1" applyAlignment="1" applyProtection="1">
      <alignment horizontal="center" vertical="center"/>
      <protection locked="0"/>
    </xf>
    <xf numFmtId="165" fontId="27" fillId="0" borderId="0" xfId="0" applyNumberFormat="1" applyFont="1" applyBorder="1" applyAlignment="1" applyProtection="1">
      <alignment horizontal="center" vertical="center"/>
      <protection locked="0"/>
    </xf>
    <xf numFmtId="0" fontId="23" fillId="6" borderId="73" xfId="0" applyFont="1" applyFill="1" applyBorder="1" applyAlignment="1" applyProtection="1">
      <alignment horizontal="center" vertical="center"/>
      <protection locked="0"/>
    </xf>
    <xf numFmtId="0" fontId="23" fillId="6" borderId="9" xfId="0" applyFont="1" applyFill="1" applyBorder="1" applyAlignment="1" applyProtection="1">
      <alignment horizontal="center"/>
      <protection locked="0"/>
    </xf>
    <xf numFmtId="1" fontId="31" fillId="0" borderId="0" xfId="0" applyNumberFormat="1" applyFont="1" applyBorder="1" applyAlignment="1" applyProtection="1">
      <alignment horizontal="center" vertical="center"/>
      <protection locked="0"/>
    </xf>
    <xf numFmtId="0" fontId="19" fillId="3" borderId="24" xfId="0" applyFont="1" applyFill="1" applyBorder="1" applyAlignment="1" applyProtection="1">
      <alignment vertical="center"/>
      <protection locked="0"/>
    </xf>
    <xf numFmtId="0" fontId="19" fillId="3" borderId="0" xfId="0" applyFont="1" applyFill="1" applyBorder="1" applyAlignment="1" applyProtection="1">
      <alignment vertical="center"/>
      <protection locked="0"/>
    </xf>
    <xf numFmtId="0" fontId="19" fillId="3" borderId="67" xfId="0" applyFont="1" applyFill="1" applyBorder="1" applyAlignment="1" applyProtection="1">
      <alignment vertical="center"/>
      <protection locked="0"/>
    </xf>
    <xf numFmtId="0" fontId="18" fillId="0" borderId="67" xfId="0" applyFont="1" applyBorder="1" applyAlignment="1" applyProtection="1">
      <alignment vertical="center"/>
      <protection locked="0"/>
    </xf>
    <xf numFmtId="0" fontId="23" fillId="6" borderId="7" xfId="0" applyFont="1" applyFill="1" applyBorder="1" applyAlignment="1" applyProtection="1">
      <alignment horizontal="center" vertical="center"/>
      <protection locked="0"/>
    </xf>
    <xf numFmtId="0" fontId="23" fillId="6" borderId="9" xfId="0" applyFont="1" applyFill="1" applyBorder="1" applyAlignment="1" applyProtection="1">
      <alignment horizontal="center" vertical="center"/>
      <protection locked="0"/>
    </xf>
    <xf numFmtId="0" fontId="23" fillId="6" borderId="6" xfId="0" applyFont="1" applyFill="1" applyBorder="1" applyAlignment="1" applyProtection="1">
      <alignment horizontal="center" vertical="center"/>
      <protection locked="0"/>
    </xf>
    <xf numFmtId="1" fontId="32" fillId="5" borderId="45" xfId="0" applyNumberFormat="1" applyFont="1" applyFill="1" applyBorder="1" applyAlignment="1" applyProtection="1">
      <alignment horizontal="center" vertical="center"/>
      <protection locked="0"/>
    </xf>
    <xf numFmtId="1" fontId="25" fillId="5" borderId="73" xfId="0" applyNumberFormat="1" applyFont="1" applyFill="1" applyBorder="1" applyAlignment="1" applyProtection="1">
      <alignment horizontal="center" vertical="center"/>
      <protection locked="0"/>
    </xf>
    <xf numFmtId="1" fontId="25" fillId="5" borderId="93" xfId="0" applyNumberFormat="1" applyFont="1" applyFill="1" applyBorder="1" applyAlignment="1" applyProtection="1">
      <alignment horizontal="center" vertical="center"/>
      <protection locked="0"/>
    </xf>
    <xf numFmtId="1" fontId="34" fillId="4" borderId="76" xfId="0" applyNumberFormat="1" applyFont="1" applyFill="1" applyBorder="1" applyAlignment="1" applyProtection="1">
      <alignment horizontal="center" vertical="center" wrapText="1"/>
      <protection locked="0"/>
    </xf>
    <xf numFmtId="1" fontId="25" fillId="5" borderId="96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6" borderId="0" xfId="0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" fontId="14" fillId="0" borderId="80" xfId="0" applyNumberFormat="1" applyFont="1" applyFill="1" applyBorder="1" applyAlignment="1" applyProtection="1">
      <alignment horizontal="center" vertical="center" wrapText="1"/>
    </xf>
    <xf numFmtId="1" fontId="14" fillId="10" borderId="80" xfId="0" applyNumberFormat="1" applyFont="1" applyFill="1" applyBorder="1" applyAlignment="1" applyProtection="1">
      <alignment horizontal="center" vertical="center" wrapText="1"/>
    </xf>
    <xf numFmtId="1" fontId="23" fillId="6" borderId="7" xfId="0" applyNumberFormat="1" applyFont="1" applyFill="1" applyBorder="1" applyAlignment="1" applyProtection="1">
      <alignment horizontal="center" vertical="center"/>
      <protection locked="0" hidden="1"/>
    </xf>
    <xf numFmtId="1" fontId="23" fillId="6" borderId="9" xfId="0" applyNumberFormat="1" applyFont="1" applyFill="1" applyBorder="1" applyAlignment="1" applyProtection="1">
      <alignment horizontal="center" vertical="center"/>
      <protection locked="0" hidden="1"/>
    </xf>
    <xf numFmtId="1" fontId="30" fillId="6" borderId="14" xfId="0" applyNumberFormat="1" applyFont="1" applyFill="1" applyBorder="1" applyAlignment="1" applyProtection="1">
      <alignment horizontal="center" vertical="center"/>
      <protection locked="0" hidden="1"/>
    </xf>
    <xf numFmtId="1" fontId="23" fillId="6" borderId="14" xfId="0" applyNumberFormat="1" applyFont="1" applyFill="1" applyBorder="1" applyAlignment="1" applyProtection="1">
      <alignment horizontal="center" vertical="center"/>
      <protection hidden="1"/>
    </xf>
    <xf numFmtId="0" fontId="23" fillId="6" borderId="6" xfId="0" applyFont="1" applyFill="1" applyBorder="1" applyAlignment="1" applyProtection="1">
      <alignment horizontal="center" vertical="center"/>
    </xf>
    <xf numFmtId="1" fontId="23" fillId="6" borderId="6" xfId="0" applyNumberFormat="1" applyFont="1" applyFill="1" applyBorder="1" applyAlignment="1" applyProtection="1">
      <alignment horizontal="center" vertical="center"/>
      <protection hidden="1"/>
    </xf>
    <xf numFmtId="2" fontId="4" fillId="0" borderId="0" xfId="0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5" fillId="0" borderId="0" xfId="0" applyNumberFormat="1" applyFont="1" applyFill="1" applyBorder="1" applyProtection="1">
      <protection locked="0"/>
    </xf>
    <xf numFmtId="2" fontId="3" fillId="0" borderId="0" xfId="0" applyNumberFormat="1" applyFont="1" applyProtection="1">
      <protection locked="0"/>
    </xf>
    <xf numFmtId="2" fontId="4" fillId="0" borderId="0" xfId="0" applyNumberFormat="1" applyFont="1" applyFill="1" applyBorder="1" applyProtection="1">
      <protection locked="0"/>
    </xf>
    <xf numFmtId="2" fontId="11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Protection="1">
      <protection locked="0"/>
    </xf>
    <xf numFmtId="2" fontId="6" fillId="0" borderId="0" xfId="0" applyNumberFormat="1" applyFont="1" applyFill="1" applyBorder="1" applyAlignment="1" applyProtection="1">
      <alignment horizontal="left"/>
      <protection locked="0"/>
    </xf>
    <xf numFmtId="2" fontId="6" fillId="0" borderId="0" xfId="0" applyNumberFormat="1" applyFont="1" applyBorder="1" applyProtection="1">
      <protection locked="0"/>
    </xf>
    <xf numFmtId="2" fontId="6" fillId="0" borderId="0" xfId="0" applyNumberFormat="1" applyFont="1" applyBorder="1" applyAlignment="1" applyProtection="1">
      <alignment horizontal="left"/>
      <protection locked="0"/>
    </xf>
    <xf numFmtId="2" fontId="6" fillId="0" borderId="0" xfId="0" applyNumberFormat="1" applyFont="1" applyBorder="1" applyAlignment="1" applyProtection="1">
      <alignment horizontal="center"/>
      <protection locked="0"/>
    </xf>
    <xf numFmtId="2" fontId="10" fillId="0" borderId="0" xfId="0" applyNumberFormat="1" applyFont="1" applyBorder="1" applyProtection="1">
      <protection locked="0"/>
    </xf>
    <xf numFmtId="2" fontId="1" fillId="0" borderId="0" xfId="0" applyNumberFormat="1" applyFont="1" applyBorder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7" fillId="0" borderId="0" xfId="0" applyNumberFormat="1" applyFont="1" applyProtection="1">
      <protection locked="0"/>
    </xf>
    <xf numFmtId="2" fontId="8" fillId="2" borderId="12" xfId="0" applyNumberFormat="1" applyFont="1" applyFill="1" applyBorder="1" applyAlignment="1" applyProtection="1">
      <alignment vertical="top" wrapText="1"/>
      <protection locked="0"/>
    </xf>
    <xf numFmtId="2" fontId="8" fillId="2" borderId="0" xfId="0" applyNumberFormat="1" applyFont="1" applyFill="1" applyBorder="1" applyAlignment="1" applyProtection="1">
      <alignment vertical="top" wrapText="1"/>
      <protection locked="0"/>
    </xf>
    <xf numFmtId="2" fontId="9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9" fillId="2" borderId="0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7" fillId="10" borderId="78" xfId="0" applyNumberFormat="1" applyFont="1" applyFill="1" applyBorder="1" applyAlignment="1" applyProtection="1">
      <alignment horizontal="center"/>
      <protection locked="0"/>
    </xf>
    <xf numFmtId="1" fontId="7" fillId="0" borderId="11" xfId="0" applyNumberFormat="1" applyFont="1" applyBorder="1" applyAlignment="1" applyProtection="1">
      <alignment horizontal="center"/>
      <protection locked="0"/>
    </xf>
    <xf numFmtId="1" fontId="7" fillId="10" borderId="11" xfId="0" applyNumberFormat="1" applyFont="1" applyFill="1" applyBorder="1" applyAlignment="1" applyProtection="1">
      <alignment horizontal="center"/>
      <protection locked="0"/>
    </xf>
    <xf numFmtId="2" fontId="35" fillId="0" borderId="0" xfId="0" applyNumberFormat="1" applyFont="1" applyProtection="1">
      <protection locked="0"/>
    </xf>
    <xf numFmtId="1" fontId="7" fillId="10" borderId="116" xfId="0" applyNumberFormat="1" applyFont="1" applyFill="1" applyBorder="1" applyAlignment="1" applyProtection="1">
      <alignment horizontal="center"/>
      <protection locked="0"/>
    </xf>
    <xf numFmtId="1" fontId="14" fillId="10" borderId="119" xfId="0" applyNumberFormat="1" applyFont="1" applyFill="1" applyBorder="1" applyAlignment="1" applyProtection="1">
      <alignment horizontal="center" vertical="center" wrapText="1"/>
    </xf>
    <xf numFmtId="1" fontId="7" fillId="10" borderId="101" xfId="0" applyNumberFormat="1" applyFont="1" applyFill="1" applyBorder="1" applyAlignment="1" applyProtection="1">
      <alignment horizontal="center"/>
      <protection locked="0"/>
    </xf>
    <xf numFmtId="1" fontId="14" fillId="10" borderId="123" xfId="0" applyNumberFormat="1" applyFont="1" applyFill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/>
      <protection locked="0"/>
    </xf>
    <xf numFmtId="1" fontId="14" fillId="0" borderId="127" xfId="0" applyNumberFormat="1" applyFont="1" applyFill="1" applyBorder="1" applyAlignment="1" applyProtection="1">
      <alignment horizontal="center" vertical="center" wrapText="1"/>
    </xf>
    <xf numFmtId="0" fontId="28" fillId="7" borderId="49" xfId="0" applyFont="1" applyFill="1" applyBorder="1" applyAlignment="1" applyProtection="1">
      <alignment horizontal="center" vertical="center"/>
      <protection hidden="1"/>
    </xf>
    <xf numFmtId="0" fontId="28" fillId="3" borderId="49" xfId="0" applyFont="1" applyFill="1" applyBorder="1" applyAlignment="1" applyProtection="1">
      <alignment horizontal="center" vertical="center"/>
      <protection hidden="1"/>
    </xf>
    <xf numFmtId="0" fontId="28" fillId="7" borderId="70" xfId="0" applyFont="1" applyFill="1" applyBorder="1" applyAlignment="1" applyProtection="1">
      <alignment horizontal="center" vertical="center"/>
      <protection hidden="1"/>
    </xf>
    <xf numFmtId="0" fontId="28" fillId="3" borderId="59" xfId="0" applyFont="1" applyFill="1" applyBorder="1" applyAlignment="1" applyProtection="1">
      <alignment horizontal="center" vertical="center"/>
      <protection hidden="1"/>
    </xf>
    <xf numFmtId="1" fontId="1" fillId="8" borderId="50" xfId="0" applyNumberFormat="1" applyFont="1" applyFill="1" applyBorder="1" applyAlignment="1" applyProtection="1">
      <alignment horizontal="center" vertical="center"/>
      <protection locked="0"/>
    </xf>
    <xf numFmtId="1" fontId="1" fillId="8" borderId="51" xfId="0" applyNumberFormat="1" applyFont="1" applyFill="1" applyBorder="1" applyAlignment="1" applyProtection="1">
      <alignment horizontal="center" vertical="center"/>
      <protection locked="0"/>
    </xf>
    <xf numFmtId="1" fontId="1" fillId="5" borderId="66" xfId="0" applyNumberFormat="1" applyFont="1" applyFill="1" applyBorder="1" applyAlignment="1" applyProtection="1">
      <alignment horizontal="center" vertical="center"/>
      <protection locked="0"/>
    </xf>
    <xf numFmtId="1" fontId="1" fillId="5" borderId="67" xfId="0" applyNumberFormat="1" applyFont="1" applyFill="1" applyBorder="1" applyAlignment="1" applyProtection="1">
      <alignment horizontal="center" vertical="center"/>
      <protection locked="0"/>
    </xf>
    <xf numFmtId="1" fontId="1" fillId="5" borderId="68" xfId="0" applyNumberFormat="1" applyFont="1" applyFill="1" applyBorder="1" applyAlignment="1" applyProtection="1">
      <alignment horizontal="center" vertical="center"/>
      <protection locked="0"/>
    </xf>
    <xf numFmtId="1" fontId="1" fillId="5" borderId="77" xfId="0" applyNumberFormat="1" applyFont="1" applyFill="1" applyBorder="1" applyAlignment="1" applyProtection="1">
      <alignment horizontal="center" vertical="center"/>
      <protection locked="0"/>
    </xf>
    <xf numFmtId="1" fontId="1" fillId="8" borderId="54" xfId="0" applyNumberFormat="1" applyFont="1" applyFill="1" applyBorder="1" applyAlignment="1" applyProtection="1">
      <alignment horizontal="center" vertical="center"/>
      <protection locked="0"/>
    </xf>
    <xf numFmtId="1" fontId="1" fillId="10" borderId="55" xfId="0" applyNumberFormat="1" applyFont="1" applyFill="1" applyBorder="1" applyAlignment="1" applyProtection="1">
      <alignment horizontal="center" vertical="center"/>
      <protection locked="0"/>
    </xf>
    <xf numFmtId="1" fontId="1" fillId="10" borderId="47" xfId="0" applyNumberFormat="1" applyFont="1" applyFill="1" applyBorder="1" applyAlignment="1" applyProtection="1">
      <alignment horizontal="center" vertical="center"/>
      <protection locked="0"/>
    </xf>
    <xf numFmtId="1" fontId="1" fillId="5" borderId="54" xfId="0" applyNumberFormat="1" applyFont="1" applyFill="1" applyBorder="1" applyAlignment="1" applyProtection="1">
      <alignment horizontal="center" vertical="center"/>
      <protection locked="0"/>
    </xf>
    <xf numFmtId="1" fontId="1" fillId="5" borderId="55" xfId="0" applyNumberFormat="1" applyFont="1" applyFill="1" applyBorder="1" applyAlignment="1" applyProtection="1">
      <alignment horizontal="center" vertical="center"/>
      <protection locked="0"/>
    </xf>
    <xf numFmtId="1" fontId="1" fillId="5" borderId="47" xfId="0" applyNumberFormat="1" applyFont="1" applyFill="1" applyBorder="1" applyAlignment="1" applyProtection="1">
      <alignment horizontal="center" vertical="center"/>
      <protection locked="0"/>
    </xf>
    <xf numFmtId="1" fontId="1" fillId="0" borderId="55" xfId="0" applyNumberFormat="1" applyFont="1" applyBorder="1" applyAlignment="1" applyProtection="1">
      <alignment horizontal="center" vertical="center"/>
      <protection locked="0"/>
    </xf>
    <xf numFmtId="1" fontId="1" fillId="10" borderId="54" xfId="0" applyNumberFormat="1" applyFont="1" applyFill="1" applyBorder="1" applyAlignment="1" applyProtection="1">
      <alignment horizontal="center" vertical="center"/>
      <protection locked="0"/>
    </xf>
    <xf numFmtId="1" fontId="1" fillId="3" borderId="54" xfId="0" applyNumberFormat="1" applyFont="1" applyFill="1" applyBorder="1" applyAlignment="1" applyProtection="1">
      <alignment horizontal="center" vertical="center"/>
      <protection locked="0"/>
    </xf>
    <xf numFmtId="1" fontId="1" fillId="3" borderId="55" xfId="0" applyNumberFormat="1" applyFont="1" applyFill="1" applyBorder="1" applyAlignment="1" applyProtection="1">
      <alignment horizontal="center" vertical="center"/>
      <protection locked="0"/>
    </xf>
    <xf numFmtId="1" fontId="1" fillId="3" borderId="47" xfId="0" applyNumberFormat="1" applyFont="1" applyFill="1" applyBorder="1" applyAlignment="1" applyProtection="1">
      <alignment horizontal="center" vertical="center"/>
      <protection locked="0"/>
    </xf>
    <xf numFmtId="1" fontId="1" fillId="10" borderId="66" xfId="0" applyNumberFormat="1" applyFont="1" applyFill="1" applyBorder="1" applyAlignment="1" applyProtection="1">
      <alignment horizontal="center" vertical="center"/>
      <protection locked="0"/>
    </xf>
    <xf numFmtId="1" fontId="1" fillId="10" borderId="67" xfId="0" applyNumberFormat="1" applyFont="1" applyFill="1" applyBorder="1" applyAlignment="1" applyProtection="1">
      <alignment horizontal="center" vertical="center"/>
      <protection locked="0"/>
    </xf>
    <xf numFmtId="1" fontId="1" fillId="8" borderId="77" xfId="0" applyNumberFormat="1" applyFont="1" applyFill="1" applyBorder="1" applyAlignment="1" applyProtection="1">
      <alignment horizontal="center" vertical="center"/>
      <protection locked="0"/>
    </xf>
    <xf numFmtId="1" fontId="1" fillId="8" borderId="63" xfId="0" applyNumberFormat="1" applyFont="1" applyFill="1" applyBorder="1" applyAlignment="1" applyProtection="1">
      <alignment horizontal="center" vertical="center"/>
      <protection locked="0"/>
    </xf>
    <xf numFmtId="1" fontId="1" fillId="8" borderId="64" xfId="0" applyNumberFormat="1" applyFont="1" applyFill="1" applyBorder="1" applyAlignment="1" applyProtection="1">
      <alignment horizontal="center" vertical="center"/>
      <protection locked="0"/>
    </xf>
    <xf numFmtId="1" fontId="1" fillId="5" borderId="71" xfId="0" applyNumberFormat="1" applyFont="1" applyFill="1" applyBorder="1" applyAlignment="1" applyProtection="1">
      <alignment horizontal="center" vertical="center"/>
      <protection locked="0"/>
    </xf>
    <xf numFmtId="1" fontId="2" fillId="0" borderId="5" xfId="0" applyNumberFormat="1" applyFont="1" applyBorder="1" applyAlignment="1" applyProtection="1">
      <alignment horizontal="center" vertical="center"/>
    </xf>
    <xf numFmtId="164" fontId="2" fillId="0" borderId="6" xfId="0" applyNumberFormat="1" applyFont="1" applyBorder="1" applyAlignment="1" applyProtection="1">
      <alignment horizontal="center" vertical="center"/>
    </xf>
    <xf numFmtId="165" fontId="2" fillId="0" borderId="6" xfId="0" applyNumberFormat="1" applyFont="1" applyBorder="1" applyAlignment="1" applyProtection="1">
      <alignment horizontal="center" vertical="center"/>
    </xf>
    <xf numFmtId="1" fontId="1" fillId="5" borderId="59" xfId="0" applyNumberFormat="1" applyFont="1" applyFill="1" applyBorder="1" applyAlignment="1" applyProtection="1">
      <alignment horizontal="center" vertical="center"/>
      <protection locked="0"/>
    </xf>
    <xf numFmtId="1" fontId="1" fillId="5" borderId="60" xfId="0" applyNumberFormat="1" applyFont="1" applyFill="1" applyBorder="1" applyAlignment="1" applyProtection="1">
      <alignment horizontal="center" vertical="center"/>
      <protection locked="0"/>
    </xf>
    <xf numFmtId="1" fontId="1" fillId="8" borderId="128" xfId="0" applyNumberFormat="1" applyFont="1" applyFill="1" applyBorder="1" applyAlignment="1" applyProtection="1">
      <alignment horizontal="center" vertical="center"/>
      <protection locked="0"/>
    </xf>
    <xf numFmtId="1" fontId="1" fillId="5" borderId="75" xfId="0" applyNumberFormat="1" applyFont="1" applyFill="1" applyBorder="1" applyAlignment="1" applyProtection="1">
      <alignment horizontal="center" vertical="center"/>
      <protection locked="0"/>
    </xf>
    <xf numFmtId="1" fontId="1" fillId="10" borderId="75" xfId="0" applyNumberFormat="1" applyFont="1" applyFill="1" applyBorder="1" applyAlignment="1" applyProtection="1">
      <alignment horizontal="center" vertical="center"/>
      <protection locked="0"/>
    </xf>
    <xf numFmtId="1" fontId="1" fillId="3" borderId="75" xfId="0" applyNumberFormat="1" applyFont="1" applyFill="1" applyBorder="1" applyAlignment="1" applyProtection="1">
      <alignment horizontal="center" vertical="center"/>
      <protection locked="0"/>
    </xf>
    <xf numFmtId="1" fontId="32" fillId="5" borderId="70" xfId="0" applyNumberFormat="1" applyFont="1" applyFill="1" applyBorder="1" applyAlignment="1" applyProtection="1">
      <alignment horizontal="center" vertical="center"/>
      <protection locked="0"/>
    </xf>
    <xf numFmtId="1" fontId="32" fillId="5" borderId="94" xfId="0" applyNumberFormat="1" applyFont="1" applyFill="1" applyBorder="1" applyAlignment="1" applyProtection="1">
      <alignment horizontal="center" vertical="center"/>
      <protection locked="0"/>
    </xf>
    <xf numFmtId="1" fontId="32" fillId="3" borderId="95" xfId="0" applyNumberFormat="1" applyFont="1" applyFill="1" applyBorder="1" applyAlignment="1" applyProtection="1">
      <alignment horizontal="center" vertical="center"/>
      <protection locked="0"/>
    </xf>
    <xf numFmtId="1" fontId="1" fillId="8" borderId="49" xfId="0" applyNumberFormat="1" applyFont="1" applyFill="1" applyBorder="1" applyAlignment="1" applyProtection="1">
      <alignment horizontal="center" vertical="center"/>
      <protection locked="0"/>
    </xf>
    <xf numFmtId="0" fontId="37" fillId="10" borderId="79" xfId="0" applyFont="1" applyFill="1" applyBorder="1" applyAlignment="1" applyProtection="1">
      <alignment horizontal="left" wrapText="1"/>
      <protection locked="0"/>
    </xf>
    <xf numFmtId="0" fontId="37" fillId="0" borderId="44" xfId="0" applyFont="1" applyBorder="1" applyAlignment="1" applyProtection="1">
      <alignment horizontal="left" wrapText="1"/>
      <protection locked="0"/>
    </xf>
    <xf numFmtId="0" fontId="37" fillId="10" borderId="44" xfId="0" applyFont="1" applyFill="1" applyBorder="1" applyAlignment="1" applyProtection="1">
      <alignment horizontal="left" wrapText="1"/>
      <protection locked="0"/>
    </xf>
    <xf numFmtId="2" fontId="37" fillId="0" borderId="44" xfId="0" applyNumberFormat="1" applyFont="1" applyBorder="1" applyAlignment="1" applyProtection="1">
      <alignment horizontal="left" wrapText="1"/>
      <protection locked="0"/>
    </xf>
    <xf numFmtId="2" fontId="37" fillId="10" borderId="121" xfId="0" applyNumberFormat="1" applyFont="1" applyFill="1" applyBorder="1" applyAlignment="1" applyProtection="1">
      <alignment horizontal="left" wrapText="1"/>
      <protection locked="0"/>
    </xf>
    <xf numFmtId="2" fontId="38" fillId="0" borderId="0" xfId="0" applyNumberFormat="1" applyFont="1" applyProtection="1">
      <protection locked="0"/>
    </xf>
    <xf numFmtId="2" fontId="40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32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78" xfId="0" applyNumberFormat="1" applyFont="1" applyFill="1" applyBorder="1" applyAlignment="1" applyProtection="1">
      <alignment horizontal="center" vertical="center" wrapText="1"/>
    </xf>
    <xf numFmtId="1" fontId="41" fillId="0" borderId="11" xfId="0" applyNumberFormat="1" applyFont="1" applyBorder="1" applyAlignment="1" applyProtection="1">
      <alignment horizontal="center" vertical="center"/>
    </xf>
    <xf numFmtId="1" fontId="41" fillId="10" borderId="11" xfId="0" applyNumberFormat="1" applyFont="1" applyFill="1" applyBorder="1" applyAlignment="1" applyProtection="1">
      <alignment horizontal="center" vertical="center"/>
    </xf>
    <xf numFmtId="1" fontId="41" fillId="10" borderId="116" xfId="0" applyNumberFormat="1" applyFont="1" applyFill="1" applyBorder="1" applyAlignment="1" applyProtection="1">
      <alignment horizontal="center" vertical="center"/>
    </xf>
    <xf numFmtId="1" fontId="41" fillId="10" borderId="101" xfId="0" applyNumberFormat="1" applyFont="1" applyFill="1" applyBorder="1" applyAlignment="1" applyProtection="1">
      <alignment horizontal="center" vertical="center"/>
    </xf>
    <xf numFmtId="2" fontId="41" fillId="2" borderId="41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43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36" xfId="0" applyNumberFormat="1" applyFont="1" applyFill="1" applyBorder="1" applyAlignment="1" applyProtection="1">
      <alignment horizontal="center" vertical="center" wrapText="1"/>
      <protection locked="0"/>
    </xf>
    <xf numFmtId="1" fontId="41" fillId="0" borderId="11" xfId="0" applyNumberFormat="1" applyFont="1" applyBorder="1" applyAlignment="1" applyProtection="1">
      <alignment horizontal="center" vertical="center" wrapText="1"/>
    </xf>
    <xf numFmtId="1" fontId="41" fillId="10" borderId="11" xfId="0" applyNumberFormat="1" applyFont="1" applyFill="1" applyBorder="1" applyAlignment="1" applyProtection="1">
      <alignment horizontal="center" vertical="center" wrapText="1"/>
    </xf>
    <xf numFmtId="1" fontId="41" fillId="10" borderId="116" xfId="0" applyNumberFormat="1" applyFont="1" applyFill="1" applyBorder="1" applyAlignment="1" applyProtection="1">
      <alignment horizontal="center" vertical="center" wrapText="1"/>
    </xf>
    <xf numFmtId="1" fontId="41" fillId="10" borderId="101" xfId="0" applyNumberFormat="1" applyFont="1" applyFill="1" applyBorder="1" applyAlignment="1" applyProtection="1">
      <alignment horizontal="center" vertical="center" wrapText="1"/>
    </xf>
    <xf numFmtId="2" fontId="40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40" fillId="2" borderId="14" xfId="0" applyNumberFormat="1" applyFont="1" applyFill="1" applyBorder="1" applyAlignment="1" applyProtection="1">
      <alignment horizontal="center" vertical="center" wrapText="1"/>
      <protection locked="0"/>
    </xf>
    <xf numFmtId="2" fontId="40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45" fillId="0" borderId="0" xfId="0" applyNumberFormat="1" applyFont="1" applyFill="1" applyBorder="1" applyProtection="1">
      <protection locked="0"/>
    </xf>
    <xf numFmtId="2" fontId="44" fillId="0" borderId="0" xfId="0" applyNumberFormat="1" applyFont="1" applyFill="1" applyBorder="1" applyAlignment="1" applyProtection="1">
      <alignment horizontal="left"/>
      <protection locked="0"/>
    </xf>
    <xf numFmtId="2" fontId="16" fillId="0" borderId="0" xfId="0" applyNumberFormat="1" applyFont="1" applyProtection="1"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1" fontId="14" fillId="10" borderId="31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8" xfId="0" applyNumberFormat="1" applyFont="1" applyBorder="1" applyAlignment="1" applyProtection="1">
      <alignment horizontal="center" vertical="center" wrapText="1"/>
      <protection locked="0"/>
    </xf>
    <xf numFmtId="1" fontId="14" fillId="10" borderId="28" xfId="0" applyNumberFormat="1" applyFont="1" applyFill="1" applyBorder="1" applyAlignment="1" applyProtection="1">
      <alignment horizontal="center" vertical="center" wrapText="1"/>
      <protection locked="0"/>
    </xf>
    <xf numFmtId="1" fontId="23" fillId="0" borderId="28" xfId="0" applyNumberFormat="1" applyFont="1" applyBorder="1" applyAlignment="1" applyProtection="1">
      <alignment horizontal="center" vertical="center" wrapText="1"/>
      <protection locked="0"/>
    </xf>
    <xf numFmtId="1" fontId="46" fillId="0" borderId="28" xfId="0" applyNumberFormat="1" applyFont="1" applyBorder="1" applyAlignment="1" applyProtection="1">
      <alignment horizontal="center" vertical="center" wrapText="1"/>
      <protection locked="0"/>
    </xf>
    <xf numFmtId="1" fontId="23" fillId="10" borderId="28" xfId="0" applyNumberFormat="1" applyFont="1" applyFill="1" applyBorder="1" applyAlignment="1" applyProtection="1">
      <alignment horizontal="center" vertical="center" wrapText="1"/>
      <protection locked="0"/>
    </xf>
    <xf numFmtId="1" fontId="46" fillId="10" borderId="28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132" xfId="0" applyNumberFormat="1" applyFont="1" applyFill="1" applyBorder="1" applyAlignment="1" applyProtection="1">
      <alignment horizontal="center" vertical="center" wrapText="1"/>
      <protection locked="0"/>
    </xf>
    <xf numFmtId="1" fontId="13" fillId="0" borderId="28" xfId="0" applyNumberFormat="1" applyFont="1" applyFill="1" applyBorder="1" applyAlignment="1" applyProtection="1">
      <alignment horizontal="center" vertical="center" wrapText="1"/>
      <protection locked="0"/>
    </xf>
    <xf numFmtId="1" fontId="13" fillId="10" borderId="42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85" xfId="0" applyNumberFormat="1" applyFont="1" applyFill="1" applyBorder="1" applyAlignment="1" applyProtection="1">
      <alignment horizontal="center" vertical="center" wrapText="1"/>
    </xf>
    <xf numFmtId="1" fontId="14" fillId="0" borderId="86" xfId="0" applyNumberFormat="1" applyFont="1" applyFill="1" applyBorder="1" applyAlignment="1" applyProtection="1">
      <alignment horizontal="center" vertical="center" wrapText="1"/>
    </xf>
    <xf numFmtId="1" fontId="14" fillId="10" borderId="86" xfId="0" applyNumberFormat="1" applyFont="1" applyFill="1" applyBorder="1" applyAlignment="1" applyProtection="1">
      <alignment horizontal="center" vertical="center" wrapText="1"/>
    </xf>
    <xf numFmtId="1" fontId="14" fillId="10" borderId="118" xfId="0" applyNumberFormat="1" applyFont="1" applyFill="1" applyBorder="1" applyAlignment="1" applyProtection="1">
      <alignment horizontal="center" vertical="center" wrapText="1"/>
    </xf>
    <xf numFmtId="1" fontId="14" fillId="0" borderId="29" xfId="0" applyNumberFormat="1" applyFont="1" applyFill="1" applyBorder="1" applyAlignment="1" applyProtection="1">
      <alignment horizontal="center" vertical="center" wrapText="1"/>
    </xf>
    <xf numFmtId="1" fontId="14" fillId="10" borderId="122" xfId="0" applyNumberFormat="1" applyFont="1" applyFill="1" applyBorder="1" applyAlignment="1" applyProtection="1">
      <alignment horizontal="center" vertical="center" wrapText="1"/>
    </xf>
    <xf numFmtId="1" fontId="47" fillId="10" borderId="129" xfId="0" applyNumberFormat="1" applyFont="1" applyFill="1" applyBorder="1" applyAlignment="1" applyProtection="1">
      <alignment horizontal="center" vertical="center" wrapText="1"/>
      <protection locked="0"/>
    </xf>
    <xf numFmtId="1" fontId="47" fillId="0" borderId="10" xfId="0" applyNumberFormat="1" applyFont="1" applyBorder="1" applyAlignment="1" applyProtection="1">
      <alignment horizontal="center" vertical="center" wrapText="1"/>
      <protection locked="0"/>
    </xf>
    <xf numFmtId="1" fontId="47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84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8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83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20" xfId="0" applyNumberFormat="1" applyFont="1" applyFill="1" applyBorder="1" applyAlignment="1" applyProtection="1">
      <alignment horizontal="center" vertical="center" wrapText="1"/>
      <protection locked="0"/>
    </xf>
    <xf numFmtId="1" fontId="2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2" fillId="10" borderId="124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6" xfId="0" applyNumberFormat="1" applyFont="1" applyFill="1" applyBorder="1" applyAlignment="1" applyProtection="1">
      <alignment horizontal="center" vertical="center" wrapText="1"/>
    </xf>
    <xf numFmtId="2" fontId="4" fillId="0" borderId="0" xfId="0" applyNumberFormat="1" applyFont="1" applyBorder="1" applyAlignment="1" applyProtection="1">
      <protection locked="0"/>
    </xf>
    <xf numFmtId="0" fontId="0" fillId="0" borderId="0" xfId="0" applyBorder="1" applyProtection="1">
      <protection locked="0"/>
    </xf>
    <xf numFmtId="1" fontId="32" fillId="5" borderId="59" xfId="0" applyNumberFormat="1" applyFont="1" applyFill="1" applyBorder="1" applyAlignment="1" applyProtection="1">
      <alignment horizontal="center" vertical="center"/>
      <protection locked="0"/>
    </xf>
    <xf numFmtId="1" fontId="32" fillId="5" borderId="71" xfId="0" applyNumberFormat="1" applyFont="1" applyFill="1" applyBorder="1" applyAlignment="1" applyProtection="1">
      <alignment horizontal="center" vertical="center"/>
      <protection locked="0"/>
    </xf>
    <xf numFmtId="0" fontId="0" fillId="0" borderId="39" xfId="0" applyBorder="1" applyProtection="1">
      <protection locked="0"/>
    </xf>
    <xf numFmtId="1" fontId="29" fillId="3" borderId="14" xfId="0" applyNumberFormat="1" applyFont="1" applyFill="1" applyBorder="1" applyAlignment="1" applyProtection="1">
      <alignment horizontal="center" vertical="center"/>
      <protection hidden="1"/>
    </xf>
    <xf numFmtId="1" fontId="1" fillId="8" borderId="53" xfId="0" applyNumberFormat="1" applyFont="1" applyFill="1" applyBorder="1" applyAlignment="1" applyProtection="1">
      <alignment horizontal="center" vertical="center"/>
      <protection locked="0"/>
    </xf>
    <xf numFmtId="1" fontId="1" fillId="5" borderId="0" xfId="0" applyNumberFormat="1" applyFont="1" applyFill="1" applyBorder="1" applyAlignment="1" applyProtection="1">
      <alignment horizontal="center" vertical="center"/>
      <protection locked="0"/>
    </xf>
    <xf numFmtId="1" fontId="1" fillId="10" borderId="0" xfId="0" applyNumberFormat="1" applyFont="1" applyFill="1" applyBorder="1" applyAlignment="1" applyProtection="1">
      <alignment horizontal="center" vertical="center"/>
      <protection locked="0"/>
    </xf>
    <xf numFmtId="1" fontId="32" fillId="5" borderId="69" xfId="0" applyNumberFormat="1" applyFont="1" applyFill="1" applyBorder="1" applyAlignment="1" applyProtection="1">
      <alignment horizontal="center" vertical="center"/>
      <protection locked="0"/>
    </xf>
    <xf numFmtId="0" fontId="23" fillId="6" borderId="34" xfId="0" applyFont="1" applyFill="1" applyBorder="1" applyAlignment="1" applyProtection="1">
      <alignment horizontal="center" vertical="center"/>
      <protection locked="0"/>
    </xf>
    <xf numFmtId="1" fontId="1" fillId="5" borderId="95" xfId="0" applyNumberFormat="1" applyFont="1" applyFill="1" applyBorder="1" applyAlignment="1" applyProtection="1">
      <alignment horizontal="center" vertical="center"/>
      <protection locked="0"/>
    </xf>
    <xf numFmtId="1" fontId="1" fillId="10" borderId="95" xfId="0" applyNumberFormat="1" applyFont="1" applyFill="1" applyBorder="1" applyAlignment="1" applyProtection="1">
      <alignment horizontal="center" vertical="center"/>
      <protection locked="0"/>
    </xf>
    <xf numFmtId="1" fontId="1" fillId="10" borderId="53" xfId="0" applyNumberFormat="1" applyFont="1" applyFill="1" applyBorder="1" applyAlignment="1" applyProtection="1">
      <alignment horizontal="center" vertical="center"/>
      <protection locked="0"/>
    </xf>
    <xf numFmtId="1" fontId="1" fillId="5" borderId="53" xfId="0" applyNumberFormat="1" applyFont="1" applyFill="1" applyBorder="1" applyAlignment="1" applyProtection="1">
      <alignment horizontal="center" vertical="center"/>
      <protection locked="0"/>
    </xf>
    <xf numFmtId="1" fontId="1" fillId="3" borderId="53" xfId="0" applyNumberFormat="1" applyFont="1" applyFill="1" applyBorder="1" applyAlignment="1" applyProtection="1">
      <alignment horizontal="center" vertical="center"/>
      <protection locked="0"/>
    </xf>
    <xf numFmtId="1" fontId="1" fillId="8" borderId="65" xfId="0" applyNumberFormat="1" applyFont="1" applyFill="1" applyBorder="1" applyAlignment="1" applyProtection="1">
      <alignment horizontal="center" vertical="center"/>
    </xf>
    <xf numFmtId="1" fontId="1" fillId="5" borderId="13" xfId="0" applyNumberFormat="1" applyFont="1" applyFill="1" applyBorder="1" applyAlignment="1" applyProtection="1">
      <alignment horizontal="center" vertical="center"/>
    </xf>
    <xf numFmtId="1" fontId="1" fillId="10" borderId="136" xfId="0" applyNumberFormat="1" applyFont="1" applyFill="1" applyBorder="1" applyAlignment="1" applyProtection="1">
      <alignment horizontal="center" vertical="center"/>
    </xf>
    <xf numFmtId="1" fontId="1" fillId="5" borderId="136" xfId="0" applyNumberFormat="1" applyFont="1" applyFill="1" applyBorder="1" applyAlignment="1" applyProtection="1">
      <alignment horizontal="center" vertical="center"/>
    </xf>
    <xf numFmtId="1" fontId="1" fillId="3" borderId="136" xfId="0" applyNumberFormat="1" applyFont="1" applyFill="1" applyBorder="1" applyAlignment="1" applyProtection="1">
      <alignment horizontal="center" vertical="center"/>
    </xf>
    <xf numFmtId="1" fontId="1" fillId="10" borderId="13" xfId="0" applyNumberFormat="1" applyFont="1" applyFill="1" applyBorder="1" applyAlignment="1" applyProtection="1">
      <alignment horizontal="center" vertical="center"/>
    </xf>
    <xf numFmtId="1" fontId="21" fillId="3" borderId="6" xfId="0" applyNumberFormat="1" applyFont="1" applyFill="1" applyBorder="1" applyAlignment="1" applyProtection="1">
      <alignment horizontal="center" vertical="center"/>
      <protection hidden="1"/>
    </xf>
    <xf numFmtId="1" fontId="14" fillId="10" borderId="85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8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86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18" xfId="0" applyNumberFormat="1" applyFont="1" applyFill="1" applyBorder="1" applyAlignment="1" applyProtection="1">
      <alignment horizontal="center" vertical="center" wrapText="1"/>
      <protection locked="0"/>
    </xf>
    <xf numFmtId="1" fontId="14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4" fillId="10" borderId="122" xfId="0" applyNumberFormat="1" applyFont="1" applyFill="1" applyBorder="1" applyAlignment="1" applyProtection="1">
      <alignment horizontal="center" vertical="center" wrapText="1"/>
      <protection locked="0"/>
    </xf>
    <xf numFmtId="1" fontId="48" fillId="10" borderId="4" xfId="0" applyNumberFormat="1" applyFont="1" applyFill="1" applyBorder="1" applyAlignment="1" applyProtection="1">
      <alignment horizontal="center" vertical="center" wrapText="1"/>
      <protection locked="0"/>
    </xf>
    <xf numFmtId="1" fontId="48" fillId="0" borderId="29" xfId="0" applyNumberFormat="1" applyFont="1" applyFill="1" applyBorder="1" applyAlignment="1" applyProtection="1">
      <alignment horizontal="center" vertical="center" wrapText="1"/>
      <protection locked="0"/>
    </xf>
    <xf numFmtId="1" fontId="14" fillId="3" borderId="6" xfId="0" applyNumberFormat="1" applyFont="1" applyFill="1" applyBorder="1" applyAlignment="1" applyProtection="1">
      <alignment horizontal="center" vertical="center" wrapText="1"/>
    </xf>
    <xf numFmtId="18" fontId="19" fillId="0" borderId="0" xfId="0" applyNumberFormat="1" applyFont="1" applyAlignment="1" applyProtection="1">
      <alignment vertical="center"/>
      <protection locked="0"/>
    </xf>
    <xf numFmtId="0" fontId="37" fillId="3" borderId="44" xfId="0" applyFont="1" applyFill="1" applyBorder="1" applyAlignment="1" applyProtection="1">
      <alignment horizontal="left" wrapText="1"/>
      <protection locked="0"/>
    </xf>
    <xf numFmtId="1" fontId="1" fillId="8" borderId="64" xfId="0" applyNumberFormat="1" applyFont="1" applyFill="1" applyBorder="1" applyAlignment="1" applyProtection="1">
      <alignment horizontal="center" shrinkToFit="1"/>
      <protection locked="0" hidden="1"/>
    </xf>
    <xf numFmtId="1" fontId="1" fillId="11" borderId="55" xfId="0" applyNumberFormat="1" applyFont="1" applyFill="1" applyBorder="1" applyAlignment="1" applyProtection="1">
      <alignment horizontal="center" shrinkToFit="1"/>
      <protection locked="0" hidden="1"/>
    </xf>
    <xf numFmtId="1" fontId="1" fillId="8" borderId="55" xfId="0" applyNumberFormat="1" applyFont="1" applyFill="1" applyBorder="1" applyAlignment="1" applyProtection="1">
      <alignment horizontal="center" shrinkToFit="1"/>
      <protection locked="0" hidden="1"/>
    </xf>
    <xf numFmtId="1" fontId="1" fillId="11" borderId="54" xfId="0" applyNumberFormat="1" applyFont="1" applyFill="1" applyBorder="1" applyAlignment="1" applyProtection="1">
      <alignment horizontal="center" shrinkToFit="1"/>
      <protection locked="0" hidden="1"/>
    </xf>
    <xf numFmtId="1" fontId="1" fillId="8" borderId="63" xfId="0" applyNumberFormat="1" applyFont="1" applyFill="1" applyBorder="1" applyAlignment="1" applyProtection="1">
      <alignment horizontal="center"/>
      <protection locked="0"/>
    </xf>
    <xf numFmtId="1" fontId="1" fillId="8" borderId="64" xfId="0" applyNumberFormat="1" applyFont="1" applyFill="1" applyBorder="1" applyAlignment="1" applyProtection="1">
      <alignment horizontal="center"/>
      <protection locked="0"/>
    </xf>
    <xf numFmtId="1" fontId="1" fillId="5" borderId="54" xfId="0" applyNumberFormat="1" applyFont="1" applyFill="1" applyBorder="1" applyAlignment="1" applyProtection="1">
      <alignment horizontal="center"/>
      <protection locked="0"/>
    </xf>
    <xf numFmtId="1" fontId="1" fillId="5" borderId="55" xfId="0" applyNumberFormat="1" applyFont="1" applyFill="1" applyBorder="1" applyAlignment="1" applyProtection="1">
      <alignment horizontal="center"/>
      <protection locked="0"/>
    </xf>
    <xf numFmtId="1" fontId="1" fillId="8" borderId="54" xfId="0" applyNumberFormat="1" applyFont="1" applyFill="1" applyBorder="1" applyAlignment="1" applyProtection="1">
      <alignment horizontal="center"/>
      <protection locked="0"/>
    </xf>
    <xf numFmtId="1" fontId="1" fillId="10" borderId="55" xfId="0" applyNumberFormat="1" applyFont="1" applyFill="1" applyBorder="1" applyAlignment="1" applyProtection="1">
      <alignment horizontal="center"/>
      <protection locked="0"/>
    </xf>
    <xf numFmtId="1" fontId="1" fillId="8" borderId="55" xfId="0" applyNumberFormat="1" applyFont="1" applyFill="1" applyBorder="1" applyAlignment="1" applyProtection="1">
      <alignment horizontal="center"/>
      <protection locked="0"/>
    </xf>
    <xf numFmtId="1" fontId="1" fillId="0" borderId="55" xfId="0" applyNumberFormat="1" applyFont="1" applyBorder="1" applyAlignment="1" applyProtection="1">
      <alignment horizontal="center"/>
      <protection locked="0"/>
    </xf>
    <xf numFmtId="1" fontId="1" fillId="10" borderId="54" xfId="0" applyNumberFormat="1" applyFont="1" applyFill="1" applyBorder="1" applyAlignment="1" applyProtection="1">
      <alignment horizontal="center"/>
      <protection locked="0"/>
    </xf>
    <xf numFmtId="1" fontId="1" fillId="3" borderId="54" xfId="0" applyNumberFormat="1" applyFont="1" applyFill="1" applyBorder="1" applyAlignment="1" applyProtection="1">
      <alignment horizontal="center"/>
      <protection locked="0"/>
    </xf>
    <xf numFmtId="1" fontId="1" fillId="3" borderId="55" xfId="0" applyNumberFormat="1" applyFont="1" applyFill="1" applyBorder="1" applyAlignment="1" applyProtection="1">
      <alignment horizontal="center"/>
      <protection locked="0"/>
    </xf>
    <xf numFmtId="0" fontId="23" fillId="6" borderId="13" xfId="0" applyFont="1" applyFill="1" applyBorder="1" applyAlignment="1" applyProtection="1">
      <alignment horizontal="center" vertical="center"/>
      <protection locked="0"/>
    </xf>
    <xf numFmtId="1" fontId="1" fillId="10" borderId="63" xfId="0" applyNumberFormat="1" applyFont="1" applyFill="1" applyBorder="1" applyAlignment="1" applyProtection="1">
      <alignment horizontal="center" wrapText="1"/>
      <protection locked="0"/>
    </xf>
    <xf numFmtId="1" fontId="1" fillId="8" borderId="137" xfId="0" applyNumberFormat="1" applyFont="1" applyFill="1" applyBorder="1" applyAlignment="1" applyProtection="1">
      <alignment horizontal="center"/>
      <protection locked="0"/>
    </xf>
    <xf numFmtId="1" fontId="1" fillId="0" borderId="54" xfId="0" applyNumberFormat="1" applyFont="1" applyBorder="1" applyAlignment="1" applyProtection="1">
      <alignment horizontal="center"/>
      <protection locked="0"/>
    </xf>
    <xf numFmtId="1" fontId="1" fillId="5" borderId="75" xfId="0" applyNumberFormat="1" applyFont="1" applyFill="1" applyBorder="1" applyAlignment="1" applyProtection="1">
      <alignment horizontal="center"/>
      <protection locked="0"/>
    </xf>
    <xf numFmtId="1" fontId="1" fillId="10" borderId="75" xfId="0" applyNumberFormat="1" applyFont="1" applyFill="1" applyBorder="1" applyAlignment="1" applyProtection="1">
      <alignment horizontal="center"/>
      <protection locked="0"/>
    </xf>
    <xf numFmtId="1" fontId="1" fillId="3" borderId="75" xfId="0" applyNumberFormat="1" applyFont="1" applyFill="1" applyBorder="1" applyAlignment="1" applyProtection="1">
      <alignment horizontal="center"/>
      <protection locked="0"/>
    </xf>
    <xf numFmtId="1" fontId="1" fillId="8" borderId="54" xfId="0" applyNumberFormat="1" applyFont="1" applyFill="1" applyBorder="1" applyAlignment="1" applyProtection="1">
      <alignment horizontal="center" shrinkToFit="1"/>
      <protection locked="0" hidden="1"/>
    </xf>
    <xf numFmtId="1" fontId="14" fillId="3" borderId="123" xfId="0" applyNumberFormat="1" applyFont="1" applyFill="1" applyBorder="1" applyAlignment="1" applyProtection="1">
      <alignment horizontal="center" vertical="center" wrapText="1"/>
    </xf>
    <xf numFmtId="1" fontId="14" fillId="10" borderId="10" xfId="0" applyNumberFormat="1" applyFont="1" applyFill="1" applyBorder="1" applyAlignment="1" applyProtection="1">
      <alignment horizontal="center" vertical="center" wrapText="1"/>
    </xf>
    <xf numFmtId="1" fontId="14" fillId="3" borderId="10" xfId="0" applyNumberFormat="1" applyFont="1" applyFill="1" applyBorder="1" applyAlignment="1" applyProtection="1">
      <alignment horizontal="center" vertical="center" wrapText="1"/>
    </xf>
    <xf numFmtId="1" fontId="14" fillId="3" borderId="157" xfId="0" applyNumberFormat="1" applyFont="1" applyFill="1" applyBorder="1" applyAlignment="1" applyProtection="1">
      <alignment horizontal="center" vertical="center" wrapText="1"/>
    </xf>
    <xf numFmtId="1" fontId="48" fillId="0" borderId="157" xfId="0" applyNumberFormat="1" applyFont="1" applyFill="1" applyBorder="1" applyAlignment="1" applyProtection="1">
      <alignment horizontal="center" vertical="center" wrapText="1"/>
      <protection locked="0"/>
    </xf>
    <xf numFmtId="1" fontId="48" fillId="10" borderId="10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78" xfId="0" applyNumberFormat="1" applyFont="1" applyFill="1" applyBorder="1" applyAlignment="1" applyProtection="1">
      <alignment horizontal="center" vertical="center" wrapText="1"/>
      <protection locked="0"/>
    </xf>
    <xf numFmtId="1" fontId="41" fillId="0" borderId="11" xfId="0" applyNumberFormat="1" applyFont="1" applyBorder="1" applyAlignment="1" applyProtection="1">
      <alignment horizontal="center" vertical="center" wrapText="1"/>
      <protection locked="0"/>
    </xf>
    <xf numFmtId="1" fontId="41" fillId="10" borderId="11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116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101" xfId="0" applyNumberFormat="1" applyFont="1" applyFill="1" applyBorder="1" applyAlignment="1" applyProtection="1">
      <alignment horizontal="center" vertical="center" wrapText="1"/>
      <protection locked="0"/>
    </xf>
    <xf numFmtId="1" fontId="41" fillId="0" borderId="7" xfId="0" applyNumberFormat="1" applyFont="1" applyBorder="1" applyAlignment="1" applyProtection="1">
      <alignment horizontal="center" vertical="center"/>
    </xf>
    <xf numFmtId="1" fontId="41" fillId="0" borderId="29" xfId="0" applyNumberFormat="1" applyFont="1" applyBorder="1" applyAlignment="1" applyProtection="1">
      <alignment horizontal="center" vertical="center"/>
    </xf>
    <xf numFmtId="1" fontId="41" fillId="10" borderId="7" xfId="0" applyNumberFormat="1" applyFont="1" applyFill="1" applyBorder="1" applyAlignment="1" applyProtection="1">
      <alignment horizontal="center" vertical="center"/>
    </xf>
    <xf numFmtId="1" fontId="41" fillId="10" borderId="29" xfId="0" applyNumberFormat="1" applyFont="1" applyFill="1" applyBorder="1" applyAlignment="1" applyProtection="1">
      <alignment horizontal="center" vertical="center"/>
    </xf>
    <xf numFmtId="1" fontId="41" fillId="10" borderId="28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29" xfId="0" applyNumberFormat="1" applyFont="1" applyFill="1" applyBorder="1" applyAlignment="1" applyProtection="1">
      <alignment horizontal="center" vertical="center" wrapText="1"/>
      <protection locked="0"/>
    </xf>
    <xf numFmtId="1" fontId="41" fillId="0" borderId="28" xfId="0" applyNumberFormat="1" applyFont="1" applyBorder="1" applyAlignment="1" applyProtection="1">
      <alignment horizontal="center" vertical="center" wrapText="1"/>
      <protection locked="0"/>
    </xf>
    <xf numFmtId="1" fontId="41" fillId="0" borderId="29" xfId="0" applyNumberFormat="1" applyFont="1" applyBorder="1" applyAlignment="1" applyProtection="1">
      <alignment horizontal="center" vertical="center" wrapText="1"/>
      <protection locked="0"/>
    </xf>
    <xf numFmtId="1" fontId="41" fillId="10" borderId="148" xfId="0" applyNumberFormat="1" applyFont="1" applyFill="1" applyBorder="1" applyAlignment="1" applyProtection="1">
      <alignment horizontal="center" vertical="center" wrapText="1"/>
    </xf>
    <xf numFmtId="1" fontId="41" fillId="10" borderId="149" xfId="0" applyNumberFormat="1" applyFont="1" applyFill="1" applyBorder="1" applyAlignment="1" applyProtection="1">
      <alignment horizontal="center" vertical="center" wrapText="1"/>
    </xf>
    <xf numFmtId="1" fontId="41" fillId="0" borderId="33" xfId="0" applyNumberFormat="1" applyFont="1" applyBorder="1" applyAlignment="1" applyProtection="1">
      <alignment horizontal="center" vertical="center" wrapText="1"/>
    </xf>
    <xf numFmtId="1" fontId="41" fillId="0" borderId="146" xfId="0" applyNumberFormat="1" applyFont="1" applyBorder="1" applyAlignment="1" applyProtection="1">
      <alignment horizontal="center" vertical="center" wrapText="1"/>
    </xf>
    <xf numFmtId="1" fontId="41" fillId="0" borderId="86" xfId="0" applyNumberFormat="1" applyFont="1" applyBorder="1" applyAlignment="1" applyProtection="1">
      <alignment horizontal="center" vertical="center" wrapText="1"/>
    </xf>
    <xf numFmtId="1" fontId="41" fillId="10" borderId="33" xfId="0" applyNumberFormat="1" applyFont="1" applyFill="1" applyBorder="1" applyAlignment="1" applyProtection="1">
      <alignment horizontal="center" vertical="center" wrapText="1"/>
    </xf>
    <xf numFmtId="1" fontId="41" fillId="10" borderId="146" xfId="0" applyNumberFormat="1" applyFont="1" applyFill="1" applyBorder="1" applyAlignment="1" applyProtection="1">
      <alignment horizontal="center" vertical="center" wrapText="1"/>
    </xf>
    <xf numFmtId="1" fontId="41" fillId="10" borderId="86" xfId="0" applyNumberFormat="1" applyFont="1" applyFill="1" applyBorder="1" applyAlignment="1" applyProtection="1">
      <alignment horizontal="center" vertical="center" wrapText="1"/>
    </xf>
    <xf numFmtId="2" fontId="41" fillId="2" borderId="150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135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151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152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31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149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142" xfId="0" applyNumberFormat="1" applyFont="1" applyFill="1" applyBorder="1" applyAlignment="1" applyProtection="1">
      <alignment horizontal="center" vertical="center" wrapText="1"/>
    </xf>
    <xf numFmtId="1" fontId="41" fillId="10" borderId="155" xfId="0" applyNumberFormat="1" applyFont="1" applyFill="1" applyBorder="1" applyAlignment="1" applyProtection="1">
      <alignment horizontal="center" vertical="center" wrapText="1"/>
    </xf>
    <xf numFmtId="1" fontId="41" fillId="10" borderId="143" xfId="0" applyNumberFormat="1" applyFont="1" applyFill="1" applyBorder="1" applyAlignment="1" applyProtection="1">
      <alignment horizontal="center" vertical="center" wrapText="1"/>
    </xf>
    <xf numFmtId="1" fontId="41" fillId="0" borderId="126" xfId="0" applyNumberFormat="1" applyFont="1" applyBorder="1" applyAlignment="1" applyProtection="1">
      <alignment horizontal="center" vertical="center" wrapText="1"/>
    </xf>
    <xf numFmtId="1" fontId="41" fillId="0" borderId="9" xfId="0" applyNumberFormat="1" applyFont="1" applyBorder="1" applyAlignment="1" applyProtection="1">
      <alignment horizontal="center" vertical="center" wrapText="1"/>
    </xf>
    <xf numFmtId="1" fontId="41" fillId="0" borderId="29" xfId="0" applyNumberFormat="1" applyFont="1" applyBorder="1" applyAlignment="1" applyProtection="1">
      <alignment horizontal="center" vertical="center" wrapText="1"/>
    </xf>
    <xf numFmtId="1" fontId="41" fillId="10" borderId="140" xfId="0" applyNumberFormat="1" applyFont="1" applyFill="1" applyBorder="1" applyAlignment="1" applyProtection="1">
      <alignment horizontal="center" vertical="center" wrapText="1"/>
    </xf>
    <xf numFmtId="1" fontId="41" fillId="10" borderId="156" xfId="0" applyNumberFormat="1" applyFont="1" applyFill="1" applyBorder="1" applyAlignment="1" applyProtection="1">
      <alignment horizontal="center" vertical="center" wrapText="1"/>
    </xf>
    <xf numFmtId="1" fontId="41" fillId="10" borderId="141" xfId="0" applyNumberFormat="1" applyFont="1" applyFill="1" applyBorder="1" applyAlignment="1" applyProtection="1">
      <alignment horizontal="center" vertical="center" wrapText="1"/>
    </xf>
    <xf numFmtId="1" fontId="41" fillId="10" borderId="91" xfId="0" applyNumberFormat="1" applyFont="1" applyFill="1" applyBorder="1" applyAlignment="1" applyProtection="1">
      <alignment horizontal="center" vertical="center" wrapText="1"/>
    </xf>
    <xf numFmtId="1" fontId="41" fillId="10" borderId="35" xfId="0" applyNumberFormat="1" applyFont="1" applyFill="1" applyBorder="1" applyAlignment="1" applyProtection="1">
      <alignment horizontal="center" vertical="center" wrapText="1"/>
    </xf>
    <xf numFmtId="1" fontId="41" fillId="0" borderId="91" xfId="0" applyNumberFormat="1" applyFont="1" applyBorder="1" applyAlignment="1" applyProtection="1">
      <alignment horizontal="center" vertical="center" wrapText="1"/>
    </xf>
    <xf numFmtId="1" fontId="41" fillId="0" borderId="35" xfId="0" applyNumberFormat="1" applyFont="1" applyBorder="1" applyAlignment="1" applyProtection="1">
      <alignment horizontal="center" vertical="center" wrapText="1"/>
    </xf>
    <xf numFmtId="0" fontId="16" fillId="0" borderId="100" xfId="0" applyFont="1" applyBorder="1" applyAlignment="1">
      <alignment horizontal="center"/>
    </xf>
    <xf numFmtId="0" fontId="16" fillId="0" borderId="107" xfId="0" applyFont="1" applyBorder="1" applyAlignment="1">
      <alignment horizontal="center"/>
    </xf>
    <xf numFmtId="0" fontId="16" fillId="0" borderId="43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6" fillId="0" borderId="39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1" fontId="12" fillId="0" borderId="109" xfId="0" applyNumberFormat="1" applyFont="1" applyBorder="1" applyAlignment="1" applyProtection="1">
      <alignment horizontal="center"/>
    </xf>
    <xf numFmtId="1" fontId="12" fillId="0" borderId="108" xfId="0" applyNumberFormat="1" applyFont="1" applyBorder="1" applyAlignment="1" applyProtection="1">
      <alignment horizontal="center"/>
    </xf>
    <xf numFmtId="2" fontId="16" fillId="0" borderId="114" xfId="0" applyNumberFormat="1" applyFont="1" applyBorder="1" applyAlignment="1" applyProtection="1">
      <alignment horizontal="center"/>
      <protection locked="0"/>
    </xf>
    <xf numFmtId="2" fontId="16" fillId="0" borderId="115" xfId="0" applyNumberFormat="1" applyFont="1" applyBorder="1" applyAlignment="1" applyProtection="1">
      <alignment horizontal="center"/>
      <protection locked="0"/>
    </xf>
    <xf numFmtId="2" fontId="15" fillId="3" borderId="102" xfId="0" applyNumberFormat="1" applyFont="1" applyFill="1" applyBorder="1" applyAlignment="1" applyProtection="1">
      <alignment horizontal="center"/>
      <protection locked="0"/>
    </xf>
    <xf numFmtId="2" fontId="15" fillId="3" borderId="103" xfId="0" applyNumberFormat="1" applyFont="1" applyFill="1" applyBorder="1" applyAlignment="1" applyProtection="1">
      <alignment horizontal="center"/>
      <protection locked="0"/>
    </xf>
    <xf numFmtId="2" fontId="15" fillId="3" borderId="104" xfId="0" applyNumberFormat="1" applyFont="1" applyFill="1" applyBorder="1" applyAlignment="1" applyProtection="1">
      <alignment horizontal="center"/>
      <protection locked="0"/>
    </xf>
    <xf numFmtId="1" fontId="12" fillId="0" borderId="107" xfId="0" applyNumberFormat="1" applyFont="1" applyBorder="1" applyAlignment="1" applyProtection="1">
      <alignment horizontal="center"/>
    </xf>
    <xf numFmtId="1" fontId="12" fillId="0" borderId="105" xfId="0" applyNumberFormat="1" applyFont="1" applyBorder="1" applyAlignment="1" applyProtection="1">
      <alignment horizontal="center"/>
      <protection locked="0"/>
    </xf>
    <xf numFmtId="1" fontId="12" fillId="0" borderId="2" xfId="0" applyNumberFormat="1" applyFont="1" applyBorder="1" applyAlignment="1" applyProtection="1">
      <alignment horizontal="center"/>
      <protection locked="0"/>
    </xf>
    <xf numFmtId="1" fontId="12" fillId="0" borderId="3" xfId="0" applyNumberFormat="1" applyFont="1" applyBorder="1" applyAlignment="1" applyProtection="1">
      <alignment horizontal="center"/>
      <protection locked="0"/>
    </xf>
    <xf numFmtId="1" fontId="12" fillId="0" borderId="38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1" fontId="12" fillId="0" borderId="4" xfId="0" applyNumberFormat="1" applyFont="1" applyBorder="1" applyAlignment="1" applyProtection="1">
      <alignment horizontal="center"/>
      <protection locked="0"/>
    </xf>
    <xf numFmtId="0" fontId="12" fillId="0" borderId="0" xfId="2" applyFont="1"/>
    <xf numFmtId="1" fontId="12" fillId="0" borderId="38" xfId="0" quotePrefix="1" applyNumberFormat="1" applyFont="1" applyBorder="1" applyAlignment="1" applyProtection="1">
      <alignment horizontal="center"/>
    </xf>
    <xf numFmtId="1" fontId="12" fillId="0" borderId="0" xfId="0" applyNumberFormat="1" applyFont="1" applyBorder="1" applyAlignment="1" applyProtection="1">
      <alignment horizontal="center"/>
    </xf>
    <xf numFmtId="1" fontId="12" fillId="0" borderId="4" xfId="0" applyNumberFormat="1" applyFont="1" applyBorder="1" applyAlignment="1" applyProtection="1">
      <alignment horizontal="center"/>
    </xf>
    <xf numFmtId="1" fontId="12" fillId="0" borderId="38" xfId="0" applyNumberFormat="1" applyFont="1" applyBorder="1" applyAlignment="1" applyProtection="1">
      <alignment horizontal="center"/>
    </xf>
    <xf numFmtId="2" fontId="15" fillId="3" borderId="112" xfId="0" applyNumberFormat="1" applyFont="1" applyFill="1" applyBorder="1" applyAlignment="1" applyProtection="1">
      <alignment horizontal="center"/>
      <protection locked="0"/>
    </xf>
    <xf numFmtId="2" fontId="15" fillId="3" borderId="113" xfId="0" applyNumberFormat="1" applyFont="1" applyFill="1" applyBorder="1" applyAlignment="1" applyProtection="1">
      <alignment horizontal="center"/>
      <protection locked="0"/>
    </xf>
    <xf numFmtId="2" fontId="16" fillId="0" borderId="112" xfId="0" applyNumberFormat="1" applyFont="1" applyBorder="1" applyAlignment="1" applyProtection="1">
      <alignment horizontal="center"/>
      <protection locked="0"/>
    </xf>
    <xf numFmtId="2" fontId="16" fillId="0" borderId="113" xfId="0" applyNumberFormat="1" applyFont="1" applyBorder="1" applyAlignment="1" applyProtection="1">
      <alignment horizontal="center"/>
      <protection locked="0"/>
    </xf>
    <xf numFmtId="2" fontId="15" fillId="3" borderId="110" xfId="0" applyNumberFormat="1" applyFont="1" applyFill="1" applyBorder="1" applyAlignment="1" applyProtection="1">
      <alignment horizontal="center"/>
      <protection locked="0"/>
    </xf>
    <xf numFmtId="2" fontId="15" fillId="3" borderId="111" xfId="0" applyNumberFormat="1" applyFont="1" applyFill="1" applyBorder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2" fontId="8" fillId="2" borderId="1" xfId="0" applyNumberFormat="1" applyFont="1" applyFill="1" applyBorder="1" applyAlignment="1" applyProtection="1">
      <alignment vertical="top" wrapText="1"/>
      <protection locked="0"/>
    </xf>
    <xf numFmtId="2" fontId="8" fillId="2" borderId="2" xfId="0" applyNumberFormat="1" applyFont="1" applyFill="1" applyBorder="1" applyAlignment="1" applyProtection="1">
      <alignment vertical="top" wrapText="1"/>
      <protection locked="0"/>
    </xf>
    <xf numFmtId="2" fontId="42" fillId="4" borderId="19" xfId="0" applyNumberFormat="1" applyFont="1" applyFill="1" applyBorder="1" applyAlignment="1" applyProtection="1">
      <alignment horizontal="center" vertical="center" wrapText="1"/>
      <protection locked="0"/>
    </xf>
    <xf numFmtId="2" fontId="42" fillId="4" borderId="20" xfId="0" applyNumberFormat="1" applyFont="1" applyFill="1" applyBorder="1" applyAlignment="1" applyProtection="1">
      <alignment horizontal="center" vertical="center" wrapText="1"/>
      <protection locked="0"/>
    </xf>
    <xf numFmtId="2" fontId="42" fillId="4" borderId="26" xfId="0" applyNumberFormat="1" applyFont="1" applyFill="1" applyBorder="1" applyAlignment="1" applyProtection="1">
      <alignment horizontal="center" vertical="center" wrapText="1"/>
      <protection locked="0"/>
    </xf>
    <xf numFmtId="2" fontId="42" fillId="4" borderId="27" xfId="0" applyNumberFormat="1" applyFont="1" applyFill="1" applyBorder="1" applyAlignment="1" applyProtection="1">
      <alignment horizontal="center" vertical="center" wrapText="1"/>
      <protection locked="0"/>
    </xf>
    <xf numFmtId="2" fontId="40" fillId="0" borderId="138" xfId="0" applyNumberFormat="1" applyFont="1" applyFill="1" applyBorder="1" applyAlignment="1" applyProtection="1">
      <alignment horizontal="center" vertical="center" wrapText="1"/>
      <protection locked="0"/>
    </xf>
    <xf numFmtId="2" fontId="40" fillId="0" borderId="139" xfId="0" applyNumberFormat="1" applyFont="1" applyFill="1" applyBorder="1" applyAlignment="1" applyProtection="1">
      <alignment horizontal="center" vertical="center" wrapText="1"/>
      <protection locked="0"/>
    </xf>
    <xf numFmtId="2" fontId="42" fillId="4" borderId="25" xfId="0" applyNumberFormat="1" applyFont="1" applyFill="1" applyBorder="1" applyAlignment="1" applyProtection="1">
      <alignment horizontal="center" vertical="center" wrapText="1"/>
      <protection locked="0"/>
    </xf>
    <xf numFmtId="2" fontId="42" fillId="4" borderId="2" xfId="0" applyNumberFormat="1" applyFont="1" applyFill="1" applyBorder="1" applyAlignment="1" applyProtection="1">
      <alignment horizontal="center" vertical="center" wrapText="1"/>
      <protection locked="0"/>
    </xf>
    <xf numFmtId="2" fontId="42" fillId="4" borderId="0" xfId="0" applyNumberFormat="1" applyFont="1" applyFill="1" applyBorder="1" applyAlignment="1" applyProtection="1">
      <alignment horizontal="center" vertical="center" wrapText="1"/>
      <protection locked="0"/>
    </xf>
    <xf numFmtId="2" fontId="40" fillId="0" borderId="2" xfId="0" applyNumberFormat="1" applyFont="1" applyFill="1" applyBorder="1" applyAlignment="1" applyProtection="1">
      <alignment horizontal="center" vertical="center" wrapText="1"/>
      <protection locked="0"/>
    </xf>
    <xf numFmtId="2" fontId="40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40" fillId="0" borderId="27" xfId="0" applyNumberFormat="1" applyFont="1" applyFill="1" applyBorder="1" applyAlignment="1" applyProtection="1">
      <alignment horizontal="center" vertical="center" wrapText="1"/>
      <protection locked="0"/>
    </xf>
    <xf numFmtId="2" fontId="40" fillId="0" borderId="122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31" xfId="0" applyNumberFormat="1" applyFont="1" applyFill="1" applyBorder="1" applyAlignment="1" applyProtection="1">
      <alignment horizontal="center" vertical="center" wrapText="1"/>
      <protection locked="0"/>
    </xf>
    <xf numFmtId="2" fontId="43" fillId="2" borderId="18" xfId="0" applyNumberFormat="1" applyFont="1" applyFill="1" applyBorder="1" applyAlignment="1" applyProtection="1">
      <alignment horizontal="center" vertical="center" wrapText="1"/>
      <protection locked="0"/>
    </xf>
    <xf numFmtId="2" fontId="39" fillId="2" borderId="28" xfId="0" applyNumberFormat="1" applyFont="1" applyFill="1" applyBorder="1" applyAlignment="1" applyProtection="1">
      <alignment horizontal="center" vertical="center" wrapText="1"/>
      <protection locked="0"/>
    </xf>
    <xf numFmtId="2" fontId="39" fillId="2" borderId="9" xfId="0" applyNumberFormat="1" applyFont="1" applyFill="1" applyBorder="1" applyAlignment="1" applyProtection="1">
      <alignment horizontal="center" vertical="center" wrapText="1"/>
      <protection locked="0"/>
    </xf>
    <xf numFmtId="2" fontId="39" fillId="2" borderId="7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130" xfId="0" applyNumberFormat="1" applyFont="1" applyFill="1" applyBorder="1" applyAlignment="1" applyProtection="1">
      <alignment horizontal="center" vertical="center" wrapText="1"/>
      <protection locked="0"/>
    </xf>
    <xf numFmtId="2" fontId="42" fillId="2" borderId="131" xfId="0" applyNumberFormat="1" applyFont="1" applyFill="1" applyBorder="1" applyAlignment="1" applyProtection="1">
      <alignment horizontal="center" vertical="center" wrapText="1"/>
      <protection locked="0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2" fontId="50" fillId="0" borderId="0" xfId="0" applyNumberFormat="1" applyFont="1" applyFill="1" applyBorder="1" applyAlignment="1" applyProtection="1">
      <alignment horizontal="center" wrapText="1"/>
      <protection locked="0"/>
    </xf>
    <xf numFmtId="2" fontId="41" fillId="2" borderId="147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145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82" xfId="0" applyNumberFormat="1" applyFont="1" applyFill="1" applyBorder="1" applyAlignment="1" applyProtection="1">
      <alignment horizontal="center" vertical="center" wrapText="1"/>
    </xf>
    <xf numFmtId="1" fontId="41" fillId="10" borderId="81" xfId="0" applyNumberFormat="1" applyFont="1" applyFill="1" applyBorder="1" applyAlignment="1" applyProtection="1">
      <alignment horizontal="center" vertical="center" wrapText="1"/>
    </xf>
    <xf numFmtId="2" fontId="41" fillId="2" borderId="16" xfId="0" applyNumberFormat="1" applyFont="1" applyFill="1" applyBorder="1" applyAlignment="1" applyProtection="1">
      <alignment horizontal="center" vertical="center" textRotation="90" wrapText="1"/>
      <protection locked="0"/>
    </xf>
    <xf numFmtId="2" fontId="41" fillId="2" borderId="17" xfId="0" applyNumberFormat="1" applyFont="1" applyFill="1" applyBorder="1" applyAlignment="1" applyProtection="1">
      <alignment horizontal="center" vertical="center" textRotation="90" wrapText="1"/>
      <protection locked="0"/>
    </xf>
    <xf numFmtId="2" fontId="41" fillId="2" borderId="134" xfId="0" applyNumberFormat="1" applyFont="1" applyFill="1" applyBorder="1" applyAlignment="1" applyProtection="1">
      <alignment horizontal="center" vertical="center" textRotation="90" wrapText="1"/>
      <protection locked="0"/>
    </xf>
    <xf numFmtId="2" fontId="1" fillId="2" borderId="28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32" xfId="0" applyNumberFormat="1" applyFont="1" applyFill="1" applyBorder="1" applyAlignment="1" applyProtection="1">
      <alignment horizontal="center" vertical="center" wrapText="1"/>
      <protection locked="0"/>
    </xf>
    <xf numFmtId="2" fontId="1" fillId="2" borderId="133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23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30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78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79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16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17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2" borderId="4" xfId="0" applyNumberFormat="1" applyFont="1" applyFill="1" applyBorder="1" applyAlignment="1" applyProtection="1">
      <alignment horizontal="center" vertical="center" wrapText="1"/>
      <protection locked="0"/>
    </xf>
    <xf numFmtId="2" fontId="41" fillId="2" borderId="153" xfId="0" applyNumberFormat="1" applyFont="1" applyFill="1" applyBorder="1" applyAlignment="1" applyProtection="1">
      <alignment horizontal="center" vertical="center" wrapText="1"/>
      <protection locked="0"/>
    </xf>
    <xf numFmtId="1" fontId="41" fillId="10" borderId="144" xfId="0" applyNumberFormat="1" applyFont="1" applyFill="1" applyBorder="1" applyAlignment="1" applyProtection="1">
      <alignment horizontal="center" vertical="center" wrapText="1"/>
    </xf>
    <xf numFmtId="1" fontId="41" fillId="10" borderId="154" xfId="0" applyNumberFormat="1" applyFont="1" applyFill="1" applyBorder="1" applyAlignment="1" applyProtection="1">
      <alignment horizontal="center" vertical="center" wrapText="1"/>
    </xf>
    <xf numFmtId="1" fontId="41" fillId="10" borderId="85" xfId="0" applyNumberFormat="1" applyFont="1" applyFill="1" applyBorder="1" applyAlignment="1" applyProtection="1">
      <alignment horizontal="center" vertical="center" wrapText="1"/>
    </xf>
    <xf numFmtId="0" fontId="16" fillId="0" borderId="105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38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9" fontId="12" fillId="0" borderId="38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06" xfId="0" applyFont="1" applyBorder="1" applyAlignment="1">
      <alignment horizontal="center"/>
    </xf>
    <xf numFmtId="1" fontId="41" fillId="0" borderId="28" xfId="0" applyNumberFormat="1" applyFont="1" applyBorder="1" applyAlignment="1" applyProtection="1">
      <alignment horizontal="center" vertical="center" wrapText="1"/>
    </xf>
    <xf numFmtId="1" fontId="41" fillId="0" borderId="125" xfId="0" applyNumberFormat="1" applyFont="1" applyBorder="1" applyAlignment="1" applyProtection="1">
      <alignment horizontal="center" vertical="center" wrapText="1"/>
    </xf>
    <xf numFmtId="0" fontId="1" fillId="0" borderId="7" xfId="0" applyFont="1" applyBorder="1" applyAlignment="1" applyProtection="1">
      <alignment horizontal="center" vertic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  <protection locked="0"/>
    </xf>
    <xf numFmtId="164" fontId="28" fillId="8" borderId="60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9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14" xfId="0" applyNumberFormat="1" applyFont="1" applyFill="1" applyBorder="1" applyAlignment="1" applyProtection="1">
      <alignment horizontal="left" vertical="center" shrinkToFit="1"/>
      <protection hidden="1"/>
    </xf>
    <xf numFmtId="164" fontId="28" fillId="11" borderId="60" xfId="0" applyNumberFormat="1" applyFont="1" applyFill="1" applyBorder="1" applyAlignment="1" applyProtection="1">
      <alignment horizontal="left" vertical="center" shrinkToFit="1"/>
      <protection hidden="1"/>
    </xf>
    <xf numFmtId="164" fontId="28" fillId="11" borderId="9" xfId="0" applyNumberFormat="1" applyFont="1" applyFill="1" applyBorder="1" applyAlignment="1" applyProtection="1">
      <alignment horizontal="left" vertical="center" shrinkToFit="1"/>
      <protection hidden="1"/>
    </xf>
    <xf numFmtId="164" fontId="28" fillId="11" borderId="14" xfId="0" applyNumberFormat="1" applyFont="1" applyFill="1" applyBorder="1" applyAlignment="1" applyProtection="1">
      <alignment horizontal="left" vertical="center" shrinkToFit="1"/>
      <protection hidden="1"/>
    </xf>
    <xf numFmtId="0" fontId="14" fillId="6" borderId="88" xfId="0" applyFont="1" applyFill="1" applyBorder="1" applyAlignment="1" applyProtection="1">
      <alignment horizontal="left" vertical="top" wrapText="1"/>
      <protection locked="0"/>
    </xf>
    <xf numFmtId="0" fontId="14" fillId="6" borderId="89" xfId="0" applyFont="1" applyFill="1" applyBorder="1" applyAlignment="1" applyProtection="1">
      <alignment horizontal="left" vertical="top" wrapText="1"/>
      <protection locked="0"/>
    </xf>
    <xf numFmtId="0" fontId="24" fillId="4" borderId="38" xfId="0" applyFont="1" applyFill="1" applyBorder="1" applyAlignment="1" applyProtection="1">
      <alignment horizontal="center" vertical="center"/>
      <protection locked="0"/>
    </xf>
    <xf numFmtId="0" fontId="24" fillId="4" borderId="0" xfId="0" applyFont="1" applyFill="1" applyBorder="1" applyAlignment="1" applyProtection="1">
      <alignment horizontal="center" vertical="center"/>
      <protection locked="0"/>
    </xf>
    <xf numFmtId="0" fontId="24" fillId="4" borderId="39" xfId="0" applyFont="1" applyFill="1" applyBorder="1" applyAlignment="1" applyProtection="1">
      <alignment horizontal="center" vertical="center"/>
      <protection locked="0"/>
    </xf>
    <xf numFmtId="0" fontId="28" fillId="3" borderId="15" xfId="0" applyFont="1" applyFill="1" applyBorder="1" applyAlignment="1" applyProtection="1">
      <alignment horizontal="center" vertical="center" shrinkToFit="1"/>
      <protection locked="0"/>
    </xf>
    <xf numFmtId="0" fontId="28" fillId="3" borderId="37" xfId="0" applyFont="1" applyFill="1" applyBorder="1" applyAlignment="1" applyProtection="1">
      <alignment horizontal="center" vertical="center" shrinkToFit="1"/>
      <protection locked="0"/>
    </xf>
    <xf numFmtId="0" fontId="28" fillId="3" borderId="34" xfId="0" applyFont="1" applyFill="1" applyBorder="1" applyAlignment="1" applyProtection="1">
      <alignment horizontal="center" vertical="center" shrinkToFit="1"/>
      <protection locked="0"/>
    </xf>
    <xf numFmtId="0" fontId="28" fillId="3" borderId="40" xfId="0" applyFont="1" applyFill="1" applyBorder="1" applyAlignment="1" applyProtection="1">
      <alignment horizontal="center" vertical="center" shrinkToFit="1"/>
      <protection locked="0"/>
    </xf>
    <xf numFmtId="0" fontId="28" fillId="3" borderId="24" xfId="0" applyFont="1" applyFill="1" applyBorder="1" applyAlignment="1" applyProtection="1">
      <alignment horizontal="center" vertical="center" shrinkToFit="1"/>
      <protection locked="0"/>
    </xf>
    <xf numFmtId="0" fontId="28" fillId="3" borderId="56" xfId="0" applyFont="1" applyFill="1" applyBorder="1" applyAlignment="1" applyProtection="1">
      <alignment horizontal="center" vertical="center" shrinkToFit="1"/>
      <protection locked="0"/>
    </xf>
    <xf numFmtId="0" fontId="24" fillId="4" borderId="40" xfId="0" applyFont="1" applyFill="1" applyBorder="1" applyAlignment="1" applyProtection="1">
      <alignment horizontal="right" vertical="center"/>
      <protection locked="0"/>
    </xf>
    <xf numFmtId="0" fontId="24" fillId="4" borderId="24" xfId="0" applyFont="1" applyFill="1" applyBorder="1" applyAlignment="1" applyProtection="1">
      <alignment horizontal="right" vertical="center"/>
      <protection locked="0"/>
    </xf>
    <xf numFmtId="0" fontId="20" fillId="4" borderId="15" xfId="0" applyFont="1" applyFill="1" applyBorder="1" applyAlignment="1" applyProtection="1">
      <alignment horizontal="left" vertical="top"/>
      <protection locked="0"/>
    </xf>
    <xf numFmtId="0" fontId="20" fillId="4" borderId="37" xfId="0" applyFont="1" applyFill="1" applyBorder="1" applyAlignment="1" applyProtection="1">
      <alignment horizontal="left" vertical="top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14" fillId="6" borderId="87" xfId="0" applyFont="1" applyFill="1" applyBorder="1" applyAlignment="1" applyProtection="1">
      <alignment horizontal="left" vertical="top" wrapText="1"/>
      <protection locked="0"/>
    </xf>
    <xf numFmtId="0" fontId="14" fillId="6" borderId="87" xfId="0" applyFont="1" applyFill="1" applyBorder="1" applyAlignment="1" applyProtection="1">
      <alignment horizontal="left" vertical="top"/>
      <protection locked="0"/>
    </xf>
    <xf numFmtId="0" fontId="14" fillId="6" borderId="88" xfId="0" applyFont="1" applyFill="1" applyBorder="1" applyAlignment="1" applyProtection="1">
      <alignment horizontal="left" vertical="top"/>
      <protection locked="0"/>
    </xf>
    <xf numFmtId="0" fontId="24" fillId="4" borderId="0" xfId="0" applyFont="1" applyFill="1" applyAlignment="1" applyProtection="1">
      <alignment horizontal="center" vertical="center"/>
      <protection locked="0"/>
    </xf>
    <xf numFmtId="164" fontId="28" fillId="8" borderId="51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53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72" xfId="0" applyNumberFormat="1" applyFont="1" applyFill="1" applyBorder="1" applyAlignment="1" applyProtection="1">
      <alignment horizontal="left" vertical="center" shrinkToFit="1"/>
      <protection hidden="1"/>
    </xf>
    <xf numFmtId="164" fontId="28" fillId="11" borderId="61" xfId="0" applyNumberFormat="1" applyFont="1" applyFill="1" applyBorder="1" applyAlignment="1" applyProtection="1">
      <alignment horizontal="left" vertical="center" shrinkToFit="1"/>
      <protection hidden="1"/>
    </xf>
    <xf numFmtId="164" fontId="28" fillId="11" borderId="48" xfId="0" applyNumberFormat="1" applyFont="1" applyFill="1" applyBorder="1" applyAlignment="1" applyProtection="1">
      <alignment horizontal="left" vertical="center" shrinkToFit="1"/>
      <protection hidden="1"/>
    </xf>
    <xf numFmtId="164" fontId="28" fillId="11" borderId="62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97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98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99" xfId="0" applyNumberFormat="1" applyFont="1" applyFill="1" applyBorder="1" applyAlignment="1" applyProtection="1">
      <alignment horizontal="left" vertical="center" shrinkToFit="1"/>
      <protection hidden="1"/>
    </xf>
    <xf numFmtId="0" fontId="22" fillId="6" borderId="0" xfId="0" applyFont="1" applyFill="1" applyAlignment="1" applyProtection="1">
      <alignment horizontal="center" vertical="center"/>
      <protection locked="0"/>
    </xf>
    <xf numFmtId="0" fontId="20" fillId="4" borderId="34" xfId="0" applyFont="1" applyFill="1" applyBorder="1" applyAlignment="1" applyProtection="1">
      <alignment horizontal="left" vertical="top"/>
      <protection locked="0"/>
    </xf>
    <xf numFmtId="164" fontId="28" fillId="8" borderId="61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48" xfId="0" applyNumberFormat="1" applyFont="1" applyFill="1" applyBorder="1" applyAlignment="1" applyProtection="1">
      <alignment horizontal="left" vertical="center" shrinkToFit="1"/>
      <protection hidden="1"/>
    </xf>
    <xf numFmtId="0" fontId="33" fillId="4" borderId="24" xfId="0" applyFont="1" applyFill="1" applyBorder="1" applyAlignment="1" applyProtection="1">
      <alignment horizontal="center" vertical="top"/>
      <protection locked="0"/>
    </xf>
    <xf numFmtId="0" fontId="1" fillId="4" borderId="24" xfId="0" applyFont="1" applyFill="1" applyBorder="1" applyAlignment="1" applyProtection="1">
      <alignment horizontal="center" vertical="top"/>
      <protection locked="0"/>
    </xf>
    <xf numFmtId="164" fontId="28" fillId="8" borderId="46" xfId="0" applyNumberFormat="1" applyFont="1" applyFill="1" applyBorder="1" applyAlignment="1" applyProtection="1">
      <alignment horizontal="left" vertical="center" shrinkToFit="1"/>
      <protection hidden="1"/>
    </xf>
    <xf numFmtId="164" fontId="28" fillId="8" borderId="37" xfId="0" applyNumberFormat="1" applyFont="1" applyFill="1" applyBorder="1" applyAlignment="1" applyProtection="1">
      <alignment horizontal="left" vertical="center" shrinkToFit="1"/>
      <protection hidden="1"/>
    </xf>
    <xf numFmtId="1" fontId="14" fillId="9" borderId="92" xfId="0" applyNumberFormat="1" applyFont="1" applyFill="1" applyBorder="1" applyAlignment="1" applyProtection="1">
      <alignment horizontal="center" vertical="center"/>
      <protection hidden="1"/>
    </xf>
    <xf numFmtId="0" fontId="21" fillId="0" borderId="38" xfId="0" applyFont="1" applyBorder="1" applyAlignment="1" applyProtection="1">
      <alignment horizontal="center" vertical="center" shrinkToFit="1"/>
      <protection locked="0"/>
    </xf>
    <xf numFmtId="0" fontId="21" fillId="0" borderId="0" xfId="0" applyFont="1" applyBorder="1" applyAlignment="1" applyProtection="1">
      <alignment horizontal="center" vertical="center" shrinkToFit="1"/>
      <protection locked="0"/>
    </xf>
    <xf numFmtId="1" fontId="1" fillId="5" borderId="57" xfId="0" applyNumberFormat="1" applyFont="1" applyFill="1" applyBorder="1" applyAlignment="1" applyProtection="1">
      <alignment horizontal="center" vertical="center"/>
      <protection locked="0"/>
    </xf>
    <xf numFmtId="1" fontId="1" fillId="5" borderId="58" xfId="0" applyNumberFormat="1" applyFont="1" applyFill="1" applyBorder="1" applyAlignment="1" applyProtection="1">
      <alignment horizontal="center" vertical="center"/>
      <protection locked="0"/>
    </xf>
    <xf numFmtId="1" fontId="1" fillId="5" borderId="90" xfId="0" applyNumberFormat="1" applyFont="1" applyFill="1" applyBorder="1" applyAlignment="1" applyProtection="1">
      <alignment horizontal="center" vertical="center"/>
      <protection locked="0"/>
    </xf>
    <xf numFmtId="1" fontId="14" fillId="9" borderId="8" xfId="0" applyNumberFormat="1" applyFont="1" applyFill="1" applyBorder="1" applyAlignment="1" applyProtection="1">
      <alignment horizontal="center" vertical="center"/>
      <protection hidden="1"/>
    </xf>
    <xf numFmtId="1" fontId="2" fillId="0" borderId="5" xfId="0" applyNumberFormat="1" applyFont="1" applyBorder="1" applyAlignment="1" applyProtection="1">
      <alignment horizontal="center" vertical="center"/>
      <protection hidden="1"/>
    </xf>
    <xf numFmtId="164" fontId="2" fillId="0" borderId="6" xfId="0" applyNumberFormat="1" applyFont="1" applyBorder="1" applyAlignment="1" applyProtection="1">
      <alignment horizontal="center" vertical="center"/>
      <protection hidden="1"/>
    </xf>
    <xf numFmtId="165" fontId="2" fillId="0" borderId="6" xfId="0" applyNumberFormat="1" applyFont="1" applyBorder="1" applyAlignment="1" applyProtection="1">
      <alignment horizontal="center" vertical="center"/>
      <protection hidden="1"/>
    </xf>
    <xf numFmtId="0" fontId="28" fillId="3" borderId="7" xfId="0" applyFont="1" applyFill="1" applyBorder="1" applyAlignment="1" applyProtection="1">
      <alignment horizontal="center" vertical="center" shrinkToFit="1"/>
      <protection locked="0"/>
    </xf>
    <xf numFmtId="0" fontId="28" fillId="3" borderId="9" xfId="0" applyFont="1" applyFill="1" applyBorder="1" applyAlignment="1" applyProtection="1">
      <alignment horizontal="center" vertical="center" shrinkToFit="1"/>
      <protection locked="0"/>
    </xf>
    <xf numFmtId="0" fontId="28" fillId="3" borderId="14" xfId="0" applyFont="1" applyFill="1" applyBorder="1" applyAlignment="1" applyProtection="1">
      <alignment horizontal="center" vertical="center" shrinkToFit="1"/>
      <protection locked="0"/>
    </xf>
    <xf numFmtId="1" fontId="1" fillId="8" borderId="158" xfId="0" applyNumberFormat="1" applyFont="1" applyFill="1" applyBorder="1" applyAlignment="1" applyProtection="1">
      <alignment horizontal="center" vertical="center"/>
      <protection locked="0"/>
    </xf>
    <xf numFmtId="1" fontId="1" fillId="5" borderId="159" xfId="0" applyNumberFormat="1" applyFont="1" applyFill="1" applyBorder="1" applyAlignment="1" applyProtection="1">
      <alignment horizontal="center" vertical="center"/>
      <protection locked="0"/>
    </xf>
    <xf numFmtId="1" fontId="1" fillId="10" borderId="160" xfId="0" applyNumberFormat="1" applyFont="1" applyFill="1" applyBorder="1" applyAlignment="1" applyProtection="1">
      <alignment horizontal="center" vertical="center"/>
      <protection locked="0"/>
    </xf>
    <xf numFmtId="1" fontId="1" fillId="5" borderId="160" xfId="0" applyNumberFormat="1" applyFont="1" applyFill="1" applyBorder="1" applyAlignment="1" applyProtection="1">
      <alignment horizontal="center" vertical="center"/>
      <protection locked="0"/>
    </xf>
    <xf numFmtId="1" fontId="1" fillId="3" borderId="160" xfId="0" applyNumberFormat="1" applyFont="1" applyFill="1" applyBorder="1" applyAlignment="1" applyProtection="1">
      <alignment horizontal="center" vertical="center"/>
      <protection locked="0"/>
    </xf>
    <xf numFmtId="1" fontId="1" fillId="10" borderId="159" xfId="0" applyNumberFormat="1" applyFont="1" applyFill="1" applyBorder="1" applyAlignment="1" applyProtection="1">
      <alignment horizontal="center" vertical="center"/>
      <protection locked="0"/>
    </xf>
    <xf numFmtId="1" fontId="1" fillId="8" borderId="160" xfId="0" applyNumberFormat="1" applyFont="1" applyFill="1" applyBorder="1" applyAlignment="1" applyProtection="1">
      <alignment horizontal="center" vertical="center"/>
      <protection locked="0"/>
    </xf>
    <xf numFmtId="0" fontId="1" fillId="0" borderId="40" xfId="0" applyFont="1" applyBorder="1" applyAlignment="1" applyProtection="1">
      <alignment horizontal="center" vertical="center"/>
      <protection locked="0"/>
    </xf>
    <xf numFmtId="0" fontId="1" fillId="0" borderId="24" xfId="0" applyFont="1" applyBorder="1" applyAlignment="1" applyProtection="1">
      <alignment horizontal="center" vertical="center"/>
      <protection locked="0"/>
    </xf>
    <xf numFmtId="0" fontId="1" fillId="0" borderId="56" xfId="0" applyFont="1" applyBorder="1" applyAlignment="1" applyProtection="1">
      <alignment horizontal="center" vertical="center"/>
      <protection locked="0"/>
    </xf>
    <xf numFmtId="0" fontId="28" fillId="3" borderId="31" xfId="0" applyFont="1" applyFill="1" applyBorder="1" applyAlignment="1" applyProtection="1">
      <alignment horizontal="center" vertical="center" shrinkToFit="1"/>
      <protection locked="0"/>
    </xf>
    <xf numFmtId="0" fontId="28" fillId="3" borderId="18" xfId="0" applyFont="1" applyFill="1" applyBorder="1" applyAlignment="1" applyProtection="1">
      <alignment horizontal="center" vertical="center" shrinkToFit="1"/>
      <protection locked="0"/>
    </xf>
    <xf numFmtId="0" fontId="28" fillId="3" borderId="149" xfId="0" applyFont="1" applyFill="1" applyBorder="1" applyAlignment="1" applyProtection="1">
      <alignment horizontal="center" vertical="center" shrinkToFit="1"/>
      <protection locked="0"/>
    </xf>
    <xf numFmtId="0" fontId="28" fillId="3" borderId="28" xfId="0" applyFont="1" applyFill="1" applyBorder="1" applyAlignment="1" applyProtection="1">
      <alignment horizontal="center" vertical="center" shrinkToFit="1"/>
      <protection locked="0"/>
    </xf>
    <xf numFmtId="0" fontId="28" fillId="3" borderId="29" xfId="0" applyFont="1" applyFill="1" applyBorder="1" applyAlignment="1" applyProtection="1">
      <alignment horizontal="center" vertical="center" shrinkToFit="1"/>
      <protection locked="0"/>
    </xf>
    <xf numFmtId="1" fontId="32" fillId="5" borderId="161" xfId="0" applyNumberFormat="1" applyFont="1" applyFill="1" applyBorder="1" applyAlignment="1" applyProtection="1">
      <alignment horizontal="center" vertical="center"/>
      <protection locked="0"/>
    </xf>
    <xf numFmtId="1" fontId="25" fillId="4" borderId="44" xfId="0" applyNumberFormat="1" applyFont="1" applyFill="1" applyBorder="1" applyAlignment="1" applyProtection="1">
      <alignment horizontal="center" vertical="center"/>
      <protection locked="0"/>
    </xf>
    <xf numFmtId="0" fontId="23" fillId="6" borderId="11" xfId="0" applyFont="1" applyFill="1" applyBorder="1" applyAlignment="1" applyProtection="1">
      <alignment horizontal="center" vertical="center"/>
      <protection locked="0"/>
    </xf>
    <xf numFmtId="0" fontId="23" fillId="6" borderId="44" xfId="0" applyFont="1" applyFill="1" applyBorder="1" applyAlignment="1" applyProtection="1">
      <alignment horizontal="center" vertical="center"/>
    </xf>
    <xf numFmtId="1" fontId="1" fillId="8" borderId="162" xfId="0" applyNumberFormat="1" applyFont="1" applyFill="1" applyBorder="1" applyAlignment="1" applyProtection="1">
      <alignment horizontal="center" vertical="center"/>
      <protection locked="0"/>
    </xf>
    <xf numFmtId="1" fontId="14" fillId="9" borderId="163" xfId="0" applyNumberFormat="1" applyFont="1" applyFill="1" applyBorder="1" applyAlignment="1" applyProtection="1">
      <alignment horizontal="center" vertical="center"/>
      <protection hidden="1"/>
    </xf>
    <xf numFmtId="1" fontId="1" fillId="5" borderId="164" xfId="0" applyNumberFormat="1" applyFont="1" applyFill="1" applyBorder="1" applyAlignment="1" applyProtection="1">
      <alignment horizontal="center" vertical="center"/>
      <protection locked="0"/>
    </xf>
    <xf numFmtId="1" fontId="1" fillId="8" borderId="165" xfId="0" applyNumberFormat="1" applyFont="1" applyFill="1" applyBorder="1" applyAlignment="1" applyProtection="1">
      <alignment horizontal="center" vertical="center"/>
      <protection locked="0"/>
    </xf>
    <xf numFmtId="1" fontId="1" fillId="5" borderId="165" xfId="0" applyNumberFormat="1" applyFont="1" applyFill="1" applyBorder="1" applyAlignment="1" applyProtection="1">
      <alignment horizontal="center" vertical="center"/>
      <protection locked="0"/>
    </xf>
    <xf numFmtId="1" fontId="1" fillId="10" borderId="165" xfId="0" applyNumberFormat="1" applyFont="1" applyFill="1" applyBorder="1" applyAlignment="1" applyProtection="1">
      <alignment horizontal="center" vertical="center"/>
      <protection locked="0"/>
    </xf>
    <xf numFmtId="1" fontId="1" fillId="3" borderId="165" xfId="0" applyNumberFormat="1" applyFont="1" applyFill="1" applyBorder="1" applyAlignment="1" applyProtection="1">
      <alignment horizontal="center" vertical="center"/>
      <protection locked="0"/>
    </xf>
    <xf numFmtId="1" fontId="1" fillId="10" borderId="164" xfId="0" applyNumberFormat="1" applyFont="1" applyFill="1" applyBorder="1" applyAlignment="1" applyProtection="1">
      <alignment horizontal="center" vertical="center"/>
      <protection locked="0"/>
    </xf>
    <xf numFmtId="1" fontId="22" fillId="5" borderId="166" xfId="0" applyNumberFormat="1" applyFont="1" applyFill="1" applyBorder="1" applyAlignment="1" applyProtection="1">
      <alignment horizontal="center" vertical="center"/>
      <protection locked="0"/>
    </xf>
    <xf numFmtId="1" fontId="22" fillId="5" borderId="167" xfId="0" applyNumberFormat="1" applyFont="1" applyFill="1" applyBorder="1" applyAlignment="1" applyProtection="1">
      <alignment horizontal="center" vertical="center"/>
      <protection locked="0"/>
    </xf>
    <xf numFmtId="1" fontId="22" fillId="5" borderId="168" xfId="0" applyNumberFormat="1" applyFont="1" applyFill="1" applyBorder="1" applyAlignment="1" applyProtection="1">
      <alignment horizontal="center" vertical="center"/>
      <protection locked="0"/>
    </xf>
    <xf numFmtId="1" fontId="22" fillId="5" borderId="169" xfId="0" applyNumberFormat="1" applyFont="1" applyFill="1" applyBorder="1" applyAlignment="1" applyProtection="1">
      <alignment horizontal="center" vertical="center"/>
    </xf>
    <xf numFmtId="1" fontId="22" fillId="5" borderId="170" xfId="0" applyNumberFormat="1" applyFont="1" applyFill="1" applyBorder="1" applyAlignment="1" applyProtection="1">
      <alignment horizontal="center" vertical="center"/>
      <protection locked="0"/>
    </xf>
    <xf numFmtId="1" fontId="14" fillId="9" borderId="169" xfId="0" applyNumberFormat="1" applyFont="1" applyFill="1" applyBorder="1" applyAlignment="1" applyProtection="1">
      <alignment horizontal="center" vertical="center"/>
      <protection hidden="1"/>
    </xf>
    <xf numFmtId="1" fontId="22" fillId="5" borderId="171" xfId="0" applyNumberFormat="1" applyFont="1" applyFill="1" applyBorder="1" applyAlignment="1" applyProtection="1">
      <alignment horizontal="center" vertical="center"/>
      <protection locked="0"/>
    </xf>
    <xf numFmtId="1" fontId="22" fillId="5" borderId="150" xfId="0" applyNumberFormat="1" applyFont="1" applyFill="1" applyBorder="1" applyAlignment="1" applyProtection="1">
      <alignment horizontal="center" vertical="center"/>
      <protection locked="0"/>
    </xf>
    <xf numFmtId="1" fontId="14" fillId="9" borderId="172" xfId="0" applyNumberFormat="1" applyFont="1" applyFill="1" applyBorder="1" applyAlignment="1" applyProtection="1">
      <alignment horizontal="center" vertical="center"/>
      <protection hidden="1"/>
    </xf>
    <xf numFmtId="1" fontId="22" fillId="5" borderId="169" xfId="0" applyNumberFormat="1" applyFont="1" applyFill="1" applyBorder="1" applyAlignment="1" applyProtection="1">
      <alignment horizontal="center" vertical="center"/>
      <protection locked="0"/>
    </xf>
    <xf numFmtId="1" fontId="14" fillId="9" borderId="174" xfId="0" applyNumberFormat="1" applyFont="1" applyFill="1" applyBorder="1" applyAlignment="1" applyProtection="1">
      <alignment horizontal="center" vertical="center"/>
      <protection hidden="1"/>
    </xf>
    <xf numFmtId="1" fontId="14" fillId="9" borderId="135" xfId="0" applyNumberFormat="1" applyFont="1" applyFill="1" applyBorder="1" applyAlignment="1" applyProtection="1">
      <alignment horizontal="center" vertical="center"/>
      <protection hidden="1"/>
    </xf>
    <xf numFmtId="1" fontId="22" fillId="5" borderId="175" xfId="0" applyNumberFormat="1" applyFont="1" applyFill="1" applyBorder="1" applyAlignment="1" applyProtection="1">
      <alignment horizontal="center" vertical="center"/>
      <protection locked="0"/>
    </xf>
    <xf numFmtId="0" fontId="51" fillId="12" borderId="157" xfId="3" applyBorder="1" applyAlignment="1" applyProtection="1">
      <alignment horizontal="center" vertical="center" shrinkToFit="1"/>
      <protection locked="0"/>
    </xf>
    <xf numFmtId="0" fontId="53" fillId="12" borderId="176" xfId="3" applyFont="1" applyBorder="1" applyAlignment="1" applyProtection="1">
      <alignment horizontal="center" vertical="center" shrinkToFit="1"/>
      <protection locked="0"/>
    </xf>
    <xf numFmtId="0" fontId="28" fillId="3" borderId="102" xfId="0" applyFont="1" applyFill="1" applyBorder="1" applyAlignment="1" applyProtection="1">
      <alignment horizontal="center" vertical="center" shrinkToFit="1"/>
      <protection locked="0"/>
    </xf>
    <xf numFmtId="0" fontId="28" fillId="3" borderId="103" xfId="0" applyFont="1" applyFill="1" applyBorder="1" applyAlignment="1" applyProtection="1">
      <alignment horizontal="center" vertical="center" shrinkToFit="1"/>
      <protection locked="0"/>
    </xf>
    <xf numFmtId="0" fontId="28" fillId="3" borderId="104" xfId="0" applyFont="1" applyFill="1" applyBorder="1" applyAlignment="1" applyProtection="1">
      <alignment horizontal="center" vertical="center" shrinkToFit="1"/>
      <protection locked="0"/>
    </xf>
    <xf numFmtId="1" fontId="25" fillId="4" borderId="5" xfId="0" applyNumberFormat="1" applyFont="1" applyFill="1" applyBorder="1" applyAlignment="1" applyProtection="1">
      <alignment horizontal="center" vertical="center"/>
      <protection locked="0"/>
    </xf>
    <xf numFmtId="1" fontId="32" fillId="5" borderId="96" xfId="0" applyNumberFormat="1" applyFont="1" applyFill="1" applyBorder="1" applyAlignment="1" applyProtection="1">
      <alignment horizontal="center" vertical="center"/>
      <protection locked="0"/>
    </xf>
    <xf numFmtId="1" fontId="32" fillId="5" borderId="73" xfId="0" applyNumberFormat="1" applyFont="1" applyFill="1" applyBorder="1" applyAlignment="1" applyProtection="1">
      <alignment horizontal="center" vertical="center"/>
      <protection locked="0"/>
    </xf>
    <xf numFmtId="1" fontId="25" fillId="4" borderId="121" xfId="0" applyNumberFormat="1" applyFont="1" applyFill="1" applyBorder="1" applyAlignment="1" applyProtection="1">
      <alignment horizontal="center" vertical="center"/>
      <protection locked="0"/>
    </xf>
    <xf numFmtId="0" fontId="28" fillId="3" borderId="2" xfId="0" applyFont="1" applyFill="1" applyBorder="1" applyAlignment="1" applyProtection="1">
      <alignment horizontal="center" vertical="center" shrinkToFit="1"/>
      <protection locked="0"/>
    </xf>
    <xf numFmtId="0" fontId="28" fillId="3" borderId="177" xfId="0" applyFont="1" applyFill="1" applyBorder="1" applyAlignment="1" applyProtection="1">
      <alignment horizontal="center" vertical="center" shrinkToFit="1"/>
      <protection locked="0"/>
    </xf>
    <xf numFmtId="0" fontId="52" fillId="4" borderId="5" xfId="0" applyFont="1" applyFill="1" applyBorder="1" applyAlignment="1" applyProtection="1">
      <alignment vertical="center" shrinkToFit="1"/>
      <protection locked="0"/>
    </xf>
    <xf numFmtId="0" fontId="29" fillId="0" borderId="102" xfId="0" applyFont="1" applyBorder="1" applyAlignment="1" applyProtection="1">
      <alignment horizontal="center" vertical="center" shrinkToFit="1"/>
      <protection locked="0"/>
    </xf>
    <xf numFmtId="0" fontId="29" fillId="0" borderId="103" xfId="0" applyFont="1" applyBorder="1" applyAlignment="1" applyProtection="1">
      <alignment horizontal="center" vertical="center" shrinkToFit="1"/>
      <protection locked="0"/>
    </xf>
    <xf numFmtId="0" fontId="29" fillId="0" borderId="104" xfId="0" applyFont="1" applyBorder="1" applyAlignment="1" applyProtection="1">
      <alignment horizontal="center" vertical="center" shrinkToFit="1"/>
      <protection locked="0"/>
    </xf>
    <xf numFmtId="0" fontId="22" fillId="3" borderId="40" xfId="0" applyFont="1" applyFill="1" applyBorder="1" applyAlignment="1" applyProtection="1">
      <alignment horizontal="center" vertical="center" shrinkToFit="1"/>
      <protection locked="0"/>
    </xf>
    <xf numFmtId="0" fontId="22" fillId="3" borderId="24" xfId="0" applyFont="1" applyFill="1" applyBorder="1" applyAlignment="1" applyProtection="1">
      <alignment horizontal="center" vertical="center" shrinkToFit="1"/>
      <protection locked="0"/>
    </xf>
    <xf numFmtId="0" fontId="22" fillId="3" borderId="56" xfId="0" applyFont="1" applyFill="1" applyBorder="1" applyAlignment="1" applyProtection="1">
      <alignment horizontal="center" vertical="center" shrinkToFit="1"/>
      <protection locked="0"/>
    </xf>
    <xf numFmtId="0" fontId="1" fillId="0" borderId="6" xfId="0" applyFont="1" applyBorder="1" applyAlignment="1" applyProtection="1">
      <alignment horizontal="center" vertical="center"/>
      <protection locked="0"/>
    </xf>
    <xf numFmtId="0" fontId="52" fillId="4" borderId="121" xfId="0" applyFont="1" applyFill="1" applyBorder="1" applyAlignment="1" applyProtection="1">
      <alignment vertical="center" shrinkToFit="1"/>
      <protection locked="0"/>
    </xf>
    <xf numFmtId="0" fontId="23" fillId="6" borderId="178" xfId="0" applyFont="1" applyFill="1" applyBorder="1" applyAlignment="1" applyProtection="1">
      <alignment horizontal="center" vertical="center"/>
      <protection locked="0"/>
    </xf>
    <xf numFmtId="1" fontId="23" fillId="6" borderId="29" xfId="0" applyNumberFormat="1" applyFont="1" applyFill="1" applyBorder="1" applyAlignment="1" applyProtection="1">
      <alignment horizontal="center" vertical="center"/>
      <protection hidden="1"/>
    </xf>
    <xf numFmtId="1" fontId="1" fillId="10" borderId="173" xfId="0" applyNumberFormat="1" applyFont="1" applyFill="1" applyBorder="1" applyAlignment="1" applyProtection="1">
      <alignment horizontal="center" wrapText="1"/>
      <protection locked="0"/>
    </xf>
    <xf numFmtId="1" fontId="1" fillId="0" borderId="165" xfId="0" applyNumberFormat="1" applyFont="1" applyBorder="1" applyAlignment="1" applyProtection="1">
      <alignment horizontal="center"/>
      <protection locked="0"/>
    </xf>
    <xf numFmtId="1" fontId="1" fillId="10" borderId="165" xfId="0" applyNumberFormat="1" applyFont="1" applyFill="1" applyBorder="1" applyAlignment="1" applyProtection="1">
      <alignment horizontal="center"/>
      <protection locked="0"/>
    </xf>
    <xf numFmtId="1" fontId="1" fillId="8" borderId="165" xfId="0" applyNumberFormat="1" applyFont="1" applyFill="1" applyBorder="1" applyAlignment="1" applyProtection="1">
      <alignment horizontal="center" shrinkToFit="1"/>
      <protection locked="0" hidden="1"/>
    </xf>
    <xf numFmtId="1" fontId="1" fillId="11" borderId="165" xfId="0" applyNumberFormat="1" applyFont="1" applyFill="1" applyBorder="1" applyAlignment="1" applyProtection="1">
      <alignment horizontal="center" shrinkToFit="1"/>
      <protection locked="0" hidden="1"/>
    </xf>
    <xf numFmtId="1" fontId="1" fillId="11" borderId="179" xfId="0" applyNumberFormat="1" applyFont="1" applyFill="1" applyBorder="1" applyAlignment="1" applyProtection="1">
      <alignment horizontal="center" shrinkToFit="1"/>
      <protection locked="0" hidden="1"/>
    </xf>
    <xf numFmtId="1" fontId="1" fillId="11" borderId="180" xfId="0" applyNumberFormat="1" applyFont="1" applyFill="1" applyBorder="1" applyAlignment="1" applyProtection="1">
      <alignment horizontal="center" shrinkToFit="1"/>
      <protection locked="0" hidden="1"/>
    </xf>
    <xf numFmtId="1" fontId="1" fillId="5" borderId="180" xfId="0" applyNumberFormat="1" applyFont="1" applyFill="1" applyBorder="1" applyAlignment="1" applyProtection="1">
      <alignment horizontal="center"/>
      <protection locked="0"/>
    </xf>
    <xf numFmtId="1" fontId="1" fillId="5" borderId="181" xfId="0" applyNumberFormat="1" applyFont="1" applyFill="1" applyBorder="1" applyAlignment="1" applyProtection="1">
      <alignment horizontal="center"/>
      <protection locked="0"/>
    </xf>
    <xf numFmtId="1" fontId="14" fillId="9" borderId="109" xfId="0" applyNumberFormat="1" applyFont="1" applyFill="1" applyBorder="1" applyAlignment="1" applyProtection="1">
      <alignment horizontal="center" vertical="center"/>
      <protection hidden="1"/>
    </xf>
    <xf numFmtId="1" fontId="1" fillId="11" borderId="182" xfId="0" applyNumberFormat="1" applyFont="1" applyFill="1" applyBorder="1" applyAlignment="1" applyProtection="1">
      <alignment horizontal="center" shrinkToFit="1"/>
      <protection locked="0" hidden="1"/>
    </xf>
    <xf numFmtId="1" fontId="1" fillId="5" borderId="182" xfId="0" applyNumberFormat="1" applyFont="1" applyFill="1" applyBorder="1" applyAlignment="1" applyProtection="1">
      <alignment horizontal="center"/>
      <protection locked="0"/>
    </xf>
    <xf numFmtId="1" fontId="14" fillId="9" borderId="183" xfId="0" applyNumberFormat="1" applyFont="1" applyFill="1" applyBorder="1" applyAlignment="1" applyProtection="1">
      <alignment horizontal="center" vertical="center"/>
      <protection hidden="1"/>
    </xf>
    <xf numFmtId="0" fontId="28" fillId="3" borderId="3" xfId="0" applyFont="1" applyFill="1" applyBorder="1" applyAlignment="1" applyProtection="1">
      <alignment horizontal="center" vertical="center" shrinkToFit="1"/>
      <protection locked="0"/>
    </xf>
    <xf numFmtId="0" fontId="28" fillId="3" borderId="100" xfId="0" applyFont="1" applyFill="1" applyBorder="1" applyAlignment="1" applyProtection="1">
      <alignment horizontal="center" vertical="center" shrinkToFit="1"/>
      <protection locked="0"/>
    </xf>
    <xf numFmtId="0" fontId="28" fillId="3" borderId="107" xfId="0" applyFont="1" applyFill="1" applyBorder="1" applyAlignment="1" applyProtection="1">
      <alignment horizontal="center" vertical="center" shrinkToFit="1"/>
      <protection locked="0"/>
    </xf>
    <xf numFmtId="0" fontId="28" fillId="3" borderId="108" xfId="0" applyFont="1" applyFill="1" applyBorder="1" applyAlignment="1" applyProtection="1">
      <alignment horizontal="center" vertical="center" shrinkToFit="1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22" fillId="3" borderId="42" xfId="0" applyFont="1" applyFill="1" applyBorder="1" applyAlignment="1" applyProtection="1">
      <alignment horizontal="center" vertical="center" shrinkToFit="1"/>
      <protection locked="0"/>
    </xf>
    <xf numFmtId="0" fontId="52" fillId="4" borderId="184" xfId="0" applyFont="1" applyFill="1" applyBorder="1" applyAlignment="1" applyProtection="1">
      <alignment horizontal="center" vertical="center" shrinkToFit="1"/>
      <protection locked="0"/>
    </xf>
    <xf numFmtId="0" fontId="52" fillId="4" borderId="121" xfId="0" applyFont="1" applyFill="1" applyBorder="1" applyAlignment="1" applyProtection="1">
      <alignment horizontal="center" vertical="center" shrinkToFit="1"/>
      <protection locked="0"/>
    </xf>
    <xf numFmtId="1" fontId="14" fillId="9" borderId="185" xfId="0" applyNumberFormat="1" applyFont="1" applyFill="1" applyBorder="1" applyAlignment="1" applyProtection="1">
      <alignment horizontal="center" vertical="center"/>
      <protection hidden="1"/>
    </xf>
    <xf numFmtId="1" fontId="14" fillId="9" borderId="186" xfId="0" applyNumberFormat="1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00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54" fillId="0" borderId="1" xfId="0" applyFont="1" applyBorder="1" applyAlignment="1" applyProtection="1">
      <alignment horizontal="center" vertical="center"/>
      <protection locked="0"/>
    </xf>
    <xf numFmtId="0" fontId="55" fillId="3" borderId="1" xfId="0" applyFont="1" applyFill="1" applyBorder="1" applyAlignment="1" applyProtection="1">
      <alignment horizontal="center" vertical="center" shrinkToFit="1"/>
      <protection locked="0"/>
    </xf>
    <xf numFmtId="0" fontId="22" fillId="3" borderId="31" xfId="0" applyFont="1" applyFill="1" applyBorder="1" applyAlignment="1" applyProtection="1">
      <alignment horizontal="center" vertical="center" shrinkToFit="1"/>
      <protection locked="0"/>
    </xf>
    <xf numFmtId="0" fontId="22" fillId="3" borderId="18" xfId="0" applyFont="1" applyFill="1" applyBorder="1" applyAlignment="1" applyProtection="1">
      <alignment horizontal="center" vertical="center" shrinkToFit="1"/>
      <protection locked="0"/>
    </xf>
    <xf numFmtId="0" fontId="22" fillId="3" borderId="177" xfId="0" applyFont="1" applyFill="1" applyBorder="1" applyAlignment="1" applyProtection="1">
      <alignment horizontal="center" vertical="center" shrinkToFit="1"/>
      <protection locked="0"/>
    </xf>
    <xf numFmtId="0" fontId="22" fillId="3" borderId="148" xfId="0" applyFont="1" applyFill="1" applyBorder="1" applyAlignment="1" applyProtection="1">
      <alignment horizontal="center" vertical="center" shrinkToFit="1"/>
      <protection locked="0"/>
    </xf>
    <xf numFmtId="1" fontId="25" fillId="5" borderId="18" xfId="0" applyNumberFormat="1" applyFont="1" applyFill="1" applyBorder="1" applyAlignment="1" applyProtection="1">
      <alignment horizontal="center" vertical="center"/>
      <protection locked="0"/>
    </xf>
    <xf numFmtId="1" fontId="25" fillId="5" borderId="177" xfId="0" applyNumberFormat="1" applyFont="1" applyFill="1" applyBorder="1" applyAlignment="1" applyProtection="1">
      <alignment horizontal="center" vertical="center"/>
      <protection locked="0"/>
    </xf>
    <xf numFmtId="1" fontId="56" fillId="5" borderId="148" xfId="0" applyNumberFormat="1" applyFont="1" applyFill="1" applyBorder="1" applyAlignment="1" applyProtection="1">
      <alignment horizontal="center" vertical="center"/>
      <protection locked="0"/>
    </xf>
    <xf numFmtId="2" fontId="41" fillId="2" borderId="22" xfId="0" applyNumberFormat="1" applyFont="1" applyFill="1" applyBorder="1" applyAlignment="1" applyProtection="1">
      <alignment vertical="center" wrapText="1"/>
      <protection locked="0"/>
    </xf>
    <xf numFmtId="2" fontId="41" fillId="2" borderId="21" xfId="0" applyNumberFormat="1" applyFont="1" applyFill="1" applyBorder="1" applyAlignment="1" applyProtection="1">
      <alignment vertical="center" wrapText="1"/>
      <protection locked="0"/>
    </xf>
    <xf numFmtId="0" fontId="52" fillId="4" borderId="28" xfId="0" applyFont="1" applyFill="1" applyBorder="1" applyAlignment="1" applyProtection="1">
      <alignment horizontal="center" vertical="center" shrinkToFit="1"/>
      <protection locked="0"/>
    </xf>
    <xf numFmtId="0" fontId="52" fillId="4" borderId="29" xfId="0" applyFont="1" applyFill="1" applyBorder="1" applyAlignment="1" applyProtection="1">
      <alignment horizontal="center" vertical="center" shrinkToFit="1"/>
      <protection locked="0"/>
    </xf>
    <xf numFmtId="1" fontId="53" fillId="12" borderId="1" xfId="3" applyNumberFormat="1" applyFont="1" applyBorder="1" applyAlignment="1" applyProtection="1">
      <alignment horizontal="center" vertical="center"/>
      <protection locked="0"/>
    </xf>
    <xf numFmtId="1" fontId="51" fillId="12" borderId="42" xfId="3" applyNumberFormat="1" applyBorder="1" applyAlignment="1" applyProtection="1">
      <alignment horizontal="center" vertical="center"/>
      <protection locked="0"/>
    </xf>
    <xf numFmtId="1" fontId="41" fillId="10" borderId="187" xfId="0" applyNumberFormat="1" applyFont="1" applyFill="1" applyBorder="1" applyAlignment="1" applyProtection="1">
      <alignment horizontal="center" vertical="center" wrapText="1"/>
    </xf>
    <xf numFmtId="1" fontId="41" fillId="10" borderId="188" xfId="0" applyNumberFormat="1" applyFont="1" applyFill="1" applyBorder="1" applyAlignment="1" applyProtection="1">
      <alignment horizontal="center" vertical="center" wrapText="1"/>
    </xf>
    <xf numFmtId="1" fontId="41" fillId="10" borderId="189" xfId="0" applyNumberFormat="1" applyFont="1" applyFill="1" applyBorder="1" applyAlignment="1" applyProtection="1">
      <alignment horizontal="center" vertical="center" wrapText="1"/>
    </xf>
    <xf numFmtId="1" fontId="41" fillId="10" borderId="190" xfId="0" applyNumberFormat="1" applyFont="1" applyFill="1" applyBorder="1" applyAlignment="1" applyProtection="1">
      <alignment horizontal="center" vertical="center" wrapText="1"/>
    </xf>
    <xf numFmtId="1" fontId="14" fillId="3" borderId="85" xfId="0" applyNumberFormat="1" applyFont="1" applyFill="1" applyBorder="1" applyAlignment="1" applyProtection="1">
      <alignment horizontal="center" vertical="center" wrapText="1"/>
    </xf>
  </cellXfs>
  <cellStyles count="29">
    <cellStyle name="20% - Cor3 2" xfId="28" xr:uid="{0F631C58-CE94-4D63-881E-3946FE441385}"/>
    <cellStyle name="Cabeçalho 1 2" xfId="11" xr:uid="{036D9546-B67D-4275-8A42-60A40968F660}"/>
    <cellStyle name="Cabeçalho 1 3" xfId="6" xr:uid="{18196D2F-F704-40B0-8E8D-0A57D6B364D0}"/>
    <cellStyle name="Cabeçalho 2 2" xfId="10" xr:uid="{870B1DE8-747B-4B70-95DD-620B142077BC}"/>
    <cellStyle name="Cabeçalho 2 3" xfId="7" xr:uid="{DC633B35-BFB4-4C97-8DC9-0CBA38B9929F}"/>
    <cellStyle name="Cabeçalho 3 2" xfId="8" xr:uid="{FABC16D6-154C-49B3-B343-D26B86B9195C}"/>
    <cellStyle name="Hiperligação 2" xfId="15" xr:uid="{009845DA-705B-4663-9989-6AD4577F856E}"/>
    <cellStyle name="Neutro" xfId="3" builtinId="28"/>
    <cellStyle name="Normal" xfId="0" builtinId="0"/>
    <cellStyle name="Normal 2" xfId="2" xr:uid="{00000000-0005-0000-0000-000001000000}"/>
    <cellStyle name="Normal 2 2" xfId="1" xr:uid="{00000000-0005-0000-0000-000002000000}"/>
    <cellStyle name="Normal 2 3" xfId="16" xr:uid="{5D963FD7-465D-47D4-8173-336A5C7CD20D}"/>
    <cellStyle name="Normal 2 3 2" xfId="22" xr:uid="{B09C27FC-CC2E-4F67-9E1B-5991EF665E5E}"/>
    <cellStyle name="Normal 2 4" xfId="21" xr:uid="{0F80AB1C-AAB7-481F-B1DD-5F766FC88F76}"/>
    <cellStyle name="Normal 2 4 2" xfId="24" xr:uid="{490B3A9D-19E8-4741-9849-A1B8B1FDA5BF}"/>
    <cellStyle name="Normal 2 5" xfId="27" xr:uid="{14AC2C9E-453B-4A56-8C4B-BD71D2C81D26}"/>
    <cellStyle name="Normal 2 6" xfId="25" xr:uid="{E0487A73-9139-4A4A-B860-00CA1CE25905}"/>
    <cellStyle name="Normal 3" xfId="9" xr:uid="{CA777BB0-7CE8-44C0-B338-299CEA663E9C}"/>
    <cellStyle name="Normal 3 2" xfId="13" xr:uid="{CC12B76F-0A77-4ED6-B3C5-9306CEE3DC8D}"/>
    <cellStyle name="Normal 4" xfId="14" xr:uid="{7A9D1F17-8A23-4A51-B4A6-6F9CF6EFAAA4}"/>
    <cellStyle name="Normal 4 2" xfId="19" xr:uid="{6207885D-48F2-45CD-87F8-F1188ABF44DB}"/>
    <cellStyle name="Normal 5" xfId="17" xr:uid="{78D9CCE9-E041-4A1E-9C33-16009F13908D}"/>
    <cellStyle name="Normal 5 2" xfId="20" xr:uid="{852A735D-6C81-43CC-B03C-FCAA4419C593}"/>
    <cellStyle name="Normal 6" xfId="18" xr:uid="{009BE836-FCA1-4124-B966-0B81C412C657}"/>
    <cellStyle name="Normal 7" xfId="23" xr:uid="{D31B508E-666F-47BD-9A2E-CA7BC689C77B}"/>
    <cellStyle name="Normal 8" xfId="26" xr:uid="{03E7EA4F-B5F3-43E8-8975-289837610170}"/>
    <cellStyle name="Normal 9" xfId="4" xr:uid="{A79BE696-BDDC-4706-A7F7-C0A75625B522}"/>
    <cellStyle name="Título 2" xfId="12" xr:uid="{60E94A45-655E-4B94-8C06-7B61904E7D99}"/>
    <cellStyle name="Título 3" xfId="5" xr:uid="{ED0B936C-824D-432E-B91D-B6FC68CFB8D5}"/>
  </cellStyles>
  <dxfs count="5"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AL49"/>
  <sheetViews>
    <sheetView tabSelected="1" zoomScale="115" zoomScaleNormal="115" workbookViewId="0">
      <pane xSplit="2" ySplit="8" topLeftCell="C9" activePane="bottomRight" state="frozen"/>
      <selection activeCell="U42" sqref="U42"/>
      <selection pane="topRight" activeCell="U42" sqref="U42"/>
      <selection pane="bottomLeft" activeCell="U42" sqref="U42"/>
      <selection pane="bottomRight" activeCell="AK10" sqref="AK10"/>
    </sheetView>
  </sheetViews>
  <sheetFormatPr defaultRowHeight="15" x14ac:dyDescent="0.25"/>
  <cols>
    <col min="1" max="1" width="2.7109375" style="61" customWidth="1"/>
    <col min="2" max="2" width="16.140625" style="61" customWidth="1"/>
    <col min="3" max="3" width="12.7109375" style="61" customWidth="1"/>
    <col min="4" max="4" width="6.140625" style="61" customWidth="1"/>
    <col min="5" max="5" width="4.5703125" style="61" customWidth="1"/>
    <col min="6" max="6" width="3.7109375" style="61" customWidth="1"/>
    <col min="7" max="7" width="2.85546875" style="61" customWidth="1"/>
    <col min="8" max="9" width="4.85546875" style="61" customWidth="1"/>
    <col min="10" max="10" width="4.140625" style="61" customWidth="1"/>
    <col min="11" max="11" width="4.5703125" style="61" customWidth="1"/>
    <col min="12" max="12" width="8.7109375" style="61" customWidth="1"/>
    <col min="13" max="13" width="2.7109375" style="61" customWidth="1"/>
    <col min="14" max="14" width="4.140625" style="61" customWidth="1"/>
    <col min="15" max="15" width="2.7109375" style="61" customWidth="1"/>
    <col min="16" max="17" width="2.85546875" style="61" customWidth="1"/>
    <col min="18" max="18" width="3.7109375" style="61" customWidth="1"/>
    <col min="19" max="19" width="4.140625" style="61" customWidth="1"/>
    <col min="20" max="20" width="4.85546875" style="61" customWidth="1"/>
    <col min="21" max="21" width="5.42578125" style="61" customWidth="1"/>
    <col min="22" max="22" width="5.28515625" style="61" customWidth="1"/>
    <col min="23" max="23" width="4" style="155" customWidth="1"/>
    <col min="24" max="24" width="3.85546875" style="61" customWidth="1"/>
    <col min="25" max="25" width="6.5703125" style="61" customWidth="1"/>
    <col min="26" max="27" width="3.42578125" style="61" customWidth="1"/>
    <col min="28" max="28" width="3.7109375" style="61" customWidth="1"/>
    <col min="29" max="31" width="4.28515625" style="61" customWidth="1"/>
    <col min="32" max="32" width="3.5703125" style="61" customWidth="1"/>
    <col min="33" max="33" width="7.7109375" style="61" customWidth="1"/>
    <col min="34" max="34" width="5.7109375" style="61" customWidth="1"/>
    <col min="35" max="36" width="7.7109375" style="61" customWidth="1"/>
    <col min="37" max="37" width="6.42578125" style="61" customWidth="1"/>
    <col min="38" max="38" width="7.7109375" style="61" customWidth="1"/>
    <col min="39" max="16384" width="9.140625" style="61"/>
  </cols>
  <sheetData>
    <row r="1" spans="1:38" ht="15.75" customHeight="1" x14ac:dyDescent="0.3">
      <c r="A1" s="319"/>
      <c r="B1" s="319"/>
      <c r="C1" s="60"/>
      <c r="D1" s="344" t="s">
        <v>49</v>
      </c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  <c r="R1" s="344"/>
      <c r="S1" s="344"/>
      <c r="T1" s="344"/>
      <c r="U1" s="344"/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60"/>
      <c r="AI1" s="60"/>
      <c r="AJ1" s="60"/>
      <c r="AK1" s="60"/>
    </row>
    <row r="2" spans="1:38" ht="22.5" customHeight="1" x14ac:dyDescent="0.3">
      <c r="A2" s="319"/>
      <c r="B2" s="319"/>
      <c r="C2" s="62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60"/>
      <c r="AI2" s="60"/>
      <c r="AJ2" s="60"/>
      <c r="AK2" s="60"/>
    </row>
    <row r="3" spans="1:38" ht="19.5" customHeight="1" x14ac:dyDescent="0.3">
      <c r="A3" s="63"/>
      <c r="B3" s="60"/>
      <c r="C3" s="60"/>
      <c r="D3" s="60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153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</row>
    <row r="4" spans="1:38" ht="23.25" x14ac:dyDescent="0.35">
      <c r="A4" s="65" t="s">
        <v>0</v>
      </c>
      <c r="B4" s="64"/>
      <c r="C4" s="64"/>
      <c r="D4" s="64"/>
      <c r="E4" s="64"/>
      <c r="F4" s="64"/>
      <c r="G4" s="343" t="s">
        <v>69</v>
      </c>
      <c r="H4" s="343"/>
      <c r="I4" s="343"/>
      <c r="J4" s="343"/>
      <c r="K4" s="343"/>
      <c r="L4" s="343"/>
      <c r="M4" s="343"/>
      <c r="N4" s="66"/>
      <c r="O4" s="66"/>
      <c r="P4" s="66"/>
      <c r="Q4" s="66"/>
      <c r="R4" s="66"/>
      <c r="S4" s="66"/>
      <c r="T4" s="66"/>
      <c r="U4" s="66"/>
      <c r="V4" s="67"/>
      <c r="W4" s="154"/>
      <c r="X4" s="66"/>
      <c r="Y4" s="68"/>
      <c r="Z4" s="69" t="s">
        <v>15</v>
      </c>
      <c r="AA4" s="69"/>
      <c r="AB4" s="68" t="s">
        <v>70</v>
      </c>
      <c r="AC4" s="70" t="s">
        <v>43</v>
      </c>
      <c r="AD4" s="183" t="s">
        <v>73</v>
      </c>
      <c r="AE4" s="183"/>
      <c r="AF4" s="183"/>
      <c r="AG4" s="71"/>
      <c r="AH4" s="71"/>
      <c r="AI4" s="68"/>
      <c r="AJ4" s="64"/>
      <c r="AK4" s="64"/>
    </row>
    <row r="5" spans="1:38" ht="15.75" thickBot="1" x14ac:dyDescent="0.3">
      <c r="A5" s="72"/>
      <c r="B5" s="72"/>
      <c r="C5" s="320" t="s">
        <v>67</v>
      </c>
      <c r="D5" s="320"/>
      <c r="E5" s="320"/>
      <c r="F5" s="320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320"/>
      <c r="AD5" s="73"/>
      <c r="AE5" s="156"/>
      <c r="AF5" s="72"/>
      <c r="AG5" s="72"/>
      <c r="AH5" s="72"/>
      <c r="AI5" s="72"/>
      <c r="AJ5" s="72"/>
      <c r="AK5" s="72"/>
      <c r="AL5" s="74"/>
    </row>
    <row r="6" spans="1:38" ht="22.5" customHeight="1" x14ac:dyDescent="0.25">
      <c r="A6" s="321"/>
      <c r="B6" s="322"/>
      <c r="C6" s="341" t="s">
        <v>2</v>
      </c>
      <c r="D6" s="342"/>
      <c r="E6" s="342"/>
      <c r="F6" s="336" t="s">
        <v>1</v>
      </c>
      <c r="G6" s="337"/>
      <c r="H6" s="337"/>
      <c r="I6" s="337"/>
      <c r="J6" s="337"/>
      <c r="K6" s="150">
        <v>0.4</v>
      </c>
      <c r="L6" s="323" t="s">
        <v>64</v>
      </c>
      <c r="M6" s="324"/>
      <c r="N6" s="327">
        <v>0.2</v>
      </c>
      <c r="O6" s="329" t="s">
        <v>92</v>
      </c>
      <c r="P6" s="330"/>
      <c r="Q6" s="330"/>
      <c r="R6" s="330"/>
      <c r="S6" s="332">
        <v>0.2</v>
      </c>
      <c r="T6" s="333"/>
      <c r="U6" s="358" t="s">
        <v>3</v>
      </c>
      <c r="V6" s="359"/>
      <c r="W6" s="349" t="s">
        <v>46</v>
      </c>
      <c r="X6" s="349" t="s">
        <v>45</v>
      </c>
      <c r="Y6" s="362" t="s">
        <v>3</v>
      </c>
      <c r="Z6" s="363"/>
      <c r="AA6" s="349" t="s">
        <v>47</v>
      </c>
      <c r="AB6" s="349" t="s">
        <v>45</v>
      </c>
      <c r="AC6" s="74"/>
    </row>
    <row r="7" spans="1:38" ht="22.5" customHeight="1" x14ac:dyDescent="0.25">
      <c r="A7" s="75"/>
      <c r="B7" s="76"/>
      <c r="C7" s="538" t="s">
        <v>108</v>
      </c>
      <c r="D7" s="539"/>
      <c r="E7" s="136">
        <v>0.2</v>
      </c>
      <c r="F7" s="338" t="s">
        <v>52</v>
      </c>
      <c r="G7" s="339"/>
      <c r="H7" s="151">
        <v>0.2</v>
      </c>
      <c r="I7" s="340" t="s">
        <v>63</v>
      </c>
      <c r="J7" s="339"/>
      <c r="K7" s="152">
        <v>0.2</v>
      </c>
      <c r="L7" s="325"/>
      <c r="M7" s="326"/>
      <c r="N7" s="328"/>
      <c r="O7" s="325"/>
      <c r="P7" s="326"/>
      <c r="Q7" s="331"/>
      <c r="R7" s="331"/>
      <c r="S7" s="334"/>
      <c r="T7" s="335"/>
      <c r="U7" s="360"/>
      <c r="V7" s="361"/>
      <c r="W7" s="350"/>
      <c r="X7" s="350"/>
      <c r="Y7" s="364"/>
      <c r="Z7" s="365"/>
      <c r="AA7" s="350"/>
      <c r="AB7" s="350"/>
      <c r="AC7" s="74"/>
    </row>
    <row r="8" spans="1:38" ht="15.75" customHeight="1" thickBot="1" x14ac:dyDescent="0.3">
      <c r="A8" s="77" t="s">
        <v>4</v>
      </c>
      <c r="B8" s="78" t="s">
        <v>5</v>
      </c>
      <c r="C8" s="137" t="s">
        <v>57</v>
      </c>
      <c r="D8" s="345" t="s">
        <v>58</v>
      </c>
      <c r="E8" s="346"/>
      <c r="F8" s="143" t="s">
        <v>57</v>
      </c>
      <c r="G8" s="267" t="s">
        <v>58</v>
      </c>
      <c r="H8" s="268"/>
      <c r="I8" s="144" t="s">
        <v>57</v>
      </c>
      <c r="J8" s="267" t="s">
        <v>58</v>
      </c>
      <c r="K8" s="268"/>
      <c r="L8" s="145" t="s">
        <v>59</v>
      </c>
      <c r="M8" s="269" t="s">
        <v>60</v>
      </c>
      <c r="N8" s="270"/>
      <c r="O8" s="356" t="s">
        <v>59</v>
      </c>
      <c r="P8" s="357"/>
      <c r="Q8" s="269" t="s">
        <v>60</v>
      </c>
      <c r="R8" s="366"/>
      <c r="S8" s="366"/>
      <c r="T8" s="346"/>
      <c r="U8" s="352" t="s">
        <v>61</v>
      </c>
      <c r="V8" s="353"/>
      <c r="W8" s="351"/>
      <c r="X8" s="351"/>
      <c r="Y8" s="354" t="s">
        <v>62</v>
      </c>
      <c r="Z8" s="355"/>
      <c r="AA8" s="351"/>
      <c r="AB8" s="351"/>
      <c r="AC8" s="74"/>
    </row>
    <row r="9" spans="1:38" ht="13.5" customHeight="1" thickBot="1" x14ac:dyDescent="0.3">
      <c r="A9" s="80">
        <v>4</v>
      </c>
      <c r="B9" s="130" t="s">
        <v>74</v>
      </c>
      <c r="C9" s="138">
        <f>IF('Comp. Escrita'!AZ8="","",'Comp. Escrita'!AZ8)</f>
        <v>27.5</v>
      </c>
      <c r="D9" s="259">
        <f>IF('Comp. Escrita'!CS8="","",'Comp. Escrita'!CS8)</f>
        <v>30</v>
      </c>
      <c r="E9" s="260"/>
      <c r="F9" s="138">
        <f>IF(Oralidade!N8="","",Oralidade!N8)</f>
        <v>82</v>
      </c>
      <c r="G9" s="259" t="str">
        <f>IF(Oralidade!AB8="","",Oralidade!AB8)</f>
        <v/>
      </c>
      <c r="H9" s="260"/>
      <c r="I9" s="138">
        <f>IF(Oralidade!U8="","",Oralidade!U8)</f>
        <v>82</v>
      </c>
      <c r="J9" s="259" t="str">
        <f>IF(Oralidade!AI8="","",Oralidade!AI8)</f>
        <v/>
      </c>
      <c r="K9" s="260"/>
      <c r="L9" s="246"/>
      <c r="M9" s="271"/>
      <c r="N9" s="272"/>
      <c r="O9" s="347">
        <f>IF('Prod. Escrita'!AL8="","",'Prod. Escrita'!AL8)</f>
        <v>31</v>
      </c>
      <c r="P9" s="348"/>
      <c r="Q9" s="367" t="str">
        <f>IF('Prod. Escrita'!BQ8="","",'Prod. Escrita'!BQ8)</f>
        <v/>
      </c>
      <c r="R9" s="368"/>
      <c r="S9" s="368"/>
      <c r="T9" s="369"/>
      <c r="U9" s="241" t="str">
        <f>IF(AREAS((C9,F9,I9,L9,O9))-COUNT(C9,F9,I9,L9,O9)=0,ROUND(SUM($C9*$E7,$F9*$H$7,$I9*$K$7,$L9*$N$6,$O9*$S$6),0),"")</f>
        <v/>
      </c>
      <c r="V9" s="87" t="str">
        <f>IF((U9=""),"",IF(U9&gt;89,5,IF(U9&gt;69,4,IF(U9&gt;49,3,IF(U9&gt;19,2,IF(U9&gt;0,1))))))</f>
        <v/>
      </c>
      <c r="W9" s="173"/>
      <c r="X9" s="157" t="str">
        <f>V9</f>
        <v/>
      </c>
      <c r="Y9" s="182" t="str">
        <f>IF(AREAS((D9,G9,J9,M9,Q9))-COUNT(D9,G9,J9,M9,Q9)=0,ROUND(SUM($D9*$E7,$G9*$H$7,$J9*$K$7,$M9*$N$6,$Q9*$S$6),0),"")</f>
        <v/>
      </c>
      <c r="Z9" s="167" t="str">
        <f>IF((Y9=""),"",IF(Y9&gt;89,5,IF(Y9&gt;69,4,IF(Y9&gt;49,3,IF(Y9&gt;19,2,IF(Y9&gt;0,1))))))</f>
        <v/>
      </c>
      <c r="AA9" s="206"/>
      <c r="AB9" s="176" t="str">
        <f>Z9</f>
        <v/>
      </c>
      <c r="AC9" s="74"/>
    </row>
    <row r="10" spans="1:38" ht="13.5" customHeight="1" thickBot="1" x14ac:dyDescent="0.3">
      <c r="A10" s="81">
        <v>7</v>
      </c>
      <c r="B10" s="131" t="s">
        <v>75</v>
      </c>
      <c r="C10" s="139" t="str">
        <f>IF('Comp. Escrita'!AZ9="","",'Comp. Escrita'!AZ9)</f>
        <v/>
      </c>
      <c r="D10" s="251" t="str">
        <f>IF('Comp. Escrita'!CS9="","",'Comp. Escrita'!CS9)</f>
        <v/>
      </c>
      <c r="E10" s="252"/>
      <c r="F10" s="146">
        <f>IF(Oralidade!N9="","",Oralidade!N9)</f>
        <v>78</v>
      </c>
      <c r="G10" s="251" t="str">
        <f>IF(Oralidade!AB9="","",Oralidade!AB9)</f>
        <v/>
      </c>
      <c r="H10" s="252"/>
      <c r="I10" s="146">
        <f>IF(Oralidade!U9="","",Oralidade!U9)</f>
        <v>78</v>
      </c>
      <c r="J10" s="251" t="str">
        <f>IF(Oralidade!AI9="","",Oralidade!AI9)</f>
        <v/>
      </c>
      <c r="K10" s="252"/>
      <c r="L10" s="247"/>
      <c r="M10" s="257"/>
      <c r="N10" s="258"/>
      <c r="O10" s="284" t="str">
        <f>IF('Prod. Escrita'!AL9="","",'Prod. Escrita'!AL9)</f>
        <v/>
      </c>
      <c r="P10" s="285"/>
      <c r="Q10" s="261" t="str">
        <f>IF('Prod. Escrita'!BQ9="","",'Prod. Escrita'!BQ9)</f>
        <v/>
      </c>
      <c r="R10" s="262"/>
      <c r="S10" s="262"/>
      <c r="T10" s="263"/>
      <c r="U10" s="242" t="str">
        <f>IF(AREAS((C10,F10,I10,L10,O10))-COUNT(C10,F10,I10,L10,O10)=0,ROUND(SUM($C10*$E8,$F10*$H$7,$I10*$K$7,$L10*$N$6,$O10*$S$6),0),"")</f>
        <v/>
      </c>
      <c r="V10" s="52" t="str">
        <f t="shared" ref="V10:V38" si="0">IF((U10=""),"",IF(U10&gt;89,5,IF(U10&gt;69,4,IF(U10&gt;49,3,IF(U10&gt;19,2,IF(U10&gt;0,1))))))</f>
        <v/>
      </c>
      <c r="W10" s="174"/>
      <c r="X10" s="158" t="str">
        <f t="shared" ref="X10:X34" si="1">V10</f>
        <v/>
      </c>
      <c r="Y10" s="214" t="str">
        <f>IF(AREAS((D10,G10,J10,M10,Q10))-COUNT(D10,G10,J10,M10,Q10)=0,ROUND(SUM($D10*$E8,$G10*$H$7,$J10*$K$7,$M10*$N$6,$Q10*$S$6),0),"")</f>
        <v/>
      </c>
      <c r="Z10" s="548" t="str">
        <f t="shared" ref="Z10:Z38" si="2">IF((Y10=""),"",IF(Y10&gt;89,5,IF(Y10&gt;69,4,IF(Y10&gt;49,3,IF(Y10&gt;19,2,IF(Y10&gt;0,1))))))</f>
        <v/>
      </c>
      <c r="AA10" s="207"/>
      <c r="AB10" s="177" t="str">
        <f t="shared" ref="AB10:AB38" si="3">Z10</f>
        <v/>
      </c>
      <c r="AC10" s="74"/>
    </row>
    <row r="11" spans="1:38" ht="13.5" customHeight="1" thickBot="1" x14ac:dyDescent="0.3">
      <c r="A11" s="82">
        <v>8</v>
      </c>
      <c r="B11" s="132" t="s">
        <v>76</v>
      </c>
      <c r="C11" s="140" t="str">
        <f>IF('Comp. Escrita'!AZ10="","",'Comp. Escrita'!AZ10)</f>
        <v/>
      </c>
      <c r="D11" s="253" t="str">
        <f>IF('Comp. Escrita'!CS10="","",'Comp. Escrita'!CS10)</f>
        <v/>
      </c>
      <c r="E11" s="254"/>
      <c r="F11" s="147">
        <f>IF(Oralidade!N10="","",Oralidade!N10)</f>
        <v>87</v>
      </c>
      <c r="G11" s="253" t="str">
        <f>IF(Oralidade!AB10="","",Oralidade!AB10)</f>
        <v/>
      </c>
      <c r="H11" s="254"/>
      <c r="I11" s="147">
        <f>IF(Oralidade!U10="","",Oralidade!U10)</f>
        <v>87</v>
      </c>
      <c r="J11" s="253" t="str">
        <f>IF(Oralidade!AI10="","",Oralidade!AI10)</f>
        <v/>
      </c>
      <c r="K11" s="254"/>
      <c r="L11" s="248"/>
      <c r="M11" s="255"/>
      <c r="N11" s="256"/>
      <c r="O11" s="282" t="str">
        <f>IF('Prod. Escrita'!AL10="","",'Prod. Escrita'!AL10)</f>
        <v/>
      </c>
      <c r="P11" s="283"/>
      <c r="Q11" s="264" t="str">
        <f>IF('Prod. Escrita'!BQ10="","",'Prod. Escrita'!BQ10)</f>
        <v/>
      </c>
      <c r="R11" s="265"/>
      <c r="S11" s="265"/>
      <c r="T11" s="266"/>
      <c r="U11" s="241" t="str">
        <f>IF(AREAS((C11,F11,I11,L11,O11))-COUNT(C11,F11,I11,L11,O11)=0,ROUND(SUM($C11*$E9,$F11*$H$7,$I11*$K$7,$L11*$N$6,$O11*$S$6),0),"")</f>
        <v/>
      </c>
      <c r="V11" s="53" t="str">
        <f t="shared" si="0"/>
        <v/>
      </c>
      <c r="W11" s="175"/>
      <c r="X11" s="159" t="str">
        <f t="shared" si="1"/>
        <v/>
      </c>
      <c r="Y11" s="182" t="str">
        <f>IF(AREAS((D11,G11,J11,M11,Q11))-COUNT(D11,G11,J11,M11,Q11)=0,ROUND(SUM($D11*$E9,$G11*$H$7,$J11*$K$7,$M11*$N$6,$Q11*$S$6),0),"")</f>
        <v/>
      </c>
      <c r="Z11" s="167" t="str">
        <f t="shared" si="2"/>
        <v/>
      </c>
      <c r="AA11" s="208"/>
      <c r="AB11" s="178" t="str">
        <f t="shared" si="3"/>
        <v/>
      </c>
      <c r="AC11" s="74"/>
    </row>
    <row r="12" spans="1:38" ht="13.5" customHeight="1" thickBot="1" x14ac:dyDescent="0.3">
      <c r="A12" s="81">
        <v>13</v>
      </c>
      <c r="B12" s="131" t="s">
        <v>77</v>
      </c>
      <c r="C12" s="139" t="str">
        <f>IF('Comp. Escrita'!AZ11="","",'Comp. Escrita'!AZ11)</f>
        <v/>
      </c>
      <c r="D12" s="251" t="str">
        <f>IF('Comp. Escrita'!CS11="","",'Comp. Escrita'!CS11)</f>
        <v/>
      </c>
      <c r="E12" s="252"/>
      <c r="F12" s="146">
        <f>IF(Oralidade!N11="","",Oralidade!N11)</f>
        <v>87</v>
      </c>
      <c r="G12" s="251" t="str">
        <f>IF(Oralidade!AB11="","",Oralidade!AB11)</f>
        <v/>
      </c>
      <c r="H12" s="252"/>
      <c r="I12" s="146">
        <f>IF(Oralidade!U11="","",Oralidade!U11)</f>
        <v>87</v>
      </c>
      <c r="J12" s="251" t="str">
        <f>IF(Oralidade!AI11="","",Oralidade!AI11)</f>
        <v/>
      </c>
      <c r="K12" s="252"/>
      <c r="L12" s="247"/>
      <c r="M12" s="257"/>
      <c r="N12" s="258"/>
      <c r="O12" s="284" t="str">
        <f>IF('Prod. Escrita'!AL11="","",'Prod. Escrita'!AL11)</f>
        <v/>
      </c>
      <c r="P12" s="285"/>
      <c r="Q12" s="261" t="str">
        <f>IF('Prod. Escrita'!BQ11="","",'Prod. Escrita'!BQ11)</f>
        <v/>
      </c>
      <c r="R12" s="262"/>
      <c r="S12" s="262"/>
      <c r="T12" s="263"/>
      <c r="U12" s="242" t="str">
        <f>IF(AREAS((C12,F12,I12,L12,O12))-COUNT(C12,F12,I12,L12,O12)=0,ROUND(SUM($C12*$E10,$F12*$H$7,$I12*$K$7,$L12*$N$6,$O12*$S$6),0),"")</f>
        <v/>
      </c>
      <c r="V12" s="52" t="str">
        <f t="shared" si="0"/>
        <v/>
      </c>
      <c r="W12" s="174"/>
      <c r="X12" s="158" t="str">
        <f t="shared" si="1"/>
        <v/>
      </c>
      <c r="Y12" s="214" t="str">
        <f>IF(AREAS((D12,G12,J12,M12,Q12))-COUNT(D12,G12,J12,M12,Q12)=0,ROUND(SUM($D12*$E10,$G12*$H$7,$J12*$K$7,$M12*$N$6,$Q12*$S$6),0),"")</f>
        <v/>
      </c>
      <c r="Z12" s="548" t="str">
        <f t="shared" si="2"/>
        <v/>
      </c>
      <c r="AA12" s="207"/>
      <c r="AB12" s="177" t="str">
        <f t="shared" si="3"/>
        <v/>
      </c>
      <c r="AC12" s="74"/>
    </row>
    <row r="13" spans="1:38" ht="13.5" customHeight="1" thickBot="1" x14ac:dyDescent="0.3">
      <c r="A13" s="82">
        <v>14</v>
      </c>
      <c r="B13" s="132" t="s">
        <v>78</v>
      </c>
      <c r="C13" s="140" t="str">
        <f>IF('Comp. Escrita'!AZ12="","",'Comp. Escrita'!AZ12)</f>
        <v/>
      </c>
      <c r="D13" s="253" t="str">
        <f>IF('Comp. Escrita'!CS12="","",'Comp. Escrita'!CS12)</f>
        <v/>
      </c>
      <c r="E13" s="254"/>
      <c r="F13" s="147">
        <f>IF(Oralidade!N12="","",Oralidade!N12)</f>
        <v>78</v>
      </c>
      <c r="G13" s="253" t="str">
        <f>IF(Oralidade!AB12="","",Oralidade!AB12)</f>
        <v/>
      </c>
      <c r="H13" s="254"/>
      <c r="I13" s="147">
        <f>IF(Oralidade!U12="","",Oralidade!U12)</f>
        <v>78</v>
      </c>
      <c r="J13" s="253" t="str">
        <f>IF(Oralidade!AI12="","",Oralidade!AI12)</f>
        <v/>
      </c>
      <c r="K13" s="254"/>
      <c r="L13" s="248"/>
      <c r="M13" s="255"/>
      <c r="N13" s="256"/>
      <c r="O13" s="282" t="str">
        <f>IF('Prod. Escrita'!AL12="","",'Prod. Escrita'!AL12)</f>
        <v/>
      </c>
      <c r="P13" s="283"/>
      <c r="Q13" s="264" t="str">
        <f>IF('Prod. Escrita'!BQ12="","",'Prod. Escrita'!BQ12)</f>
        <v/>
      </c>
      <c r="R13" s="265"/>
      <c r="S13" s="265"/>
      <c r="T13" s="266"/>
      <c r="U13" s="241" t="str">
        <f>IF(AREAS((C13,F13,I13,L13,O13))-COUNT(C13,F13,I13,L13,O13)=0,ROUND(SUM($C13*$E11,$F13*$H$7,$I13*$K$7,$L13*$N$6,$O13*$S$6),0),"")</f>
        <v/>
      </c>
      <c r="V13" s="53" t="str">
        <f t="shared" si="0"/>
        <v/>
      </c>
      <c r="W13" s="175"/>
      <c r="X13" s="159" t="str">
        <f t="shared" si="1"/>
        <v/>
      </c>
      <c r="Y13" s="182" t="str">
        <f>IF(AREAS((D13,G13,J13,M13,Q13))-COUNT(D13,G13,J13,M13,Q13)=0,ROUND(SUM($D13*$E11,$G13*$H$7,$J13*$K$7,$M13*$N$6,$Q13*$S$6),0),"")</f>
        <v/>
      </c>
      <c r="Z13" s="167" t="str">
        <f t="shared" si="2"/>
        <v/>
      </c>
      <c r="AA13" s="208"/>
      <c r="AB13" s="178" t="str">
        <f t="shared" si="3"/>
        <v/>
      </c>
      <c r="AC13" s="74"/>
    </row>
    <row r="14" spans="1:38" ht="13.5" customHeight="1" thickBot="1" x14ac:dyDescent="0.3">
      <c r="A14" s="81">
        <v>15</v>
      </c>
      <c r="B14" s="131" t="s">
        <v>79</v>
      </c>
      <c r="C14" s="139" t="str">
        <f>IF('Comp. Escrita'!AZ13="","",'Comp. Escrita'!AZ13)</f>
        <v/>
      </c>
      <c r="D14" s="251" t="str">
        <f>IF('Comp. Escrita'!CS13="","",'Comp. Escrita'!CS13)</f>
        <v/>
      </c>
      <c r="E14" s="252"/>
      <c r="F14" s="146">
        <f>IF(Oralidade!N13="","",Oralidade!N13)</f>
        <v>78</v>
      </c>
      <c r="G14" s="251" t="str">
        <f>IF(Oralidade!AB13="","",Oralidade!AB13)</f>
        <v/>
      </c>
      <c r="H14" s="252"/>
      <c r="I14" s="146">
        <f>IF(Oralidade!U13="","",Oralidade!U13)</f>
        <v>78</v>
      </c>
      <c r="J14" s="251" t="str">
        <f>IF(Oralidade!AI13="","",Oralidade!AI13)</f>
        <v/>
      </c>
      <c r="K14" s="252"/>
      <c r="L14" s="247"/>
      <c r="M14" s="257"/>
      <c r="N14" s="258"/>
      <c r="O14" s="284" t="str">
        <f>IF('Prod. Escrita'!AL13="","",'Prod. Escrita'!AL13)</f>
        <v/>
      </c>
      <c r="P14" s="285"/>
      <c r="Q14" s="261" t="str">
        <f>IF('Prod. Escrita'!BQ13="","",'Prod. Escrita'!BQ13)</f>
        <v/>
      </c>
      <c r="R14" s="262"/>
      <c r="S14" s="262"/>
      <c r="T14" s="263"/>
      <c r="U14" s="242" t="str">
        <f>IF(AREAS((C14,F14,I14,L14,O14))-COUNT(C14,F14,I14,L14,O14)=0,ROUND(SUM($C14*$E12,$F14*$H$7,$I14*$K$7,$L14*$N$6,$O14*$S$6),0),"")</f>
        <v/>
      </c>
      <c r="V14" s="52" t="str">
        <f t="shared" si="0"/>
        <v/>
      </c>
      <c r="W14" s="174"/>
      <c r="X14" s="160" t="str">
        <f t="shared" si="1"/>
        <v/>
      </c>
      <c r="Y14" s="214" t="str">
        <f>IF(AREAS((D14,G14,J14,M14,Q14))-COUNT(D14,G14,J14,M14,Q14)=0,ROUND(SUM($D14*$E12,$G14*$H$7,$J14*$K$7,$M14*$N$6,$Q14*$S$6),0),"")</f>
        <v/>
      </c>
      <c r="Z14" s="548" t="str">
        <f t="shared" si="2"/>
        <v/>
      </c>
      <c r="AA14" s="207"/>
      <c r="AB14" s="177"/>
      <c r="AC14" s="74"/>
    </row>
    <row r="15" spans="1:38" ht="13.5" customHeight="1" thickBot="1" x14ac:dyDescent="0.3">
      <c r="A15" s="82">
        <v>16</v>
      </c>
      <c r="B15" s="132" t="s">
        <v>80</v>
      </c>
      <c r="C15" s="140" t="str">
        <f>IF('Comp. Escrita'!AZ14="","",'Comp. Escrita'!AZ14)</f>
        <v/>
      </c>
      <c r="D15" s="253" t="str">
        <f>IF('Comp. Escrita'!CS14="","",'Comp. Escrita'!CS14)</f>
        <v/>
      </c>
      <c r="E15" s="254"/>
      <c r="F15" s="147">
        <f>IF(Oralidade!N14="","",Oralidade!N14)</f>
        <v>78</v>
      </c>
      <c r="G15" s="253" t="str">
        <f>IF(Oralidade!AB14="","",Oralidade!AB14)</f>
        <v/>
      </c>
      <c r="H15" s="254"/>
      <c r="I15" s="147">
        <f>IF(Oralidade!U14="","",Oralidade!U14)</f>
        <v>78</v>
      </c>
      <c r="J15" s="253" t="str">
        <f>IF(Oralidade!AI14="","",Oralidade!AI14)</f>
        <v/>
      </c>
      <c r="K15" s="254"/>
      <c r="L15" s="248"/>
      <c r="M15" s="255"/>
      <c r="N15" s="256"/>
      <c r="O15" s="282" t="str">
        <f>IF('Prod. Escrita'!AL14="","",'Prod. Escrita'!AL14)</f>
        <v/>
      </c>
      <c r="P15" s="283"/>
      <c r="Q15" s="264" t="str">
        <f>IF('Prod. Escrita'!BQ14="","",'Prod. Escrita'!BQ14)</f>
        <v/>
      </c>
      <c r="R15" s="265"/>
      <c r="S15" s="265"/>
      <c r="T15" s="266"/>
      <c r="U15" s="241" t="str">
        <f>IF(AREAS((C15,F15,I15,L15,O15))-COUNT(C15,F15,I15,L15,O15)=0,ROUND(SUM($C15*$E13,$F15*$H$7,$I15*$K$7,$L15*$N$6,$O15*$S$6),0),"")</f>
        <v/>
      </c>
      <c r="V15" s="53" t="str">
        <f t="shared" si="0"/>
        <v/>
      </c>
      <c r="W15" s="175"/>
      <c r="X15" s="159" t="str">
        <f t="shared" si="1"/>
        <v/>
      </c>
      <c r="Y15" s="182" t="str">
        <f>IF(AREAS((D15,G15,J15,M15,Q15))-COUNT(D15,G15,J15,M15,Q15)=0,ROUND(SUM($D15*$E13,$G15*$H$7,$J15*$K$7,$M15*$N$6,$Q15*$S$6),0),"")</f>
        <v/>
      </c>
      <c r="Z15" s="167" t="str">
        <f t="shared" si="2"/>
        <v/>
      </c>
      <c r="AA15" s="208"/>
      <c r="AB15" s="178" t="str">
        <f t="shared" si="3"/>
        <v/>
      </c>
      <c r="AC15" s="74"/>
    </row>
    <row r="16" spans="1:38" ht="13.5" customHeight="1" thickBot="1" x14ac:dyDescent="0.3">
      <c r="A16" s="81">
        <v>17</v>
      </c>
      <c r="B16" s="131" t="s">
        <v>81</v>
      </c>
      <c r="C16" s="139" t="str">
        <f>IF('Comp. Escrita'!AZ15="","",'Comp. Escrita'!AZ15)</f>
        <v/>
      </c>
      <c r="D16" s="251" t="str">
        <f>IF('Comp. Escrita'!CS15="","",'Comp. Escrita'!CS15)</f>
        <v/>
      </c>
      <c r="E16" s="252"/>
      <c r="F16" s="146">
        <f>IF(Oralidade!N15="","",Oralidade!N15)</f>
        <v>82</v>
      </c>
      <c r="G16" s="251" t="str">
        <f>IF(Oralidade!AB15="","",Oralidade!AB15)</f>
        <v/>
      </c>
      <c r="H16" s="252"/>
      <c r="I16" s="146">
        <f>IF(Oralidade!U15="","",Oralidade!U15)</f>
        <v>82</v>
      </c>
      <c r="J16" s="251" t="str">
        <f>IF(Oralidade!AI15="","",Oralidade!AI15)</f>
        <v/>
      </c>
      <c r="K16" s="252"/>
      <c r="L16" s="247"/>
      <c r="M16" s="257"/>
      <c r="N16" s="258"/>
      <c r="O16" s="284" t="str">
        <f>IF('Prod. Escrita'!AL15="","",'Prod. Escrita'!AL15)</f>
        <v/>
      </c>
      <c r="P16" s="285"/>
      <c r="Q16" s="261" t="str">
        <f>IF('Prod. Escrita'!BQ15="","",'Prod. Escrita'!BQ15)</f>
        <v/>
      </c>
      <c r="R16" s="262"/>
      <c r="S16" s="262"/>
      <c r="T16" s="263"/>
      <c r="U16" s="242" t="str">
        <f>IF(AREAS((C16,F16,I16,L16,O16))-COUNT(C16,F16,I16,L16,O16)=0,ROUND(SUM($C16*$E14,$F16*$H$7,$I16*$K$7,$L16*$N$6,$O16*$S$6),0),"")</f>
        <v/>
      </c>
      <c r="V16" s="52" t="str">
        <f t="shared" si="0"/>
        <v/>
      </c>
      <c r="W16" s="174"/>
      <c r="X16" s="158" t="str">
        <f t="shared" si="1"/>
        <v/>
      </c>
      <c r="Y16" s="214" t="str">
        <f>IF(AREAS((D16,G16,J16,M16,Q16))-COUNT(D16,G16,J16,M16,Q16)=0,ROUND(SUM($D16*$E14,$G16*$H$7,$J16*$K$7,$M16*$N$6,$Q16*$S$6),0),"")</f>
        <v/>
      </c>
      <c r="Z16" s="548" t="str">
        <f t="shared" si="2"/>
        <v/>
      </c>
      <c r="AA16" s="207"/>
      <c r="AB16" s="177" t="str">
        <f t="shared" si="3"/>
        <v/>
      </c>
      <c r="AC16" s="74"/>
    </row>
    <row r="17" spans="1:37" ht="13.5" customHeight="1" thickBot="1" x14ac:dyDescent="0.3">
      <c r="A17" s="82">
        <v>18</v>
      </c>
      <c r="B17" s="132" t="s">
        <v>82</v>
      </c>
      <c r="C17" s="140" t="str">
        <f>IF('Comp. Escrita'!AZ16="","",'Comp. Escrita'!AZ16)</f>
        <v/>
      </c>
      <c r="D17" s="253" t="str">
        <f>IF('Comp. Escrita'!CS16="","",'Comp. Escrita'!CS16)</f>
        <v/>
      </c>
      <c r="E17" s="254"/>
      <c r="F17" s="147">
        <f>IF(Oralidade!N16="","",Oralidade!N16)</f>
        <v>91</v>
      </c>
      <c r="G17" s="253" t="str">
        <f>IF(Oralidade!AB16="","",Oralidade!AB16)</f>
        <v/>
      </c>
      <c r="H17" s="254"/>
      <c r="I17" s="147">
        <f>IF(Oralidade!U16="","",Oralidade!U16)</f>
        <v>91</v>
      </c>
      <c r="J17" s="253" t="str">
        <f>IF(Oralidade!AI16="","",Oralidade!AI16)</f>
        <v/>
      </c>
      <c r="K17" s="254"/>
      <c r="L17" s="248"/>
      <c r="M17" s="255"/>
      <c r="N17" s="256"/>
      <c r="O17" s="282" t="str">
        <f>IF('Prod. Escrita'!AL16="","",'Prod. Escrita'!AL16)</f>
        <v/>
      </c>
      <c r="P17" s="283"/>
      <c r="Q17" s="264" t="str">
        <f>IF('Prod. Escrita'!BQ16="","",'Prod. Escrita'!BQ16)</f>
        <v/>
      </c>
      <c r="R17" s="265"/>
      <c r="S17" s="265"/>
      <c r="T17" s="266"/>
      <c r="U17" s="241" t="str">
        <f>IF(AREAS((C17,F17,I17,L17,O17))-COUNT(C17,F17,I17,L17,O17)=0,ROUND(SUM($C17*$E15,$F17*$H$7,$I17*$K$7,$L17*$N$6,$O17*$S$6),0),"")</f>
        <v/>
      </c>
      <c r="V17" s="53" t="str">
        <f t="shared" si="0"/>
        <v/>
      </c>
      <c r="W17" s="175"/>
      <c r="X17" s="159" t="str">
        <f t="shared" si="1"/>
        <v/>
      </c>
      <c r="Y17" s="182" t="str">
        <f>IF(AREAS((D17,G17,J17,M17,Q17))-COUNT(D17,G17,J17,M17,Q17)=0,ROUND(SUM($D17*$E15,$G17*$H$7,$J17*$K$7,$M17*$N$6,$Q17*$S$6),0),"")</f>
        <v/>
      </c>
      <c r="Z17" s="167" t="str">
        <f t="shared" si="2"/>
        <v/>
      </c>
      <c r="AA17" s="208"/>
      <c r="AB17" s="178" t="str">
        <f t="shared" si="3"/>
        <v/>
      </c>
      <c r="AC17" s="74"/>
    </row>
    <row r="18" spans="1:37" ht="13.5" customHeight="1" thickBot="1" x14ac:dyDescent="0.3">
      <c r="A18" s="81">
        <v>19</v>
      </c>
      <c r="B18" s="131" t="s">
        <v>83</v>
      </c>
      <c r="C18" s="139" t="str">
        <f>IF('Comp. Escrita'!AZ17="","",'Comp. Escrita'!AZ17)</f>
        <v/>
      </c>
      <c r="D18" s="251" t="str">
        <f>IF('Comp. Escrita'!CS17="","",'Comp. Escrita'!CS17)</f>
        <v/>
      </c>
      <c r="E18" s="252"/>
      <c r="F18" s="146">
        <f>IF(Oralidade!N17="","",Oralidade!N17)</f>
        <v>87</v>
      </c>
      <c r="G18" s="251" t="str">
        <f>IF(Oralidade!AB17="","",Oralidade!AB17)</f>
        <v/>
      </c>
      <c r="H18" s="252"/>
      <c r="I18" s="146">
        <f>IF(Oralidade!U17="","",Oralidade!U17)</f>
        <v>87</v>
      </c>
      <c r="J18" s="251" t="str">
        <f>IF(Oralidade!AI17="","",Oralidade!AI17)</f>
        <v/>
      </c>
      <c r="K18" s="252"/>
      <c r="L18" s="247"/>
      <c r="M18" s="257"/>
      <c r="N18" s="258"/>
      <c r="O18" s="284" t="str">
        <f>IF('Prod. Escrita'!AL17="","",'Prod. Escrita'!AL17)</f>
        <v/>
      </c>
      <c r="P18" s="285"/>
      <c r="Q18" s="261" t="str">
        <f>IF('Prod. Escrita'!BQ17="","",'Prod. Escrita'!BQ17)</f>
        <v/>
      </c>
      <c r="R18" s="262"/>
      <c r="S18" s="262"/>
      <c r="T18" s="263"/>
      <c r="U18" s="242" t="str">
        <f>IF(AREAS((C18,F18,I18,L18,O18))-COUNT(C18,F18,I18,L18,O18)=0,ROUND(SUM($C18*$E16,$F18*$H$7,$I18*$K$7,$L18*$N$6,$O18*$S$6),0),"")</f>
        <v/>
      </c>
      <c r="V18" s="52" t="str">
        <f t="shared" si="0"/>
        <v/>
      </c>
      <c r="W18" s="174"/>
      <c r="X18" s="161" t="str">
        <f t="shared" si="1"/>
        <v/>
      </c>
      <c r="Y18" s="214" t="str">
        <f>IF(AREAS((D18,G18,J18,M18,Q18))-COUNT(D18,G18,J18,M18,Q18)=0,ROUND(SUM($D18*$E16,$G18*$H$7,$J18*$K$7,$M18*$N$6,$Q18*$S$6),0),"")</f>
        <v/>
      </c>
      <c r="Z18" s="548" t="str">
        <f t="shared" si="2"/>
        <v/>
      </c>
      <c r="AA18" s="207"/>
      <c r="AB18" s="177" t="str">
        <f t="shared" si="3"/>
        <v/>
      </c>
      <c r="AC18" s="74"/>
    </row>
    <row r="19" spans="1:37" ht="13.5" customHeight="1" thickBot="1" x14ac:dyDescent="0.3">
      <c r="A19" s="82">
        <v>20</v>
      </c>
      <c r="B19" s="132" t="s">
        <v>84</v>
      </c>
      <c r="C19" s="140" t="str">
        <f>IF('Comp. Escrita'!AZ18="","",'Comp. Escrita'!AZ18)</f>
        <v/>
      </c>
      <c r="D19" s="253" t="str">
        <f>IF('Comp. Escrita'!CS18="","",'Comp. Escrita'!CS18)</f>
        <v/>
      </c>
      <c r="E19" s="254"/>
      <c r="F19" s="147">
        <f>IF(Oralidade!N18="","",Oralidade!N18)</f>
        <v>78</v>
      </c>
      <c r="G19" s="253" t="str">
        <f>IF(Oralidade!AB18="","",Oralidade!AB18)</f>
        <v/>
      </c>
      <c r="H19" s="254"/>
      <c r="I19" s="147">
        <f>IF(Oralidade!U18="","",Oralidade!U18)</f>
        <v>78</v>
      </c>
      <c r="J19" s="253" t="str">
        <f>IF(Oralidade!AI18="","",Oralidade!AI18)</f>
        <v/>
      </c>
      <c r="K19" s="254"/>
      <c r="L19" s="248"/>
      <c r="M19" s="255"/>
      <c r="N19" s="256"/>
      <c r="O19" s="282" t="str">
        <f>IF('Prod. Escrita'!AL18="","",'Prod. Escrita'!AL18)</f>
        <v/>
      </c>
      <c r="P19" s="283"/>
      <c r="Q19" s="264" t="str">
        <f>IF('Prod. Escrita'!BQ18="","",'Prod. Escrita'!BQ18)</f>
        <v/>
      </c>
      <c r="R19" s="265"/>
      <c r="S19" s="265"/>
      <c r="T19" s="266"/>
      <c r="U19" s="241" t="str">
        <f>IF(AREAS((C19,F19,I19,L19,O19))-COUNT(C19,F19,I19,L19,O19)=0,ROUND(SUM($C19*$E17,$F19*$H$7,$I19*$K$7,$L19*$N$6,$O19*$S$6),0),"")</f>
        <v/>
      </c>
      <c r="V19" s="53" t="str">
        <f t="shared" si="0"/>
        <v/>
      </c>
      <c r="W19" s="175"/>
      <c r="X19" s="159" t="str">
        <f t="shared" si="1"/>
        <v/>
      </c>
      <c r="Y19" s="182" t="str">
        <f>IF(AREAS((D19,G19,J19,M19,Q19))-COUNT(D19,G19,J19,M19,Q19)=0,ROUND(SUM($D19*$E17,$G19*$H$7,$J19*$K$7,$M19*$N$6,$Q19*$S$6),0),"")</f>
        <v/>
      </c>
      <c r="Z19" s="167" t="str">
        <f t="shared" si="2"/>
        <v/>
      </c>
      <c r="AA19" s="208"/>
      <c r="AB19" s="178" t="str">
        <f t="shared" si="3"/>
        <v/>
      </c>
      <c r="AC19" s="74"/>
    </row>
    <row r="20" spans="1:37" ht="13.5" customHeight="1" thickBot="1" x14ac:dyDescent="0.3">
      <c r="A20" s="81">
        <v>21</v>
      </c>
      <c r="B20" s="131" t="s">
        <v>85</v>
      </c>
      <c r="C20" s="139" t="str">
        <f>IF('Comp. Escrita'!AZ19="","",'Comp. Escrita'!AZ19)</f>
        <v/>
      </c>
      <c r="D20" s="251" t="str">
        <f>IF('Comp. Escrita'!CS19="","",'Comp. Escrita'!CS19)</f>
        <v/>
      </c>
      <c r="E20" s="252"/>
      <c r="F20" s="146">
        <f>IF(Oralidade!N19="","",Oralidade!N19)</f>
        <v>82</v>
      </c>
      <c r="G20" s="251" t="str">
        <f>IF(Oralidade!AB19="","",Oralidade!AB19)</f>
        <v/>
      </c>
      <c r="H20" s="252"/>
      <c r="I20" s="146">
        <f>IF(Oralidade!U19="","",Oralidade!U19)</f>
        <v>82</v>
      </c>
      <c r="J20" s="251" t="str">
        <f>IF(Oralidade!AI19="","",Oralidade!AI19)</f>
        <v/>
      </c>
      <c r="K20" s="252"/>
      <c r="L20" s="247"/>
      <c r="M20" s="257"/>
      <c r="N20" s="258"/>
      <c r="O20" s="284" t="str">
        <f>IF('Prod. Escrita'!AL19="","",'Prod. Escrita'!AL19)</f>
        <v/>
      </c>
      <c r="P20" s="285"/>
      <c r="Q20" s="261" t="str">
        <f>IF('Prod. Escrita'!BQ19="","",'Prod. Escrita'!BQ19)</f>
        <v/>
      </c>
      <c r="R20" s="262"/>
      <c r="S20" s="262"/>
      <c r="T20" s="263"/>
      <c r="U20" s="242" t="str">
        <f>IF(AREAS((C20,F20,I20,L20,O20))-COUNT(C20,F20,I20,L20,O20)=0,ROUND(SUM($C20*$E18,$F20*$H$7,$I20*$K$7,$L20*$N$6,$O20*$S$6),0),"")</f>
        <v/>
      </c>
      <c r="V20" s="52" t="str">
        <f t="shared" si="0"/>
        <v/>
      </c>
      <c r="W20" s="174"/>
      <c r="X20" s="158" t="str">
        <f t="shared" si="1"/>
        <v/>
      </c>
      <c r="Y20" s="214" t="str">
        <f>IF(AREAS((D20,G20,J20,M20,Q20))-COUNT(D20,G20,J20,M20,Q20)=0,ROUND(SUM($D20*$E18,$G20*$H$7,$J20*$K$7,$M20*$N$6,$Q20*$S$6),0),"")</f>
        <v/>
      </c>
      <c r="Z20" s="548" t="str">
        <f t="shared" si="2"/>
        <v/>
      </c>
      <c r="AA20" s="207"/>
      <c r="AB20" s="177" t="str">
        <f t="shared" si="3"/>
        <v/>
      </c>
      <c r="AC20" s="74"/>
      <c r="AH20" s="83"/>
    </row>
    <row r="21" spans="1:37" ht="13.5" customHeight="1" thickBot="1" x14ac:dyDescent="0.3">
      <c r="A21" s="82">
        <v>22</v>
      </c>
      <c r="B21" s="132" t="s">
        <v>71</v>
      </c>
      <c r="C21" s="140" t="str">
        <f>IF('Comp. Escrita'!AZ20="","",'Comp. Escrita'!AZ20)</f>
        <v/>
      </c>
      <c r="D21" s="253" t="str">
        <f>IF('Comp. Escrita'!CS20="","",'Comp. Escrita'!CS20)</f>
        <v/>
      </c>
      <c r="E21" s="254"/>
      <c r="F21" s="147">
        <f>IF(Oralidade!N20="","",Oralidade!N20)</f>
        <v>91</v>
      </c>
      <c r="G21" s="253" t="str">
        <f>IF(Oralidade!AB20="","",Oralidade!AB20)</f>
        <v/>
      </c>
      <c r="H21" s="254"/>
      <c r="I21" s="147">
        <f>IF(Oralidade!U20="","",Oralidade!U20)</f>
        <v>91</v>
      </c>
      <c r="J21" s="253" t="str">
        <f>IF(Oralidade!AI20="","",Oralidade!AI20)</f>
        <v/>
      </c>
      <c r="K21" s="254"/>
      <c r="L21" s="248"/>
      <c r="M21" s="255"/>
      <c r="N21" s="256"/>
      <c r="O21" s="282" t="str">
        <f>IF('Prod. Escrita'!AL20="","",'Prod. Escrita'!AL20)</f>
        <v/>
      </c>
      <c r="P21" s="283"/>
      <c r="Q21" s="264" t="str">
        <f>IF('Prod. Escrita'!BQ20="","",'Prod. Escrita'!BQ20)</f>
        <v/>
      </c>
      <c r="R21" s="265"/>
      <c r="S21" s="265"/>
      <c r="T21" s="266"/>
      <c r="U21" s="241" t="str">
        <f>IF(AREAS((C21,F21,I21,L21,O21))-COUNT(C21,F21,I21,L21,O21)=0,ROUND(SUM($C21*$E19,$F21*$H$7,$I21*$K$7,$L21*$N$6,$O21*$S$6),0),"")</f>
        <v/>
      </c>
      <c r="V21" s="53" t="str">
        <f t="shared" si="0"/>
        <v/>
      </c>
      <c r="W21" s="175"/>
      <c r="X21" s="159" t="str">
        <f t="shared" si="1"/>
        <v/>
      </c>
      <c r="Y21" s="182" t="str">
        <f>IF(AREAS((D21,G21,J21,M21,Q21))-COUNT(D21,G21,J21,M21,Q21)=0,ROUND(SUM($D21*$E19,$G21*$H$7,$J21*$K$7,$M21*$N$6,$Q21*$S$6),0),"")</f>
        <v/>
      </c>
      <c r="Z21" s="167" t="str">
        <f t="shared" si="2"/>
        <v/>
      </c>
      <c r="AA21" s="208"/>
      <c r="AB21" s="178"/>
      <c r="AC21" s="74"/>
    </row>
    <row r="22" spans="1:37" ht="13.5" customHeight="1" thickBot="1" x14ac:dyDescent="0.3">
      <c r="A22" s="81">
        <v>23</v>
      </c>
      <c r="B22" s="131" t="s">
        <v>86</v>
      </c>
      <c r="C22" s="139" t="str">
        <f>IF('Comp. Escrita'!AZ21="","",'Comp. Escrita'!AZ21)</f>
        <v/>
      </c>
      <c r="D22" s="251" t="str">
        <f>IF('Comp. Escrita'!CS21="","",'Comp. Escrita'!CS21)</f>
        <v/>
      </c>
      <c r="E22" s="252"/>
      <c r="F22" s="146">
        <f>IF(Oralidade!N21="","",Oralidade!N21)</f>
        <v>100</v>
      </c>
      <c r="G22" s="251" t="str">
        <f>IF(Oralidade!AB21="","",Oralidade!AB21)</f>
        <v/>
      </c>
      <c r="H22" s="252"/>
      <c r="I22" s="146">
        <f>IF(Oralidade!U21="","",Oralidade!U21)</f>
        <v>100</v>
      </c>
      <c r="J22" s="251" t="str">
        <f>IF(Oralidade!AI21="","",Oralidade!AI21)</f>
        <v/>
      </c>
      <c r="K22" s="252"/>
      <c r="L22" s="247"/>
      <c r="M22" s="257"/>
      <c r="N22" s="258"/>
      <c r="O22" s="284" t="str">
        <f>IF('Prod. Escrita'!AL21="","",'Prod. Escrita'!AL21)</f>
        <v/>
      </c>
      <c r="P22" s="285"/>
      <c r="Q22" s="261" t="str">
        <f>IF('Prod. Escrita'!BQ21="","",'Prod. Escrita'!BQ21)</f>
        <v/>
      </c>
      <c r="R22" s="262"/>
      <c r="S22" s="262"/>
      <c r="T22" s="263"/>
      <c r="U22" s="242" t="str">
        <f>IF(AREAS((C22,F22,I22,L22,O22))-COUNT(C22,F22,I22,L22,O22)=0,ROUND(SUM($C22*$E20,$F22*$H$7,$I22*$K$7,$L22*$N$6,$O22*$S$6),0),"")</f>
        <v/>
      </c>
      <c r="V22" s="52" t="str">
        <f t="shared" si="0"/>
        <v/>
      </c>
      <c r="W22" s="174"/>
      <c r="X22" s="158" t="str">
        <f t="shared" si="1"/>
        <v/>
      </c>
      <c r="Y22" s="214" t="str">
        <f>IF(AREAS((D22,G22,J22,M22,Q22))-COUNT(D22,G22,J22,M22,Q22)=0,ROUND(SUM($D22*$E20,$G22*$H$7,$J22*$K$7,$M22*$N$6,$Q22*$S$6),0),"")</f>
        <v/>
      </c>
      <c r="Z22" s="548" t="str">
        <f t="shared" si="2"/>
        <v/>
      </c>
      <c r="AA22" s="207"/>
      <c r="AB22" s="177" t="str">
        <f t="shared" si="3"/>
        <v/>
      </c>
      <c r="AC22" s="74"/>
    </row>
    <row r="23" spans="1:37" ht="13.5" customHeight="1" thickBot="1" x14ac:dyDescent="0.3">
      <c r="A23" s="82">
        <v>24</v>
      </c>
      <c r="B23" s="132" t="s">
        <v>87</v>
      </c>
      <c r="C23" s="140" t="str">
        <f>IF('Comp. Escrita'!AZ22="","",'Comp. Escrita'!AZ22)</f>
        <v/>
      </c>
      <c r="D23" s="253" t="str">
        <f>IF('Comp. Escrita'!CS22="","",'Comp. Escrita'!CS22)</f>
        <v/>
      </c>
      <c r="E23" s="254"/>
      <c r="F23" s="147">
        <f>IF(Oralidade!N22="","",Oralidade!N22)</f>
        <v>83</v>
      </c>
      <c r="G23" s="253" t="str">
        <f>IF(Oralidade!AB22="","",Oralidade!AB22)</f>
        <v/>
      </c>
      <c r="H23" s="254"/>
      <c r="I23" s="147">
        <f>IF(Oralidade!U22="","",Oralidade!U22)</f>
        <v>83</v>
      </c>
      <c r="J23" s="253" t="str">
        <f>IF(Oralidade!AI22="","",Oralidade!AI22)</f>
        <v/>
      </c>
      <c r="K23" s="254"/>
      <c r="L23" s="248"/>
      <c r="M23" s="255"/>
      <c r="N23" s="256"/>
      <c r="O23" s="282" t="str">
        <f>IF('Prod. Escrita'!AL22="","",'Prod. Escrita'!AL22)</f>
        <v/>
      </c>
      <c r="P23" s="283"/>
      <c r="Q23" s="264" t="str">
        <f>IF('Prod. Escrita'!BQ22="","",'Prod. Escrita'!BQ22)</f>
        <v/>
      </c>
      <c r="R23" s="265"/>
      <c r="S23" s="265"/>
      <c r="T23" s="266"/>
      <c r="U23" s="241" t="str">
        <f>IF(AREAS((C23,F23,I23,L23,O23))-COUNT(C23,F23,I23,L23,O23)=0,ROUND(SUM($C23*$E21,$F23*$H$7,$I23*$K$7,$L23*$N$6,$O23*$S$6),0),"")</f>
        <v/>
      </c>
      <c r="V23" s="53" t="str">
        <f t="shared" si="0"/>
        <v/>
      </c>
      <c r="W23" s="175"/>
      <c r="X23" s="159" t="str">
        <f t="shared" si="1"/>
        <v/>
      </c>
      <c r="Y23" s="182" t="str">
        <f>IF(AREAS((D23,G23,J23,M23,Q23))-COUNT(D23,G23,J23,M23,Q23)=0,ROUND(SUM($D23*$E21,$G23*$H$7,$J23*$K$7,$M23*$N$6,$Q23*$S$6),0),"")</f>
        <v/>
      </c>
      <c r="Z23" s="167" t="str">
        <f t="shared" si="2"/>
        <v/>
      </c>
      <c r="AA23" s="208"/>
      <c r="AB23" s="178" t="str">
        <f t="shared" si="3"/>
        <v/>
      </c>
      <c r="AC23" s="74"/>
    </row>
    <row r="24" spans="1:37" ht="13.5" customHeight="1" thickBot="1" x14ac:dyDescent="0.3">
      <c r="A24" s="81">
        <v>25</v>
      </c>
      <c r="B24" s="131" t="s">
        <v>88</v>
      </c>
      <c r="C24" s="139" t="str">
        <f>IF('Comp. Escrita'!AZ23="","",'Comp. Escrita'!AZ23)</f>
        <v/>
      </c>
      <c r="D24" s="251" t="str">
        <f>IF('Comp. Escrita'!CS23="","",'Comp. Escrita'!CS23)</f>
        <v/>
      </c>
      <c r="E24" s="252"/>
      <c r="F24" s="146">
        <f>IF(Oralidade!N23="","",Oralidade!N23)</f>
        <v>74</v>
      </c>
      <c r="G24" s="251" t="str">
        <f>IF(Oralidade!AB23="","",Oralidade!AB23)</f>
        <v/>
      </c>
      <c r="H24" s="252"/>
      <c r="I24" s="146">
        <f>IF(Oralidade!U23="","",Oralidade!U23)</f>
        <v>74</v>
      </c>
      <c r="J24" s="251" t="str">
        <f>IF(Oralidade!AI23="","",Oralidade!AI23)</f>
        <v/>
      </c>
      <c r="K24" s="252"/>
      <c r="L24" s="247"/>
      <c r="M24" s="257"/>
      <c r="N24" s="258"/>
      <c r="O24" s="284" t="str">
        <f>IF('Prod. Escrita'!AL23="","",'Prod. Escrita'!AL23)</f>
        <v/>
      </c>
      <c r="P24" s="285"/>
      <c r="Q24" s="261" t="str">
        <f>IF('Prod. Escrita'!BQ23="","",'Prod. Escrita'!BQ23)</f>
        <v/>
      </c>
      <c r="R24" s="262"/>
      <c r="S24" s="262"/>
      <c r="T24" s="263"/>
      <c r="U24" s="242" t="str">
        <f>IF(AREAS((C24,F24,I24,L24,O24))-COUNT(C24,F24,I24,L24,O24)=0,ROUND(SUM($C24*$E22,$F24*$H$7,$I24*$K$7,$L24*$N$6,$O24*$S$6),0),"")</f>
        <v/>
      </c>
      <c r="V24" s="52" t="str">
        <f t="shared" si="0"/>
        <v/>
      </c>
      <c r="W24" s="174"/>
      <c r="X24" s="161" t="str">
        <f t="shared" si="1"/>
        <v/>
      </c>
      <c r="Y24" s="214" t="str">
        <f>IF(AREAS((D24,G24,J24,M24,Q24))-COUNT(D24,G24,J24,M24,Q24)=0,ROUND(SUM($D24*$E22,$G24*$H$7,$J24*$K$7,$M24*$N$6,$Q24*$S$6),0),"")</f>
        <v/>
      </c>
      <c r="Z24" s="548" t="str">
        <f t="shared" si="2"/>
        <v/>
      </c>
      <c r="AA24" s="207"/>
      <c r="AB24" s="177" t="str">
        <f t="shared" si="3"/>
        <v/>
      </c>
      <c r="AC24" s="74"/>
    </row>
    <row r="25" spans="1:37" ht="13.5" customHeight="1" thickBot="1" x14ac:dyDescent="0.3">
      <c r="A25" s="82">
        <v>26</v>
      </c>
      <c r="B25" s="132" t="s">
        <v>89</v>
      </c>
      <c r="C25" s="140" t="str">
        <f>IF('Comp. Escrita'!AZ24="","",'Comp. Escrita'!AZ24)</f>
        <v/>
      </c>
      <c r="D25" s="253" t="str">
        <f>IF('Comp. Escrita'!CS24="","",'Comp. Escrita'!CS24)</f>
        <v/>
      </c>
      <c r="E25" s="254"/>
      <c r="F25" s="147">
        <f>IF(Oralidade!N24="","",Oralidade!N24)</f>
        <v>91</v>
      </c>
      <c r="G25" s="253" t="str">
        <f>IF(Oralidade!AB24="","",Oralidade!AB24)</f>
        <v/>
      </c>
      <c r="H25" s="254"/>
      <c r="I25" s="147">
        <f>IF(Oralidade!U24="","",Oralidade!U24)</f>
        <v>91</v>
      </c>
      <c r="J25" s="253" t="str">
        <f>IF(Oralidade!AI24="","",Oralidade!AI24)</f>
        <v/>
      </c>
      <c r="K25" s="254"/>
      <c r="L25" s="248"/>
      <c r="M25" s="255"/>
      <c r="N25" s="256"/>
      <c r="O25" s="282" t="str">
        <f>IF('Prod. Escrita'!AL24="","",'Prod. Escrita'!AL24)</f>
        <v/>
      </c>
      <c r="P25" s="283"/>
      <c r="Q25" s="264" t="str">
        <f>IF('Prod. Escrita'!BQ24="","",'Prod. Escrita'!BQ24)</f>
        <v/>
      </c>
      <c r="R25" s="265"/>
      <c r="S25" s="265"/>
      <c r="T25" s="266"/>
      <c r="U25" s="241" t="str">
        <f>IF(AREAS((C25,F25,I25,L25,O25))-COUNT(C25,F25,I25,L25,O25)=0,ROUND(SUM($C25*$E23,$F25*$H$7,$I25*$K$7,$L25*$N$6,$O25*$S$6),0),"")</f>
        <v/>
      </c>
      <c r="V25" s="53" t="str">
        <f t="shared" si="0"/>
        <v/>
      </c>
      <c r="W25" s="175"/>
      <c r="X25" s="162"/>
      <c r="Y25" s="182" t="str">
        <f>IF(AREAS((D25,G25,J25,M25,Q25))-COUNT(D25,G25,J25,M25,Q25)=0,ROUND(SUM($D25*$E23,$G25*$H$7,$J25*$K$7,$M25*$N$6,$Q25*$S$6),0),"")</f>
        <v/>
      </c>
      <c r="Z25" s="167" t="str">
        <f t="shared" si="2"/>
        <v/>
      </c>
      <c r="AA25" s="208"/>
      <c r="AB25" s="178" t="str">
        <f t="shared" si="3"/>
        <v/>
      </c>
      <c r="AC25" s="74"/>
    </row>
    <row r="26" spans="1:37" ht="13.5" customHeight="1" thickBot="1" x14ac:dyDescent="0.3">
      <c r="A26" s="81">
        <v>27</v>
      </c>
      <c r="B26" s="131" t="s">
        <v>90</v>
      </c>
      <c r="C26" s="139" t="str">
        <f>IF('Comp. Escrita'!AZ25="","",'Comp. Escrita'!AZ25)</f>
        <v/>
      </c>
      <c r="D26" s="251" t="str">
        <f>IF('Comp. Escrita'!CS25="","",'Comp. Escrita'!CS25)</f>
        <v/>
      </c>
      <c r="E26" s="252"/>
      <c r="F26" s="146">
        <f>IF(Oralidade!N25="","",Oralidade!N25)</f>
        <v>82</v>
      </c>
      <c r="G26" s="251" t="str">
        <f>IF(Oralidade!AB25="","",Oralidade!AB25)</f>
        <v/>
      </c>
      <c r="H26" s="252"/>
      <c r="I26" s="146">
        <f>IF(Oralidade!U25="","",Oralidade!U25)</f>
        <v>82</v>
      </c>
      <c r="J26" s="251" t="str">
        <f>IF(Oralidade!AI25="","",Oralidade!AI25)</f>
        <v/>
      </c>
      <c r="K26" s="252"/>
      <c r="L26" s="247"/>
      <c r="M26" s="257"/>
      <c r="N26" s="258"/>
      <c r="O26" s="284" t="str">
        <f>IF('Prod. Escrita'!AL25="","",'Prod. Escrita'!AL25)</f>
        <v/>
      </c>
      <c r="P26" s="285"/>
      <c r="Q26" s="261" t="str">
        <f>IF('Prod. Escrita'!BQ25="","",'Prod. Escrita'!BQ25)</f>
        <v/>
      </c>
      <c r="R26" s="262"/>
      <c r="S26" s="262"/>
      <c r="T26" s="263"/>
      <c r="U26" s="242" t="str">
        <f>IF(AREAS((C26,F26,I26,L26,O26))-COUNT(C26,F26,I26,L26,O26)=0,ROUND(SUM($C26*$E24,$F26*$H$7,$I26*$K$7,$L26*$N$6,$O26*$S$6),0),"")</f>
        <v/>
      </c>
      <c r="V26" s="52" t="str">
        <f t="shared" si="0"/>
        <v/>
      </c>
      <c r="W26" s="174"/>
      <c r="X26" s="160" t="str">
        <f t="shared" si="1"/>
        <v/>
      </c>
      <c r="Y26" s="214" t="str">
        <f>IF(AREAS((D26,G26,J26,M26,Q26))-COUNT(D26,G26,J26,M26,Q26)=0,ROUND(SUM($D26*$E24,$G26*$H$7,$J26*$K$7,$M26*$N$6,$Q26*$S$6),0),"")</f>
        <v/>
      </c>
      <c r="Z26" s="548" t="str">
        <f t="shared" si="2"/>
        <v/>
      </c>
      <c r="AA26" s="207"/>
      <c r="AB26" s="177" t="str">
        <f t="shared" si="3"/>
        <v/>
      </c>
      <c r="AC26" s="74"/>
    </row>
    <row r="27" spans="1:37" ht="13.5" customHeight="1" thickBot="1" x14ac:dyDescent="0.3">
      <c r="A27" s="82">
        <v>28</v>
      </c>
      <c r="B27" s="132" t="s">
        <v>91</v>
      </c>
      <c r="C27" s="140" t="str">
        <f>IF('Comp. Escrita'!AZ26="","",'Comp. Escrita'!AZ26)</f>
        <v/>
      </c>
      <c r="D27" s="253" t="str">
        <f>IF('Comp. Escrita'!CS26="","",'Comp. Escrita'!CS26)</f>
        <v/>
      </c>
      <c r="E27" s="254"/>
      <c r="F27" s="147">
        <f>IF(Oralidade!N26="","",Oralidade!N26)</f>
        <v>100</v>
      </c>
      <c r="G27" s="253" t="str">
        <f>IF(Oralidade!AB26="","",Oralidade!AB26)</f>
        <v/>
      </c>
      <c r="H27" s="254"/>
      <c r="I27" s="147">
        <f>IF(Oralidade!U26="","",Oralidade!U26)</f>
        <v>100</v>
      </c>
      <c r="J27" s="253" t="str">
        <f>IF(Oralidade!AI26="","",Oralidade!AI26)</f>
        <v/>
      </c>
      <c r="K27" s="254"/>
      <c r="L27" s="248"/>
      <c r="M27" s="255"/>
      <c r="N27" s="256"/>
      <c r="O27" s="282" t="str">
        <f>IF('Prod. Escrita'!AL26="","",'Prod. Escrita'!AL26)</f>
        <v/>
      </c>
      <c r="P27" s="283"/>
      <c r="Q27" s="264" t="str">
        <f>IF('Prod. Escrita'!BQ26="","",'Prod. Escrita'!BQ26)</f>
        <v/>
      </c>
      <c r="R27" s="265"/>
      <c r="S27" s="265"/>
      <c r="T27" s="266"/>
      <c r="U27" s="241" t="str">
        <f>IF(AREAS((C27,F27,I27,L27,O27))-COUNT(C27,F27,I27,L27,O27)=0,ROUND(SUM($C27*$E25,$F27*$H$7,$I27*$K$7,$L27*$N$6,$O27*$S$6),0),"")</f>
        <v/>
      </c>
      <c r="V27" s="53" t="str">
        <f t="shared" si="0"/>
        <v/>
      </c>
      <c r="W27" s="175"/>
      <c r="X27" s="163" t="str">
        <f t="shared" si="1"/>
        <v/>
      </c>
      <c r="Y27" s="182" t="str">
        <f>IF(AREAS((D27,G27,J27,M27,Q27))-COUNT(D27,G27,J27,M27,Q27)=0,ROUND(SUM($D27*$E25,$G27*$H$7,$J27*$K$7,$M27*$N$6,$Q27*$S$6),0),"")</f>
        <v/>
      </c>
      <c r="Z27" s="167" t="str">
        <f t="shared" si="2"/>
        <v/>
      </c>
      <c r="AA27" s="208"/>
      <c r="AB27" s="178"/>
      <c r="AC27" s="74"/>
    </row>
    <row r="28" spans="1:37" ht="13.5" customHeight="1" thickBot="1" x14ac:dyDescent="0.3">
      <c r="A28" s="81">
        <v>20</v>
      </c>
      <c r="B28" s="131"/>
      <c r="C28" s="139" t="str">
        <f>IF('Comp. Escrita'!AZ27="","",'Comp. Escrita'!AZ27)</f>
        <v/>
      </c>
      <c r="D28" s="251" t="str">
        <f>IF('Comp. Escrita'!CS27="","",'Comp. Escrita'!CS27)</f>
        <v/>
      </c>
      <c r="E28" s="252"/>
      <c r="F28" s="146" t="str">
        <f>IF(Oralidade!N27="","",Oralidade!N27)</f>
        <v/>
      </c>
      <c r="G28" s="251" t="str">
        <f>IF(Oralidade!AB27="","",Oralidade!AB27)</f>
        <v/>
      </c>
      <c r="H28" s="252"/>
      <c r="I28" s="146" t="str">
        <f>IF(Oralidade!U27="","",Oralidade!U27)</f>
        <v/>
      </c>
      <c r="J28" s="251" t="str">
        <f>IF(Oralidade!AI27="","",Oralidade!AI27)</f>
        <v/>
      </c>
      <c r="K28" s="252"/>
      <c r="L28" s="247"/>
      <c r="M28" s="257"/>
      <c r="N28" s="258"/>
      <c r="O28" s="284" t="str">
        <f>IF('Prod. Escrita'!AL27="","",'Prod. Escrita'!AL27)</f>
        <v/>
      </c>
      <c r="P28" s="285"/>
      <c r="Q28" s="261" t="str">
        <f>IF('Prod. Escrita'!BQ27="","",'Prod. Escrita'!BQ27)</f>
        <v/>
      </c>
      <c r="R28" s="262"/>
      <c r="S28" s="262"/>
      <c r="T28" s="263"/>
      <c r="U28" s="242" t="str">
        <f>IF(AREAS((C28,F28,I28,L28,O28))-COUNT(C28,F28,I28,L28,O28)=0,ROUND(SUM($C28*$E26,$F28*$H$7,$I28*$K$7,$L28*$N$6,$O28*$S$6),0),"")</f>
        <v/>
      </c>
      <c r="V28" s="52" t="str">
        <f t="shared" si="0"/>
        <v/>
      </c>
      <c r="W28" s="174"/>
      <c r="X28" s="161" t="str">
        <f t="shared" si="1"/>
        <v/>
      </c>
      <c r="Y28" s="214" t="str">
        <f>IF(AREAS((D28,G28,J28,M28,Q28))-COUNT(D28,G28,J28,M28,Q28)=0,ROUND(SUM($D28*$E26,$G28*$H$7,$J28*$K$7,$M28*$N$6,$Q28*$S$6),0),"")</f>
        <v/>
      </c>
      <c r="Z28" s="548" t="str">
        <f t="shared" si="2"/>
        <v/>
      </c>
      <c r="AA28" s="207"/>
      <c r="AB28" s="177" t="str">
        <f t="shared" si="3"/>
        <v/>
      </c>
      <c r="AC28" s="74"/>
    </row>
    <row r="29" spans="1:37" ht="13.5" customHeight="1" x14ac:dyDescent="0.25">
      <c r="A29" s="82">
        <v>21</v>
      </c>
      <c r="B29" s="132"/>
      <c r="C29" s="140" t="str">
        <f>IF('Comp. Escrita'!AZ28="","",'Comp. Escrita'!AZ28)</f>
        <v/>
      </c>
      <c r="D29" s="253" t="str">
        <f>IF('Comp. Escrita'!CS28="","",'Comp. Escrita'!CS28)</f>
        <v/>
      </c>
      <c r="E29" s="254"/>
      <c r="F29" s="147" t="str">
        <f>IF(Oralidade!N28="","",Oralidade!N28)</f>
        <v/>
      </c>
      <c r="G29" s="253" t="str">
        <f>IF(Oralidade!AB28="","",Oralidade!AB28)</f>
        <v/>
      </c>
      <c r="H29" s="254"/>
      <c r="I29" s="147" t="str">
        <f>IF(Oralidade!U28="","",Oralidade!U28)</f>
        <v/>
      </c>
      <c r="J29" s="253" t="str">
        <f>IF(Oralidade!AI28="","",Oralidade!AI28)</f>
        <v/>
      </c>
      <c r="K29" s="254"/>
      <c r="L29" s="248"/>
      <c r="M29" s="255"/>
      <c r="N29" s="256"/>
      <c r="O29" s="282" t="str">
        <f>IF('Prod. Escrita'!AL28="","",'Prod. Escrita'!AL28)</f>
        <v/>
      </c>
      <c r="P29" s="283"/>
      <c r="Q29" s="264" t="str">
        <f>IF('Prod. Escrita'!BQ28="","",'Prod. Escrita'!BQ28)</f>
        <v/>
      </c>
      <c r="R29" s="265"/>
      <c r="S29" s="265"/>
      <c r="T29" s="266"/>
      <c r="U29" s="241" t="str">
        <f>IF(AREAS((C29,F29,I29,L29,O29))-COUNT(C29,F29,I29,L29,O29)=0,ROUND(SUM($C29*$E27,$F29*$H$7,$I29*$K$7,$L29*$N$6,$O29*$S$6),0),"")</f>
        <v/>
      </c>
      <c r="V29" s="53" t="str">
        <f t="shared" si="0"/>
        <v/>
      </c>
      <c r="W29" s="175"/>
      <c r="X29" s="163" t="str">
        <f t="shared" si="1"/>
        <v/>
      </c>
      <c r="Y29" s="182" t="str">
        <f>IF(AREAS((D29,G29,J29,M29,Q29))-COUNT(D29,G29,J29,M29,Q29)=0,ROUND(SUM($D29*$E27,$G29*$H$7,$J29*$K$7,$M29*$N$6,$Q29*$S$6),0),"")</f>
        <v/>
      </c>
      <c r="Z29" s="167" t="str">
        <f t="shared" si="2"/>
        <v/>
      </c>
      <c r="AA29" s="208"/>
      <c r="AB29" s="178" t="str">
        <f t="shared" si="3"/>
        <v/>
      </c>
      <c r="AC29" s="74"/>
    </row>
    <row r="30" spans="1:37" ht="13.5" customHeight="1" x14ac:dyDescent="0.25">
      <c r="A30" s="81">
        <v>22</v>
      </c>
      <c r="B30" s="216"/>
      <c r="C30" s="139" t="str">
        <f>IF('Comp. Escrita'!AZ29="","",'Comp. Escrita'!AZ29)</f>
        <v/>
      </c>
      <c r="D30" s="251" t="str">
        <f>IF('Comp. Escrita'!CS29="","",'Comp. Escrita'!CS29)</f>
        <v/>
      </c>
      <c r="E30" s="252"/>
      <c r="F30" s="146" t="str">
        <f>IF(Oralidade!N29="","",Oralidade!N29)</f>
        <v/>
      </c>
      <c r="G30" s="251" t="str">
        <f>IF(Oralidade!AB29="","",Oralidade!AB29)</f>
        <v/>
      </c>
      <c r="H30" s="252"/>
      <c r="I30" s="146" t="str">
        <f>IF(Oralidade!U29="","",Oralidade!U29)</f>
        <v/>
      </c>
      <c r="J30" s="251" t="str">
        <f>IF(Oralidade!AI29="","",Oralidade!AI29)</f>
        <v/>
      </c>
      <c r="K30" s="252"/>
      <c r="L30" s="247"/>
      <c r="M30" s="257"/>
      <c r="N30" s="258"/>
      <c r="O30" s="284" t="str">
        <f>IF('Prod. Escrita'!AL29="","",'Prod. Escrita'!AL29)</f>
        <v/>
      </c>
      <c r="P30" s="285"/>
      <c r="Q30" s="261" t="str">
        <f>IF('Prod. Escrita'!BQ29="","",'Prod. Escrita'!BQ29)</f>
        <v/>
      </c>
      <c r="R30" s="262"/>
      <c r="S30" s="262"/>
      <c r="T30" s="263"/>
      <c r="U30" s="243" t="str">
        <f>IF(AREAS((C30,F30,I30,L30,O30))-COUNT(C30,F30,I30,L30,O30)=0,ROUND(SUM($C30*$E28,$F30*$H$7,$I30*$K$7,$L30*$N$6,$O30*$S$6),0),"")</f>
        <v/>
      </c>
      <c r="V30" s="52" t="str">
        <f t="shared" si="0"/>
        <v/>
      </c>
      <c r="W30" s="174"/>
      <c r="X30" s="158" t="str">
        <f t="shared" si="1"/>
        <v/>
      </c>
      <c r="Y30" s="214" t="str">
        <f>IF(AREAS((D30,G30,J30,M30,Q30))-COUNT(D30,G30,J30,M30,Q30)=0,ROUND(SUM($D30*$E28,$G30*$H$7,$J30*$K$7,$M30*$N$6,$Q30*$S$6),0),"")</f>
        <v/>
      </c>
      <c r="Z30" s="168" t="str">
        <f t="shared" si="2"/>
        <v/>
      </c>
      <c r="AA30" s="207"/>
      <c r="AB30" s="177" t="str">
        <f t="shared" si="3"/>
        <v/>
      </c>
    </row>
    <row r="31" spans="1:37" ht="13.5" customHeight="1" x14ac:dyDescent="0.25">
      <c r="A31" s="82">
        <v>23</v>
      </c>
      <c r="B31" s="132"/>
      <c r="C31" s="140" t="str">
        <f>IF('Comp. Escrita'!AZ30="","",'Comp. Escrita'!AZ30)</f>
        <v/>
      </c>
      <c r="D31" s="253" t="str">
        <f>IF('Comp. Escrita'!CS30="","",'Comp. Escrita'!CS30)</f>
        <v/>
      </c>
      <c r="E31" s="254"/>
      <c r="F31" s="147" t="str">
        <f>IF(Oralidade!N30="","",Oralidade!N30)</f>
        <v/>
      </c>
      <c r="G31" s="253" t="str">
        <f>IF(Oralidade!AB30="","",Oralidade!AB30)</f>
        <v/>
      </c>
      <c r="H31" s="254"/>
      <c r="I31" s="147" t="str">
        <f>IF(Oralidade!U30="","",Oralidade!U30)</f>
        <v/>
      </c>
      <c r="J31" s="253" t="str">
        <f>IF(Oralidade!AI30="","",Oralidade!AI30)</f>
        <v/>
      </c>
      <c r="K31" s="254"/>
      <c r="L31" s="248"/>
      <c r="M31" s="255"/>
      <c r="N31" s="256"/>
      <c r="O31" s="282" t="str">
        <f>IF('Prod. Escrita'!AL30="","",'Prod. Escrita'!AL30)</f>
        <v/>
      </c>
      <c r="P31" s="283"/>
      <c r="Q31" s="264" t="str">
        <f>IF('Prod. Escrita'!BQ30="","",'Prod. Escrita'!BQ30)</f>
        <v/>
      </c>
      <c r="R31" s="265"/>
      <c r="S31" s="265"/>
      <c r="T31" s="266"/>
      <c r="U31" s="241" t="str">
        <f>IF(AREAS((C31,F31,I31,L31,O31))-COUNT(C31,F31,I31,L31,O31)=0,ROUND(SUM($C31*$E29,$F31*$H$7,$I31*$K$7,$L31*$N$6,$O31*$S$6),0),"")</f>
        <v/>
      </c>
      <c r="V31" s="53" t="str">
        <f t="shared" si="0"/>
        <v/>
      </c>
      <c r="W31" s="175"/>
      <c r="X31" s="163" t="str">
        <f t="shared" si="1"/>
        <v/>
      </c>
      <c r="Y31" s="182" t="str">
        <f>IF(AREAS((D31,G31,J31,M31,Q31))-COUNT(D31,G31,J31,M31,Q31)=0,ROUND(SUM($D31*$E29,$G31*$H$7,$J31*$K$7,$M31*$N$6,$Q31*$S$6),0),"")</f>
        <v/>
      </c>
      <c r="Z31" s="169" t="str">
        <f t="shared" si="2"/>
        <v/>
      </c>
      <c r="AA31" s="208"/>
      <c r="AB31" s="178" t="str">
        <f t="shared" si="3"/>
        <v/>
      </c>
      <c r="AH31" s="79"/>
      <c r="AI31" s="79"/>
      <c r="AJ31" s="79"/>
      <c r="AK31" s="79"/>
    </row>
    <row r="32" spans="1:37" ht="13.5" customHeight="1" x14ac:dyDescent="0.25">
      <c r="A32" s="81"/>
      <c r="B32" s="131"/>
      <c r="C32" s="139" t="str">
        <f>IF('Comp. Escrita'!AZ31="","",'Comp. Escrita'!AZ31)</f>
        <v/>
      </c>
      <c r="D32" s="251" t="str">
        <f>IF('Comp. Escrita'!CS31="","",'Comp. Escrita'!CS31)</f>
        <v/>
      </c>
      <c r="E32" s="252"/>
      <c r="F32" s="146" t="str">
        <f>IF(Oralidade!N31="","",Oralidade!N31)</f>
        <v/>
      </c>
      <c r="G32" s="251" t="str">
        <f>IF(Oralidade!AB31="","",Oralidade!AB31)</f>
        <v/>
      </c>
      <c r="H32" s="252"/>
      <c r="I32" s="146" t="str">
        <f>IF(Oralidade!U31="","",Oralidade!U31)</f>
        <v/>
      </c>
      <c r="J32" s="251" t="str">
        <f>IF(Oralidade!AI31="","",Oralidade!AI31)</f>
        <v/>
      </c>
      <c r="K32" s="252"/>
      <c r="L32" s="247"/>
      <c r="M32" s="257"/>
      <c r="N32" s="258"/>
      <c r="O32" s="284" t="str">
        <f>IF('Prod. Escrita'!AL31="","",'Prod. Escrita'!AL31)</f>
        <v/>
      </c>
      <c r="P32" s="285"/>
      <c r="Q32" s="261" t="str">
        <f>IF('Prod. Escrita'!BQ31="","",'Prod. Escrita'!BQ31)</f>
        <v/>
      </c>
      <c r="R32" s="262"/>
      <c r="S32" s="262"/>
      <c r="T32" s="263"/>
      <c r="U32" s="242" t="str">
        <f>IF(AREAS((C32,F32,I32,L32,O32))-COUNT(C32,F32,I32,L32,O32)=0,ROUND(SUM($C32*$E30,$F32*$H$7,$I32*$K$7,$L32*$N$6,$O32*$S$6),0),"")</f>
        <v/>
      </c>
      <c r="V32" s="52" t="str">
        <f t="shared" si="0"/>
        <v/>
      </c>
      <c r="W32" s="174"/>
      <c r="X32" s="158" t="str">
        <f t="shared" si="1"/>
        <v/>
      </c>
      <c r="Y32" s="214" t="str">
        <f>IF(AREAS((D32,G32,J32,M32,Q32))-COUNT(D32,G32,J32,M32,Q32)=0,ROUND(SUM($D32*$E30,$G32*$H$7,$J32*$K$7,$M32*$N$6,$Q32*$S$6),0),"")</f>
        <v/>
      </c>
      <c r="Z32" s="168" t="str">
        <f t="shared" si="2"/>
        <v/>
      </c>
      <c r="AA32" s="207"/>
      <c r="AB32" s="177" t="str">
        <f t="shared" si="3"/>
        <v/>
      </c>
    </row>
    <row r="33" spans="1:28" ht="13.5" customHeight="1" x14ac:dyDescent="0.25">
      <c r="A33" s="82"/>
      <c r="B33" s="132"/>
      <c r="C33" s="140" t="str">
        <f>IF('Comp. Escrita'!AZ32="","",'Comp. Escrita'!AZ32)</f>
        <v/>
      </c>
      <c r="D33" s="253" t="str">
        <f>IF('Comp. Escrita'!CS32="","",'Comp. Escrita'!CS32)</f>
        <v/>
      </c>
      <c r="E33" s="254"/>
      <c r="F33" s="147" t="str">
        <f>IF(Oralidade!N32="","",Oralidade!N32)</f>
        <v/>
      </c>
      <c r="G33" s="253" t="str">
        <f>IF(Oralidade!AB32="","",Oralidade!AB32)</f>
        <v/>
      </c>
      <c r="H33" s="254"/>
      <c r="I33" s="147" t="str">
        <f>IF(Oralidade!U32="","",Oralidade!U32)</f>
        <v/>
      </c>
      <c r="J33" s="253" t="str">
        <f>IF(Oralidade!AI32="","",Oralidade!AI32)</f>
        <v/>
      </c>
      <c r="K33" s="254"/>
      <c r="L33" s="248"/>
      <c r="M33" s="255"/>
      <c r="N33" s="256"/>
      <c r="O33" s="282" t="str">
        <f>IF('Prod. Escrita'!AL32="","",'Prod. Escrita'!AL32)</f>
        <v/>
      </c>
      <c r="P33" s="283"/>
      <c r="Q33" s="264" t="str">
        <f>IF('Prod. Escrita'!BQ32="","",'Prod. Escrita'!BQ32)</f>
        <v/>
      </c>
      <c r="R33" s="265"/>
      <c r="S33" s="265"/>
      <c r="T33" s="266"/>
      <c r="U33" s="241" t="str">
        <f>IF(AREAS((C33,F33,I33,L33,O33))-COUNT(C33,F33,I33,L33,O33)=0,ROUND(SUM($C33*$E31,$F33*$H$7,$I33*$K$7,$L33*$N$6,$O33*$S$6),0),"")</f>
        <v/>
      </c>
      <c r="V33" s="53" t="str">
        <f t="shared" si="0"/>
        <v/>
      </c>
      <c r="W33" s="175"/>
      <c r="X33" s="159" t="str">
        <f t="shared" si="1"/>
        <v/>
      </c>
      <c r="Y33" s="182" t="str">
        <f>IF(AREAS((D33,G33,J33,M33,Q33))-COUNT(D33,G33,J33,M33,Q33)=0,ROUND(SUM($D33*$E31,$G33*$H$7,$J33*$K$7,$M33*$N$6,$Q33*$S$6),0),"")</f>
        <v/>
      </c>
      <c r="Z33" s="169" t="str">
        <f t="shared" si="2"/>
        <v/>
      </c>
      <c r="AA33" s="208"/>
      <c r="AB33" s="178" t="str">
        <f t="shared" si="3"/>
        <v/>
      </c>
    </row>
    <row r="34" spans="1:28" ht="13.5" customHeight="1" x14ac:dyDescent="0.25">
      <c r="A34" s="81"/>
      <c r="B34" s="131"/>
      <c r="C34" s="139" t="str">
        <f>IF('Comp. Escrita'!AZ33="","",'Comp. Escrita'!AZ33)</f>
        <v/>
      </c>
      <c r="D34" s="251" t="str">
        <f>IF('Comp. Escrita'!CS33="","",'Comp. Escrita'!CS33)</f>
        <v/>
      </c>
      <c r="E34" s="252"/>
      <c r="F34" s="146" t="str">
        <f>IF(Oralidade!N33="","",Oralidade!N33)</f>
        <v/>
      </c>
      <c r="G34" s="251" t="str">
        <f>IF(Oralidade!AB33="","",Oralidade!AB33)</f>
        <v/>
      </c>
      <c r="H34" s="252"/>
      <c r="I34" s="146" t="str">
        <f>IF(Oralidade!U33="","",Oralidade!U33)</f>
        <v/>
      </c>
      <c r="J34" s="251" t="str">
        <f>IF(Oralidade!AI33="","",Oralidade!AI33)</f>
        <v/>
      </c>
      <c r="K34" s="252"/>
      <c r="L34" s="247"/>
      <c r="M34" s="257"/>
      <c r="N34" s="258"/>
      <c r="O34" s="284" t="str">
        <f>IF('Prod. Escrita'!AL33="","",'Prod. Escrita'!AL33)</f>
        <v/>
      </c>
      <c r="P34" s="285"/>
      <c r="Q34" s="261" t="str">
        <f>IF('Prod. Escrita'!BQ33="","",'Prod. Escrita'!BQ33)</f>
        <v/>
      </c>
      <c r="R34" s="262"/>
      <c r="S34" s="262"/>
      <c r="T34" s="263"/>
      <c r="U34" s="242" t="str">
        <f>IF(AREAS((C34,F34,I34,L34,O34))-COUNT(C34,F34,I34,L34,O34)=0,ROUND(SUM($C34*$E32,$F34*$H$7,$I34*$K$7,$L34*$N$6,$O34*$S$6),0),"")</f>
        <v/>
      </c>
      <c r="V34" s="52" t="str">
        <f t="shared" si="0"/>
        <v/>
      </c>
      <c r="W34" s="174"/>
      <c r="X34" s="161" t="str">
        <f t="shared" si="1"/>
        <v/>
      </c>
      <c r="Y34" s="214" t="str">
        <f>IF(AREAS((D34,G34,J34,M34,Q34))-COUNT(D34,G34,J34,M34,Q34)=0,ROUND(SUM($D34*$E32,$G34*$H$7,$J34*$K$7,$M34*$N$6,$Q34*$S$6),0),"")</f>
        <v/>
      </c>
      <c r="Z34" s="168" t="str">
        <f t="shared" si="2"/>
        <v/>
      </c>
      <c r="AA34" s="207"/>
      <c r="AB34" s="177" t="str">
        <f t="shared" si="3"/>
        <v/>
      </c>
    </row>
    <row r="35" spans="1:28" ht="13.5" customHeight="1" x14ac:dyDescent="0.25">
      <c r="A35" s="84"/>
      <c r="B35" s="132"/>
      <c r="C35" s="141" t="str">
        <f>IF('Comp. Escrita'!AZ34="","",'Comp. Escrita'!AZ34)</f>
        <v/>
      </c>
      <c r="D35" s="253" t="str">
        <f>IF('Comp. Escrita'!CS34="","",'Comp. Escrita'!CS34)</f>
        <v/>
      </c>
      <c r="E35" s="254"/>
      <c r="F35" s="148" t="str">
        <f>IF(Oralidade!N34="","",Oralidade!N34)</f>
        <v/>
      </c>
      <c r="G35" s="253" t="str">
        <f>IF(Oralidade!AB34="","",Oralidade!AB34)</f>
        <v/>
      </c>
      <c r="H35" s="254"/>
      <c r="I35" s="148" t="str">
        <f>IF(Oralidade!U34="","",Oralidade!U34)</f>
        <v/>
      </c>
      <c r="J35" s="253" t="str">
        <f>IF(Oralidade!AI34="","",Oralidade!AI34)</f>
        <v/>
      </c>
      <c r="K35" s="254"/>
      <c r="L35" s="249"/>
      <c r="M35" s="255"/>
      <c r="N35" s="256"/>
      <c r="O35" s="546" t="str">
        <f>IF('Prod. Escrita'!AL34="","",'Prod. Escrita'!AL34)</f>
        <v/>
      </c>
      <c r="P35" s="547"/>
      <c r="Q35" s="273" t="str">
        <f>IF('Prod. Escrita'!BQ34="","",'Prod. Escrita'!BQ34)</f>
        <v/>
      </c>
      <c r="R35" s="274"/>
      <c r="S35" s="274"/>
      <c r="T35" s="275"/>
      <c r="U35" s="241" t="str">
        <f>IF(AREAS((C35,F35,I35,L35,O35))-COUNT(C35,F35,I35,L35,O35)=0,ROUND(SUM($C35*$E33,$F35*$H$7,$I35*$K$7,$L35*$N$6,$O35*$S$6),0),"")</f>
        <v/>
      </c>
      <c r="V35" s="85" t="str">
        <f t="shared" si="0"/>
        <v/>
      </c>
      <c r="W35" s="212"/>
      <c r="X35" s="164"/>
      <c r="Y35" s="182" t="str">
        <f>IF(AREAS((D35,G35,J35,M35,Q35))-COUNT(D35,G35,J35,M35,Q35)=0,ROUND(SUM($D35*$E33,$G35*$H$7,$J35*$K$7,$M35*$N$6,$Q35*$S$6),0),"")</f>
        <v/>
      </c>
      <c r="Z35" s="170" t="str">
        <f t="shared" si="2"/>
        <v/>
      </c>
      <c r="AA35" s="209"/>
      <c r="AB35" s="179" t="str">
        <f t="shared" si="3"/>
        <v/>
      </c>
    </row>
    <row r="36" spans="1:28" ht="13.5" customHeight="1" x14ac:dyDescent="0.25">
      <c r="A36" s="88"/>
      <c r="B36" s="133"/>
      <c r="C36" s="139" t="str">
        <f>IF('Comp. Escrita'!AZ35="","",'Comp. Escrita'!AZ35)</f>
        <v/>
      </c>
      <c r="D36" s="251" t="str">
        <f>IF('Comp. Escrita'!CS35="","",'Comp. Escrita'!CS35)</f>
        <v/>
      </c>
      <c r="E36" s="252"/>
      <c r="F36" s="146" t="str">
        <f>IF(Oralidade!N35="","",Oralidade!N35)</f>
        <v/>
      </c>
      <c r="G36" s="251" t="str">
        <f>IF(Oralidade!AB35="","",Oralidade!AB35)</f>
        <v/>
      </c>
      <c r="H36" s="252"/>
      <c r="I36" s="146" t="str">
        <f>IF(Oralidade!U35="","",Oralidade!U35)</f>
        <v/>
      </c>
      <c r="J36" s="251" t="str">
        <f>IF(Oralidade!AI35="","",Oralidade!AI35)</f>
        <v/>
      </c>
      <c r="K36" s="252"/>
      <c r="L36" s="247"/>
      <c r="M36" s="257"/>
      <c r="N36" s="258"/>
      <c r="O36" s="378" t="str">
        <f>IF('Prod. Escrita'!AL35="","",'Prod. Escrita'!AL35)</f>
        <v/>
      </c>
      <c r="P36" s="379"/>
      <c r="Q36" s="276" t="str">
        <f>IF('Prod. Escrita'!BQ35="","",'Prod. Escrita'!BQ35)</f>
        <v/>
      </c>
      <c r="R36" s="277"/>
      <c r="S36" s="277"/>
      <c r="T36" s="278"/>
      <c r="U36" s="242" t="str">
        <f>IF(AREAS((C36,F36,I36,L36,O36))-COUNT(C36,F36,I36,L36,O36)=0,ROUND(SUM($C36*$E34,$F36*$H$7,$I36*$K$7,$L36*$N$6,$O36*$S$6),0),"")</f>
        <v/>
      </c>
      <c r="V36" s="89" t="str">
        <f t="shared" si="0"/>
        <v/>
      </c>
      <c r="W36" s="213"/>
      <c r="X36" s="165"/>
      <c r="Y36" s="214" t="str">
        <f>IF(AREAS((D36,G36,J36,M36,Q36))-COUNT(D36,G36,J36,M36,Q36)=0,ROUND(SUM($D36*$E34,$G36*$H$7,$J36*$K$7,$M36*$N$6,$Q36*$S$6),0),"")</f>
        <v/>
      </c>
      <c r="Z36" s="171" t="str">
        <f t="shared" si="2"/>
        <v/>
      </c>
      <c r="AA36" s="210"/>
      <c r="AB36" s="180" t="str">
        <f t="shared" si="3"/>
        <v/>
      </c>
    </row>
    <row r="37" spans="1:28" ht="13.5" customHeight="1" x14ac:dyDescent="0.25">
      <c r="A37" s="86"/>
      <c r="B37" s="134"/>
      <c r="C37" s="142" t="str">
        <f>IF('Comp. Escrita'!AZ36="","",'Comp. Escrita'!AZ36)</f>
        <v/>
      </c>
      <c r="D37" s="253" t="str">
        <f>IF('Comp. Escrita'!CS36="","",'Comp. Escrita'!CS36)</f>
        <v/>
      </c>
      <c r="E37" s="254"/>
      <c r="F37" s="149" t="str">
        <f>IF(Oralidade!N36="","",Oralidade!N36)</f>
        <v/>
      </c>
      <c r="G37" s="253" t="str">
        <f>IF(Oralidade!AB36="","",Oralidade!AB36)</f>
        <v/>
      </c>
      <c r="H37" s="254"/>
      <c r="I37" s="149" t="str">
        <f>IF(Oralidade!U36="","",Oralidade!U36)</f>
        <v/>
      </c>
      <c r="J37" s="253" t="str">
        <f>IF(Oralidade!AI36="","",Oralidade!AI36)</f>
        <v/>
      </c>
      <c r="K37" s="254"/>
      <c r="L37" s="250"/>
      <c r="M37" s="255"/>
      <c r="N37" s="256"/>
      <c r="O37" s="544" t="str">
        <f>IF('Prod. Escrita'!AL36="","",'Prod. Escrita'!AL36)</f>
        <v/>
      </c>
      <c r="P37" s="545"/>
      <c r="Q37" s="279" t="str">
        <f>IF('Prod. Escrita'!BQ36="","",'Prod. Escrita'!BQ36)</f>
        <v/>
      </c>
      <c r="R37" s="280"/>
      <c r="S37" s="280"/>
      <c r="T37" s="281"/>
      <c r="U37" s="241" t="str">
        <f>IF(AREAS((C37,F37,I37,L37,O37))-COUNT(C37,F37,I37,L37,O37)=0,ROUND(SUM($C37*$E35,$F37*$H$7,$I37*$K$7,$L37*$N$6,$O37*$S$6),0),"")</f>
        <v/>
      </c>
      <c r="V37" s="87" t="str">
        <f t="shared" si="0"/>
        <v/>
      </c>
      <c r="W37" s="245"/>
      <c r="X37" s="166"/>
      <c r="Y37" s="182" t="str">
        <f>IF(AREAS((D37,G37,J37,M37,Q37))-COUNT(D37,G37,J37,M37,Q37)=0,ROUND(SUM($D37*$E35,$G37*$H$7,$J37*$K$7,$M37*$N$6,$Q37*$S$6),0),"")</f>
        <v/>
      </c>
      <c r="Z37" s="172" t="str">
        <f t="shared" si="2"/>
        <v/>
      </c>
      <c r="AA37" s="211"/>
      <c r="AB37" s="181" t="str">
        <f t="shared" si="3"/>
        <v/>
      </c>
    </row>
    <row r="38" spans="1:28" ht="13.5" customHeight="1" x14ac:dyDescent="0.25">
      <c r="A38" s="81"/>
      <c r="B38" s="133" t="s">
        <v>38</v>
      </c>
      <c r="C38" s="139" t="str">
        <f>IF('Comp. Escrita'!AZ37="","",'Comp. Escrita'!AZ37)</f>
        <v/>
      </c>
      <c r="D38" s="251" t="str">
        <f>IF('Comp. Escrita'!CS37="","",'Comp. Escrita'!CS37)</f>
        <v/>
      </c>
      <c r="E38" s="252"/>
      <c r="F38" s="146" t="str">
        <f>IF(Oralidade!N37="","",Oralidade!N37)</f>
        <v/>
      </c>
      <c r="G38" s="251" t="str">
        <f>IF(Oralidade!AB37="","",Oralidade!AB37)</f>
        <v/>
      </c>
      <c r="H38" s="252"/>
      <c r="I38" s="146" t="str">
        <f>IF(Oralidade!U37="","",Oralidade!U37)</f>
        <v/>
      </c>
      <c r="J38" s="251" t="str">
        <f>IF(Oralidade!AC37="","",Oralidade!AC37)</f>
        <v/>
      </c>
      <c r="K38" s="252"/>
      <c r="L38" s="247"/>
      <c r="M38" s="257"/>
      <c r="N38" s="258"/>
      <c r="O38" s="284" t="str">
        <f>IF('Prod. Escrita'!AL37="","",'Prod. Escrita'!AL37)</f>
        <v/>
      </c>
      <c r="P38" s="285"/>
      <c r="Q38" s="261" t="str">
        <f>IF('Prod. Escrita'!BQ37="","",'Prod. Escrita'!BQ37)</f>
        <v/>
      </c>
      <c r="R38" s="262"/>
      <c r="S38" s="262"/>
      <c r="T38" s="263"/>
      <c r="U38" s="240" t="str">
        <f>IF(AREAS((C38,F38,I38,L38,O38))-COUNT(C38,F38,I38,L38,O38)=0,ROUND(SUM($C38*$E36,$F38*$H$7,$I38*$K$7,$L38*$N$6,$O38*$S$6),0),"")</f>
        <v/>
      </c>
      <c r="V38" s="52" t="str">
        <f t="shared" si="0"/>
        <v/>
      </c>
      <c r="W38" s="244"/>
      <c r="X38" s="165"/>
      <c r="Y38" s="214" t="str">
        <f>IF(AREAS((D38,G38,J38,M38,Q38))-COUNT(D38,G38,J38,M38,Q38)=0,ROUND(SUM($D38*$E36,$G38*$H$7,$J38*$K$7,$M38*$N$6,$Q38*$S$6),0),"")</f>
        <v/>
      </c>
      <c r="Z38" s="168" t="str">
        <f t="shared" si="2"/>
        <v/>
      </c>
      <c r="AA38" s="207"/>
      <c r="AB38" s="177" t="str">
        <f t="shared" si="3"/>
        <v/>
      </c>
    </row>
    <row r="39" spans="1:28" ht="15.75" thickBot="1" x14ac:dyDescent="0.3">
      <c r="B39" s="135"/>
    </row>
    <row r="40" spans="1:28" ht="15.75" thickBot="1" x14ac:dyDescent="0.3">
      <c r="B40" s="135"/>
      <c r="M40" s="298" t="s">
        <v>6</v>
      </c>
      <c r="N40" s="299"/>
      <c r="O40" s="299"/>
      <c r="P40" s="299"/>
      <c r="Q40" s="300"/>
      <c r="R40" s="298" t="s">
        <v>7</v>
      </c>
      <c r="S40" s="299"/>
      <c r="T40" s="299"/>
      <c r="U40" s="299"/>
      <c r="V40" s="300"/>
      <c r="W40"/>
      <c r="X40"/>
      <c r="Y40"/>
      <c r="Z40"/>
    </row>
    <row r="41" spans="1:28" x14ac:dyDescent="0.25">
      <c r="B41" s="135"/>
      <c r="M41" s="317" t="s">
        <v>8</v>
      </c>
      <c r="N41" s="318"/>
      <c r="O41" s="302"/>
      <c r="P41" s="303"/>
      <c r="Q41" s="304"/>
      <c r="R41" s="375" t="s">
        <v>8</v>
      </c>
      <c r="S41" s="376"/>
      <c r="T41" s="377"/>
      <c r="U41" s="370"/>
      <c r="V41" s="371"/>
      <c r="W41"/>
      <c r="X41"/>
      <c r="Y41"/>
      <c r="Z41"/>
    </row>
    <row r="42" spans="1:28" x14ac:dyDescent="0.25">
      <c r="M42" s="313" t="s">
        <v>9</v>
      </c>
      <c r="N42" s="314"/>
      <c r="O42" s="305"/>
      <c r="P42" s="306"/>
      <c r="Q42" s="307"/>
      <c r="R42" s="289" t="s">
        <v>9</v>
      </c>
      <c r="S42" s="290"/>
      <c r="T42" s="291"/>
      <c r="U42" s="372"/>
      <c r="V42" s="373"/>
      <c r="W42"/>
      <c r="X42"/>
      <c r="Y42"/>
      <c r="Z42"/>
    </row>
    <row r="43" spans="1:28" x14ac:dyDescent="0.25">
      <c r="M43" s="313" t="s">
        <v>10</v>
      </c>
      <c r="N43" s="314"/>
      <c r="O43" s="308" t="str">
        <f>CONCATENATE(IF(SUM(O44:Q48)&gt;0,FIXED(100*SUM(O46:Q48)/SUM(O44:Q48)),0), "%")</f>
        <v>0%</v>
      </c>
      <c r="P43" s="308"/>
      <c r="Q43" s="308"/>
      <c r="R43" s="289" t="s">
        <v>10</v>
      </c>
      <c r="S43" s="290"/>
      <c r="T43" s="291"/>
      <c r="U43" s="374" t="str">
        <f>CONCATENATE(IF(SUM(U44:V48)&gt;0,FIXED(100*SUM(U46:V48)/SUM(U44:V48)),0), "%")</f>
        <v>0%</v>
      </c>
      <c r="V43" s="293"/>
      <c r="W43"/>
      <c r="X43"/>
      <c r="Y43"/>
      <c r="Z43"/>
    </row>
    <row r="44" spans="1:28" x14ac:dyDescent="0.25">
      <c r="M44" s="313" t="s">
        <v>40</v>
      </c>
      <c r="N44" s="314"/>
      <c r="O44" s="309">
        <f>COUNTIF(X9:X38,"1")</f>
        <v>0</v>
      </c>
      <c r="P44" s="310"/>
      <c r="Q44" s="311"/>
      <c r="R44" s="289" t="s">
        <v>40</v>
      </c>
      <c r="S44" s="290"/>
      <c r="T44" s="291"/>
      <c r="U44" s="292">
        <f>COUNTIF(AB9:AB38,"1")</f>
        <v>0</v>
      </c>
      <c r="V44" s="293"/>
      <c r="W44"/>
      <c r="X44"/>
      <c r="Y44"/>
      <c r="Z44"/>
    </row>
    <row r="45" spans="1:28" x14ac:dyDescent="0.25">
      <c r="M45" s="313" t="s">
        <v>11</v>
      </c>
      <c r="N45" s="314"/>
      <c r="O45" s="312">
        <f>COUNTIF(X9:X38,"2")</f>
        <v>0</v>
      </c>
      <c r="P45" s="310"/>
      <c r="Q45" s="311"/>
      <c r="R45" s="289" t="s">
        <v>11</v>
      </c>
      <c r="S45" s="290"/>
      <c r="T45" s="291"/>
      <c r="U45" s="292">
        <f>COUNTIF(AB9:AB38,"2")</f>
        <v>0</v>
      </c>
      <c r="V45" s="293"/>
      <c r="W45"/>
      <c r="X45"/>
      <c r="Y45"/>
      <c r="Z45"/>
    </row>
    <row r="46" spans="1:28" x14ac:dyDescent="0.25">
      <c r="M46" s="313" t="s">
        <v>12</v>
      </c>
      <c r="N46" s="314"/>
      <c r="O46" s="312">
        <f>COUNTIF(X9:X38,"3")</f>
        <v>0</v>
      </c>
      <c r="P46" s="310"/>
      <c r="Q46" s="311"/>
      <c r="R46" s="289" t="s">
        <v>12</v>
      </c>
      <c r="S46" s="290"/>
      <c r="T46" s="291"/>
      <c r="U46" s="292">
        <f>COUNTIF(AB9:AB38,"3")</f>
        <v>0</v>
      </c>
      <c r="V46" s="293"/>
      <c r="W46"/>
      <c r="X46"/>
      <c r="Y46"/>
      <c r="Z46"/>
    </row>
    <row r="47" spans="1:28" x14ac:dyDescent="0.25">
      <c r="M47" s="315" t="s">
        <v>13</v>
      </c>
      <c r="N47" s="316"/>
      <c r="O47" s="312">
        <f>COUNTIF(X9:X38,"4")</f>
        <v>0</v>
      </c>
      <c r="P47" s="310"/>
      <c r="Q47" s="311"/>
      <c r="R47" s="289" t="s">
        <v>13</v>
      </c>
      <c r="S47" s="290"/>
      <c r="T47" s="291"/>
      <c r="U47" s="292">
        <f>COUNTIF(AB9:AB38,"4")</f>
        <v>0</v>
      </c>
      <c r="V47" s="293"/>
      <c r="W47"/>
      <c r="X47"/>
      <c r="Y47"/>
      <c r="Z47"/>
    </row>
    <row r="48" spans="1:28" ht="15.75" thickBot="1" x14ac:dyDescent="0.3">
      <c r="M48" s="296" t="s">
        <v>14</v>
      </c>
      <c r="N48" s="297"/>
      <c r="O48" s="294">
        <f>COUNTIF(X9:X38,"5")</f>
        <v>0</v>
      </c>
      <c r="P48" s="301"/>
      <c r="Q48" s="295"/>
      <c r="R48" s="286" t="s">
        <v>14</v>
      </c>
      <c r="S48" s="287"/>
      <c r="T48" s="288"/>
      <c r="U48" s="294">
        <f>COUNTIF(AB9:AB38,"5")</f>
        <v>0</v>
      </c>
      <c r="V48" s="295"/>
      <c r="W48"/>
    </row>
    <row r="49" spans="23:23" x14ac:dyDescent="0.25">
      <c r="W49" s="61"/>
    </row>
  </sheetData>
  <sheetProtection algorithmName="SHA-512" hashValue="3444ghDn7hFG5A3D33L1NX2siIpLlVjmUX1kRfLjrv3oRmYCWLU6czlT6w3GrS1qJZmWMYEDOLFUaFQx6gJu4g==" saltValue="s4y6vVz3sDeY4cqODXjjVw==" spinCount="100000" sheet="1" objects="1" scenarios="1"/>
  <mergeCells count="241">
    <mergeCell ref="D36:E36"/>
    <mergeCell ref="D37:E37"/>
    <mergeCell ref="D38:E38"/>
    <mergeCell ref="C6:E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O28:P28"/>
    <mergeCell ref="O33:P33"/>
    <mergeCell ref="U41:V41"/>
    <mergeCell ref="U42:V42"/>
    <mergeCell ref="U43:V43"/>
    <mergeCell ref="R40:V40"/>
    <mergeCell ref="R41:T41"/>
    <mergeCell ref="O30:P30"/>
    <mergeCell ref="O31:P31"/>
    <mergeCell ref="O38:P38"/>
    <mergeCell ref="O35:P35"/>
    <mergeCell ref="O36:P36"/>
    <mergeCell ref="O37:P37"/>
    <mergeCell ref="O34:P34"/>
    <mergeCell ref="O32:P32"/>
    <mergeCell ref="Q38:T38"/>
    <mergeCell ref="Q29:T29"/>
    <mergeCell ref="Q30:T30"/>
    <mergeCell ref="Q31:T31"/>
    <mergeCell ref="Q32:T32"/>
    <mergeCell ref="Q33:T33"/>
    <mergeCell ref="Q34:T34"/>
    <mergeCell ref="G8:H8"/>
    <mergeCell ref="O9:P9"/>
    <mergeCell ref="O10:P10"/>
    <mergeCell ref="O11:P11"/>
    <mergeCell ref="O12:P12"/>
    <mergeCell ref="O13:P13"/>
    <mergeCell ref="X6:X8"/>
    <mergeCell ref="U8:V8"/>
    <mergeCell ref="Y8:Z8"/>
    <mergeCell ref="O8:P8"/>
    <mergeCell ref="W6:W8"/>
    <mergeCell ref="U6:V7"/>
    <mergeCell ref="Y6:Z7"/>
    <mergeCell ref="G9:H9"/>
    <mergeCell ref="G10:H10"/>
    <mergeCell ref="G11:H11"/>
    <mergeCell ref="G12:H12"/>
    <mergeCell ref="G13:H13"/>
    <mergeCell ref="Q8:T8"/>
    <mergeCell ref="Q9:T9"/>
    <mergeCell ref="Q10:T10"/>
    <mergeCell ref="A1:B2"/>
    <mergeCell ref="C5:AC5"/>
    <mergeCell ref="A6:B6"/>
    <mergeCell ref="L6:M7"/>
    <mergeCell ref="N6:N7"/>
    <mergeCell ref="O6:R7"/>
    <mergeCell ref="S6:T7"/>
    <mergeCell ref="F6:J6"/>
    <mergeCell ref="F7:G7"/>
    <mergeCell ref="I7:J7"/>
    <mergeCell ref="G4:M4"/>
    <mergeCell ref="D1:AG2"/>
    <mergeCell ref="AB6:AB8"/>
    <mergeCell ref="AA6:AA8"/>
    <mergeCell ref="D8:E8"/>
    <mergeCell ref="M48:N48"/>
    <mergeCell ref="M40:Q40"/>
    <mergeCell ref="O48:Q48"/>
    <mergeCell ref="O41:Q41"/>
    <mergeCell ref="O42:Q42"/>
    <mergeCell ref="O43:Q43"/>
    <mergeCell ref="O44:Q44"/>
    <mergeCell ref="O45:Q45"/>
    <mergeCell ref="O46:Q46"/>
    <mergeCell ref="O47:Q47"/>
    <mergeCell ref="M43:N43"/>
    <mergeCell ref="M44:N44"/>
    <mergeCell ref="M45:N45"/>
    <mergeCell ref="M46:N46"/>
    <mergeCell ref="M47:N47"/>
    <mergeCell ref="M41:N41"/>
    <mergeCell ref="M42:N42"/>
    <mergeCell ref="R48:T48"/>
    <mergeCell ref="R47:T47"/>
    <mergeCell ref="R46:T46"/>
    <mergeCell ref="R45:T45"/>
    <mergeCell ref="R44:T44"/>
    <mergeCell ref="R43:T43"/>
    <mergeCell ref="R42:T42"/>
    <mergeCell ref="U44:V44"/>
    <mergeCell ref="U45:V45"/>
    <mergeCell ref="U46:V46"/>
    <mergeCell ref="U47:V47"/>
    <mergeCell ref="U48:V48"/>
    <mergeCell ref="Q35:T35"/>
    <mergeCell ref="Q36:T36"/>
    <mergeCell ref="Q37:T37"/>
    <mergeCell ref="O19:P19"/>
    <mergeCell ref="O20:P20"/>
    <mergeCell ref="O21:P21"/>
    <mergeCell ref="O22:P22"/>
    <mergeCell ref="O23:P23"/>
    <mergeCell ref="O14:P14"/>
    <mergeCell ref="O15:P15"/>
    <mergeCell ref="O16:P16"/>
    <mergeCell ref="O17:P17"/>
    <mergeCell ref="O18:P18"/>
    <mergeCell ref="O29:P29"/>
    <mergeCell ref="O24:P24"/>
    <mergeCell ref="O25:P25"/>
    <mergeCell ref="O26:P26"/>
    <mergeCell ref="O27:P27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G25:H25"/>
    <mergeCell ref="G26:H26"/>
    <mergeCell ref="G27:H27"/>
    <mergeCell ref="G28:H28"/>
    <mergeCell ref="G29:H29"/>
    <mergeCell ref="G30:H30"/>
    <mergeCell ref="G31:H31"/>
    <mergeCell ref="G32:H32"/>
    <mergeCell ref="G33:H33"/>
    <mergeCell ref="G34:H34"/>
    <mergeCell ref="G35:H35"/>
    <mergeCell ref="G36:H36"/>
    <mergeCell ref="G37:H37"/>
    <mergeCell ref="G38:H38"/>
    <mergeCell ref="J8:K8"/>
    <mergeCell ref="M8:N8"/>
    <mergeCell ref="M9:N9"/>
    <mergeCell ref="M10:N10"/>
    <mergeCell ref="M11:N11"/>
    <mergeCell ref="M12:N12"/>
    <mergeCell ref="M13:N13"/>
    <mergeCell ref="M14:N14"/>
    <mergeCell ref="M15:N15"/>
    <mergeCell ref="M16:N16"/>
    <mergeCell ref="M17:N17"/>
    <mergeCell ref="M18:N18"/>
    <mergeCell ref="M19:N19"/>
    <mergeCell ref="M20:N20"/>
    <mergeCell ref="M21:N21"/>
    <mergeCell ref="M22:N22"/>
    <mergeCell ref="M23:N23"/>
    <mergeCell ref="Q11:T11"/>
    <mergeCell ref="Q12:T12"/>
    <mergeCell ref="Q13:T13"/>
    <mergeCell ref="Q14:T14"/>
    <mergeCell ref="Q15:T15"/>
    <mergeCell ref="Q16:T16"/>
    <mergeCell ref="Q17:T17"/>
    <mergeCell ref="Q18:T18"/>
    <mergeCell ref="Q19:T19"/>
    <mergeCell ref="Q20:T20"/>
    <mergeCell ref="Q21:T21"/>
    <mergeCell ref="Q22:T22"/>
    <mergeCell ref="Q23:T23"/>
    <mergeCell ref="Q24:T24"/>
    <mergeCell ref="Q25:T25"/>
    <mergeCell ref="Q26:T26"/>
    <mergeCell ref="Q27:T27"/>
    <mergeCell ref="Q28:T28"/>
    <mergeCell ref="M24:N24"/>
    <mergeCell ref="M25:N25"/>
    <mergeCell ref="M26:N26"/>
    <mergeCell ref="M27:N27"/>
    <mergeCell ref="M28:N28"/>
    <mergeCell ref="M29:N29"/>
    <mergeCell ref="M30:N30"/>
    <mergeCell ref="M31:N31"/>
    <mergeCell ref="M32:N32"/>
    <mergeCell ref="M33:N33"/>
    <mergeCell ref="M34:N34"/>
    <mergeCell ref="M35:N35"/>
    <mergeCell ref="M36:N36"/>
    <mergeCell ref="M37:N37"/>
    <mergeCell ref="M38:N38"/>
    <mergeCell ref="J9:K9"/>
    <mergeCell ref="J10:K10"/>
    <mergeCell ref="J11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J23:K23"/>
    <mergeCell ref="J24:K24"/>
    <mergeCell ref="J25:K25"/>
    <mergeCell ref="J26:K26"/>
    <mergeCell ref="J36:K36"/>
    <mergeCell ref="J37:K37"/>
    <mergeCell ref="J38:K38"/>
    <mergeCell ref="J27:K27"/>
    <mergeCell ref="J28:K28"/>
    <mergeCell ref="J29:K29"/>
    <mergeCell ref="J30:K30"/>
    <mergeCell ref="J31:K31"/>
    <mergeCell ref="J32:K32"/>
    <mergeCell ref="J33:K33"/>
    <mergeCell ref="J34:K34"/>
    <mergeCell ref="J35:K35"/>
  </mergeCells>
  <conditionalFormatting sqref="V35:W38 V9:V3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9:AA3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3:Q43">
    <cfRule type="cellIs" dxfId="4" priority="10" operator="greaterThan">
      <formula>50</formula>
    </cfRule>
    <cfRule type="colorScale" priority="11">
      <colorScale>
        <cfvo type="min"/>
        <cfvo type="percentile" val="50"/>
        <cfvo type="max"/>
        <color rgb="FFFF0000"/>
        <color rgb="FFFFEB84"/>
        <color rgb="FF00B050"/>
      </colorScale>
    </cfRule>
    <cfRule type="cellIs" dxfId="3" priority="12" operator="greaterThan">
      <formula>50</formula>
    </cfRule>
    <cfRule type="cellIs" dxfId="2" priority="14" operator="greaterThan">
      <formula>50</formula>
    </cfRule>
  </conditionalFormatting>
  <conditionalFormatting sqref="U43:V43">
    <cfRule type="cellIs" dxfId="1" priority="6" operator="greaterThan">
      <formula>50</formula>
    </cfRule>
    <cfRule type="colorScale" priority="8">
      <colorScale>
        <cfvo type="percent" val="0"/>
        <cfvo type="percent" val="50"/>
        <cfvo type="percent" val="100"/>
        <color rgb="FFFF0000"/>
        <color rgb="FFFFFF00"/>
        <color rgb="FF00B050"/>
      </colorScale>
    </cfRule>
    <cfRule type="colorScale" priority="9">
      <colorScale>
        <cfvo type="num" val="0"/>
        <cfvo type="percentile" val="50"/>
        <cfvo type="num" val="100"/>
        <color rgb="FFC00000"/>
        <color rgb="FFFFFF00"/>
        <color rgb="FF00B050"/>
      </colorScale>
    </cfRule>
    <cfRule type="cellIs" dxfId="0" priority="13" operator="greaterThan">
      <formula>50</formula>
    </cfRule>
  </conditionalFormatting>
  <conditionalFormatting sqref="Z9:Z29">
    <cfRule type="colorScale" priority="3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colorScale" priority="4">
      <colorScale>
        <cfvo type="min"/>
        <cfvo type="percentile" val="50"/>
        <cfvo type="max"/>
        <color rgb="FFFF0000"/>
        <color rgb="FFFFEB84"/>
        <color rgb="FF00B050"/>
      </colorScale>
    </cfRule>
  </conditionalFormatting>
  <conditionalFormatting sqref="V9">
    <cfRule type="colorScale" priority="1">
      <colorScale>
        <cfvo type="num" val="1"/>
        <cfvo type="percentile" val="50"/>
        <cfvo type="num" val="5"/>
        <color rgb="FFF8696B"/>
        <color rgb="FFFFEB84"/>
        <color rgb="FF63BE7B"/>
      </colorScale>
    </cfRule>
    <cfRule type="expression" priority="2">
      <formula>$U$9</formula>
    </cfRule>
  </conditionalFormatting>
  <pageMargins left="0.23622047244094491" right="0.23622047244094491" top="0.74803149606299213" bottom="0.74803149606299213" header="0.31496062992125984" footer="0.31496062992125984"/>
  <pageSetup paperSize="9" fitToHeight="0" orientation="landscape" horizontalDpi="4294967292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CW40"/>
  <sheetViews>
    <sheetView zoomScale="70" zoomScaleNormal="70" workbookViewId="0">
      <selection activeCell="I30" sqref="I30"/>
    </sheetView>
  </sheetViews>
  <sheetFormatPr defaultRowHeight="15" x14ac:dyDescent="0.25"/>
  <cols>
    <col min="1" max="1" width="6.42578125" style="51" customWidth="1"/>
    <col min="2" max="2" width="4.5703125" style="51" customWidth="1"/>
    <col min="3" max="3" width="4.7109375" style="51" customWidth="1"/>
    <col min="4" max="4" width="2.7109375" style="51" customWidth="1"/>
    <col min="5" max="5" width="4.140625" style="51" customWidth="1"/>
    <col min="6" max="6" width="2" style="51" customWidth="1"/>
    <col min="7" max="7" width="3.28515625" style="51" customWidth="1"/>
    <col min="8" max="8" width="6.85546875" style="51" customWidth="1"/>
    <col min="9" max="9" width="5" style="51" customWidth="1"/>
    <col min="10" max="10" width="5.28515625" style="51" customWidth="1"/>
    <col min="11" max="11" width="5.42578125" style="51" customWidth="1"/>
    <col min="12" max="12" width="4.5703125" style="51" customWidth="1"/>
    <col min="13" max="13" width="5.140625" style="51" customWidth="1"/>
    <col min="14" max="14" width="6.42578125" style="51" customWidth="1"/>
    <col min="15" max="15" width="5" style="51" customWidth="1"/>
    <col min="16" max="16" width="3.28515625" style="51" customWidth="1"/>
    <col min="17" max="17" width="4.5703125" style="51" customWidth="1"/>
    <col min="18" max="18" width="9.140625" style="51"/>
    <col min="19" max="19" width="6.42578125" style="51" customWidth="1"/>
    <col min="20" max="20" width="6.28515625" style="51" customWidth="1"/>
    <col min="21" max="21" width="6.5703125" style="51" customWidth="1"/>
    <col min="22" max="22" width="6.28515625" style="51" customWidth="1"/>
    <col min="23" max="23" width="5.5703125" style="51" customWidth="1"/>
    <col min="24" max="24" width="5.7109375" style="51" customWidth="1"/>
    <col min="25" max="25" width="5.85546875" style="51" customWidth="1"/>
    <col min="26" max="27" width="6" style="51" customWidth="1"/>
    <col min="28" max="28" width="5.85546875" style="51" customWidth="1"/>
    <col min="29" max="97" width="9.140625" style="51"/>
    <col min="98" max="98" width="20.85546875" style="51" customWidth="1"/>
    <col min="99" max="99" width="19.5703125" style="51" customWidth="1"/>
    <col min="100" max="100" width="13.5703125" style="51" customWidth="1"/>
    <col min="101" max="101" width="15.85546875" style="51" customWidth="1"/>
    <col min="102" max="16384" width="9.140625" style="51"/>
  </cols>
  <sheetData>
    <row r="1" spans="1:101" ht="27" x14ac:dyDescent="0.25">
      <c r="A1" s="1" t="s">
        <v>17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101" ht="27.75" thickBot="1" x14ac:dyDescent="0.3">
      <c r="A2" s="36" t="s">
        <v>2</v>
      </c>
      <c r="B2" s="36"/>
      <c r="C2" s="36"/>
      <c r="D2" s="36"/>
      <c r="E2" s="36"/>
      <c r="F2" s="36"/>
      <c r="G2" s="36"/>
      <c r="H2" s="37"/>
      <c r="I2" s="37"/>
      <c r="J2" s="37"/>
      <c r="K2" s="37"/>
      <c r="L2" s="38"/>
      <c r="M2" s="38" t="s">
        <v>54</v>
      </c>
      <c r="N2" s="38" t="s">
        <v>44</v>
      </c>
      <c r="O2" s="38"/>
      <c r="P2" s="38"/>
      <c r="Q2" s="39"/>
      <c r="R2" s="1"/>
      <c r="S2" s="1"/>
      <c r="T2" s="1"/>
      <c r="U2" s="1"/>
      <c r="V2" s="1"/>
      <c r="W2" s="1"/>
      <c r="X2" s="48" t="s">
        <v>54</v>
      </c>
      <c r="Y2" s="1" t="s">
        <v>44</v>
      </c>
      <c r="Z2" s="1"/>
      <c r="AA2" s="1"/>
      <c r="AB2" s="1"/>
      <c r="AC2" s="1"/>
    </row>
    <row r="3" spans="1:101" ht="21" thickBot="1" x14ac:dyDescent="0.3">
      <c r="A3" s="21"/>
      <c r="B3" s="19"/>
      <c r="C3" s="19"/>
      <c r="D3" s="19"/>
      <c r="E3" s="19"/>
      <c r="F3" s="19"/>
      <c r="G3" s="19"/>
      <c r="H3" s="491" t="s">
        <v>99</v>
      </c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492"/>
      <c r="AC3" s="492"/>
      <c r="AD3" s="492"/>
      <c r="AE3" s="492"/>
      <c r="AF3" s="492"/>
      <c r="AG3" s="492"/>
      <c r="AH3" s="492"/>
      <c r="AI3" s="492"/>
      <c r="AJ3" s="492"/>
      <c r="AK3" s="492"/>
      <c r="AL3" s="492"/>
      <c r="AM3" s="492"/>
      <c r="AN3" s="492"/>
      <c r="AO3" s="492"/>
      <c r="AP3" s="492"/>
      <c r="AQ3" s="492"/>
      <c r="AR3" s="492"/>
      <c r="AS3" s="492"/>
      <c r="AT3" s="492"/>
      <c r="AU3" s="492"/>
      <c r="AV3" s="492"/>
      <c r="AW3" s="492"/>
      <c r="AX3" s="492"/>
      <c r="AY3" s="492"/>
      <c r="AZ3" s="492"/>
      <c r="BA3" s="492"/>
      <c r="BB3" s="492"/>
      <c r="BC3" s="492"/>
      <c r="BD3" s="492"/>
      <c r="BE3" s="492"/>
      <c r="BF3" s="492"/>
      <c r="BG3" s="492"/>
      <c r="BH3" s="492"/>
      <c r="BI3" s="492"/>
      <c r="BJ3" s="492"/>
      <c r="BK3" s="492"/>
      <c r="BL3" s="492"/>
      <c r="BM3" s="492"/>
      <c r="BN3" s="492"/>
      <c r="BO3" s="492"/>
      <c r="BP3" s="492"/>
      <c r="BQ3" s="492"/>
      <c r="BR3" s="492"/>
      <c r="BS3" s="492"/>
      <c r="BT3" s="492"/>
      <c r="BU3" s="492"/>
      <c r="BV3" s="492"/>
      <c r="BW3" s="492"/>
      <c r="BX3" s="492"/>
      <c r="BY3" s="492"/>
      <c r="BZ3" s="492"/>
      <c r="CA3" s="492"/>
      <c r="CB3" s="492"/>
      <c r="CC3" s="492"/>
      <c r="CD3" s="492"/>
      <c r="CE3" s="492"/>
      <c r="CF3" s="492"/>
      <c r="CG3" s="492"/>
      <c r="CH3" s="492"/>
      <c r="CI3" s="492"/>
      <c r="CJ3" s="492"/>
      <c r="CK3" s="492"/>
      <c r="CL3" s="492"/>
      <c r="CM3" s="492"/>
      <c r="CN3" s="492"/>
      <c r="CO3" s="492"/>
      <c r="CP3" s="492"/>
      <c r="CQ3" s="492"/>
      <c r="CR3" s="492"/>
      <c r="CS3" s="493"/>
    </row>
    <row r="4" spans="1:101" ht="15" customHeight="1" x14ac:dyDescent="0.25">
      <c r="A4" s="391"/>
      <c r="B4" s="392"/>
      <c r="C4" s="392"/>
      <c r="D4" s="392"/>
      <c r="E4" s="392"/>
      <c r="F4" s="392"/>
      <c r="G4" s="392"/>
      <c r="H4" s="530" t="s">
        <v>56</v>
      </c>
      <c r="I4" s="488"/>
      <c r="J4" s="488"/>
      <c r="K4" s="488"/>
      <c r="L4" s="488"/>
      <c r="M4" s="488"/>
      <c r="N4" s="488"/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8"/>
      <c r="AN4" s="488"/>
      <c r="AO4" s="488"/>
      <c r="AP4" s="488"/>
      <c r="AQ4" s="488"/>
      <c r="AR4" s="488"/>
      <c r="AS4" s="488"/>
      <c r="AT4" s="488"/>
      <c r="AU4" s="488"/>
      <c r="AV4" s="488"/>
      <c r="AW4" s="488"/>
      <c r="AX4" s="488"/>
      <c r="AY4" s="488"/>
      <c r="AZ4" s="514"/>
      <c r="BA4" s="529" t="s">
        <v>55</v>
      </c>
      <c r="BB4" s="524"/>
      <c r="BC4" s="524"/>
      <c r="BD4" s="524"/>
      <c r="BE4" s="524"/>
      <c r="BF4" s="524"/>
      <c r="BG4" s="524"/>
      <c r="BH4" s="524"/>
      <c r="BI4" s="524"/>
      <c r="BJ4" s="524"/>
      <c r="BK4" s="524"/>
      <c r="BL4" s="524"/>
      <c r="BM4" s="524"/>
      <c r="BN4" s="524"/>
      <c r="BO4" s="524"/>
      <c r="BP4" s="524"/>
      <c r="BQ4" s="524"/>
      <c r="BR4" s="524"/>
      <c r="BS4" s="524"/>
      <c r="BT4" s="524"/>
      <c r="BU4" s="524"/>
      <c r="BV4" s="524"/>
      <c r="BW4" s="524"/>
      <c r="BX4" s="524"/>
      <c r="BY4" s="524"/>
      <c r="BZ4" s="524"/>
      <c r="CA4" s="524"/>
      <c r="CB4" s="524"/>
      <c r="CC4" s="524"/>
      <c r="CD4" s="524"/>
      <c r="CE4" s="524"/>
      <c r="CF4" s="524"/>
      <c r="CG4" s="524"/>
      <c r="CH4" s="524"/>
      <c r="CI4" s="524"/>
      <c r="CJ4" s="524"/>
      <c r="CK4" s="524"/>
      <c r="CL4" s="524"/>
      <c r="CM4" s="524"/>
      <c r="CN4" s="524"/>
      <c r="CO4" s="524"/>
      <c r="CP4" s="524"/>
      <c r="CQ4" s="524"/>
      <c r="CR4" s="524"/>
      <c r="CS4" s="525"/>
    </row>
    <row r="5" spans="1:101" ht="15.75" thickBot="1" x14ac:dyDescent="0.3">
      <c r="A5" s="391"/>
      <c r="B5" s="392"/>
      <c r="C5" s="392"/>
      <c r="D5" s="392"/>
      <c r="E5" s="392"/>
      <c r="F5" s="392"/>
      <c r="G5" s="392"/>
      <c r="H5" s="515"/>
      <c r="I5" s="516"/>
      <c r="J5" s="516"/>
      <c r="K5" s="516"/>
      <c r="L5" s="516"/>
      <c r="M5" s="516"/>
      <c r="N5" s="516"/>
      <c r="O5" s="516"/>
      <c r="P5" s="516"/>
      <c r="Q5" s="516"/>
      <c r="R5" s="516"/>
      <c r="S5" s="516"/>
      <c r="T5" s="516"/>
      <c r="U5" s="516"/>
      <c r="V5" s="516"/>
      <c r="W5" s="516"/>
      <c r="X5" s="516"/>
      <c r="Y5" s="516"/>
      <c r="Z5" s="516"/>
      <c r="AA5" s="516"/>
      <c r="AB5" s="516"/>
      <c r="AC5" s="516"/>
      <c r="AD5" s="516"/>
      <c r="AE5" s="516"/>
      <c r="AF5" s="516"/>
      <c r="AG5" s="516"/>
      <c r="AH5" s="516"/>
      <c r="AI5" s="516"/>
      <c r="AJ5" s="516"/>
      <c r="AK5" s="516"/>
      <c r="AL5" s="516"/>
      <c r="AM5" s="516"/>
      <c r="AN5" s="516"/>
      <c r="AO5" s="516"/>
      <c r="AP5" s="516"/>
      <c r="AQ5" s="516"/>
      <c r="AR5" s="516"/>
      <c r="AS5" s="516"/>
      <c r="AT5" s="516"/>
      <c r="AU5" s="516"/>
      <c r="AV5" s="516"/>
      <c r="AW5" s="516"/>
      <c r="AX5" s="516"/>
      <c r="AY5" s="516"/>
      <c r="AZ5" s="517"/>
      <c r="BA5" s="526"/>
      <c r="BB5" s="527"/>
      <c r="BC5" s="527"/>
      <c r="BD5" s="527"/>
      <c r="BE5" s="527"/>
      <c r="BF5" s="527"/>
      <c r="BG5" s="527"/>
      <c r="BH5" s="527"/>
      <c r="BI5" s="527"/>
      <c r="BJ5" s="527"/>
      <c r="BK5" s="527"/>
      <c r="BL5" s="527"/>
      <c r="BM5" s="527"/>
      <c r="BN5" s="527"/>
      <c r="BO5" s="527"/>
      <c r="BP5" s="527"/>
      <c r="BQ5" s="527"/>
      <c r="BR5" s="527"/>
      <c r="BS5" s="527"/>
      <c r="BT5" s="527"/>
      <c r="BU5" s="527"/>
      <c r="BV5" s="527"/>
      <c r="BW5" s="527"/>
      <c r="BX5" s="527"/>
      <c r="BY5" s="527"/>
      <c r="BZ5" s="527"/>
      <c r="CA5" s="527"/>
      <c r="CB5" s="527"/>
      <c r="CC5" s="527"/>
      <c r="CD5" s="527"/>
      <c r="CE5" s="527"/>
      <c r="CF5" s="527"/>
      <c r="CG5" s="527"/>
      <c r="CH5" s="527"/>
      <c r="CI5" s="527"/>
      <c r="CJ5" s="527"/>
      <c r="CK5" s="527"/>
      <c r="CL5" s="527"/>
      <c r="CM5" s="527"/>
      <c r="CN5" s="527"/>
      <c r="CO5" s="527"/>
      <c r="CP5" s="527"/>
      <c r="CQ5" s="527"/>
      <c r="CR5" s="527"/>
      <c r="CS5" s="528"/>
    </row>
    <row r="6" spans="1:101" ht="44.25" customHeight="1" x14ac:dyDescent="0.25">
      <c r="A6" s="400" t="s">
        <v>20</v>
      </c>
      <c r="B6" s="401"/>
      <c r="C6" s="401"/>
      <c r="D6" s="401"/>
      <c r="E6" s="401"/>
      <c r="F6" s="401"/>
      <c r="G6" s="401"/>
      <c r="H6" s="519" t="s">
        <v>100</v>
      </c>
      <c r="I6" s="495"/>
      <c r="J6" s="495"/>
      <c r="K6" s="495"/>
      <c r="L6" s="495"/>
      <c r="M6" s="495"/>
      <c r="N6" s="495"/>
      <c r="O6" s="495"/>
      <c r="P6" s="495"/>
      <c r="Q6" s="496"/>
      <c r="R6" s="490" t="s">
        <v>18</v>
      </c>
      <c r="S6" s="494" t="s">
        <v>101</v>
      </c>
      <c r="T6" s="495"/>
      <c r="U6" s="495"/>
      <c r="V6" s="495"/>
      <c r="W6" s="495"/>
      <c r="X6" s="495"/>
      <c r="Y6" s="495"/>
      <c r="Z6" s="495"/>
      <c r="AA6" s="495"/>
      <c r="AB6" s="496"/>
      <c r="AC6" s="490" t="s">
        <v>18</v>
      </c>
      <c r="AD6" s="494" t="s">
        <v>102</v>
      </c>
      <c r="AE6" s="495"/>
      <c r="AF6" s="495"/>
      <c r="AG6" s="495"/>
      <c r="AH6" s="495"/>
      <c r="AI6" s="495"/>
      <c r="AJ6" s="495"/>
      <c r="AK6" s="495"/>
      <c r="AL6" s="495"/>
      <c r="AM6" s="496"/>
      <c r="AN6" s="490" t="s">
        <v>18</v>
      </c>
      <c r="AO6" s="494" t="s">
        <v>103</v>
      </c>
      <c r="AP6" s="495"/>
      <c r="AQ6" s="495"/>
      <c r="AR6" s="495"/>
      <c r="AS6" s="495"/>
      <c r="AT6" s="495"/>
      <c r="AU6" s="495"/>
      <c r="AV6" s="495"/>
      <c r="AW6" s="495"/>
      <c r="AX6" s="496"/>
      <c r="AY6" s="490" t="s">
        <v>18</v>
      </c>
      <c r="AZ6" s="520" t="s">
        <v>19</v>
      </c>
      <c r="BA6" s="531" t="s">
        <v>100</v>
      </c>
      <c r="BB6" s="532"/>
      <c r="BC6" s="532"/>
      <c r="BD6" s="532"/>
      <c r="BE6" s="532"/>
      <c r="BF6" s="532"/>
      <c r="BG6" s="532"/>
      <c r="BH6" s="532"/>
      <c r="BI6" s="532"/>
      <c r="BJ6" s="533"/>
      <c r="BK6" s="490" t="s">
        <v>18</v>
      </c>
      <c r="BL6" s="534" t="s">
        <v>101</v>
      </c>
      <c r="BM6" s="532"/>
      <c r="BN6" s="532"/>
      <c r="BO6" s="532"/>
      <c r="BP6" s="532"/>
      <c r="BQ6" s="532"/>
      <c r="BR6" s="532"/>
      <c r="BS6" s="532"/>
      <c r="BT6" s="532"/>
      <c r="BU6" s="533"/>
      <c r="BV6" s="490" t="s">
        <v>18</v>
      </c>
      <c r="BW6" s="534" t="s">
        <v>104</v>
      </c>
      <c r="BX6" s="532"/>
      <c r="BY6" s="532"/>
      <c r="BZ6" s="532"/>
      <c r="CA6" s="532"/>
      <c r="CB6" s="532"/>
      <c r="CC6" s="532"/>
      <c r="CD6" s="532"/>
      <c r="CE6" s="532"/>
      <c r="CF6" s="533"/>
      <c r="CG6" s="490" t="s">
        <v>18</v>
      </c>
      <c r="CH6" s="537" t="s">
        <v>103</v>
      </c>
      <c r="CI6" s="535"/>
      <c r="CJ6" s="535"/>
      <c r="CK6" s="535"/>
      <c r="CL6" s="535"/>
      <c r="CM6" s="535"/>
      <c r="CN6" s="535"/>
      <c r="CO6" s="535"/>
      <c r="CP6" s="535"/>
      <c r="CQ6" s="536"/>
      <c r="CR6" s="490" t="s">
        <v>18</v>
      </c>
      <c r="CS6" s="498" t="s">
        <v>19</v>
      </c>
      <c r="CT6" s="540" t="s">
        <v>105</v>
      </c>
      <c r="CU6" s="541"/>
      <c r="CV6" s="540" t="s">
        <v>106</v>
      </c>
      <c r="CW6" s="541"/>
    </row>
    <row r="7" spans="1:101" ht="27" customHeight="1" x14ac:dyDescent="0.25">
      <c r="A7" s="28" t="s">
        <v>4</v>
      </c>
      <c r="B7" s="389" t="s">
        <v>39</v>
      </c>
      <c r="C7" s="390"/>
      <c r="D7" s="390"/>
      <c r="E7" s="390"/>
      <c r="F7" s="390"/>
      <c r="G7" s="390"/>
      <c r="H7" s="499">
        <v>10</v>
      </c>
      <c r="I7" s="33">
        <v>10</v>
      </c>
      <c r="J7" s="33">
        <v>10</v>
      </c>
      <c r="K7" s="33">
        <v>10</v>
      </c>
      <c r="L7" s="33">
        <v>10</v>
      </c>
      <c r="M7" s="33">
        <v>10</v>
      </c>
      <c r="N7" s="33">
        <v>10</v>
      </c>
      <c r="O7" s="33">
        <v>10</v>
      </c>
      <c r="P7" s="33">
        <v>20</v>
      </c>
      <c r="Q7" s="33"/>
      <c r="R7" s="57">
        <f>IF(OR(SUM(H7:Q7)&gt;100,SUM(H7:Q7)&lt;0),100,SUM(H7:Q7))</f>
        <v>100</v>
      </c>
      <c r="S7" s="232">
        <v>10</v>
      </c>
      <c r="T7" s="33">
        <v>10</v>
      </c>
      <c r="U7" s="33">
        <v>10</v>
      </c>
      <c r="V7" s="33">
        <v>10</v>
      </c>
      <c r="W7" s="33">
        <v>10</v>
      </c>
      <c r="X7" s="33">
        <v>10</v>
      </c>
      <c r="Y7" s="33">
        <v>10</v>
      </c>
      <c r="Z7" s="33">
        <v>10</v>
      </c>
      <c r="AA7" s="33">
        <v>20</v>
      </c>
      <c r="AB7" s="33"/>
      <c r="AC7" s="57">
        <f>IF(OR(SUM(S7:AB7)&gt;100,SUM(S7:AB7)&lt;0),100,SUM(S7:AB7))</f>
        <v>100</v>
      </c>
      <c r="AD7" s="232">
        <v>10</v>
      </c>
      <c r="AE7" s="33">
        <v>10</v>
      </c>
      <c r="AF7" s="33">
        <v>10</v>
      </c>
      <c r="AG7" s="33">
        <v>10</v>
      </c>
      <c r="AH7" s="33">
        <v>10</v>
      </c>
      <c r="AI7" s="33">
        <v>10</v>
      </c>
      <c r="AJ7" s="33">
        <v>10</v>
      </c>
      <c r="AK7" s="33">
        <v>10</v>
      </c>
      <c r="AL7" s="33">
        <v>20</v>
      </c>
      <c r="AM7" s="33"/>
      <c r="AN7" s="57">
        <f>IF(OR(SUM(AD7:AM7)&gt;100,SUM(AD7:AM7)&lt;0),100,SUM(AD7:AM7))</f>
        <v>100</v>
      </c>
      <c r="AO7" s="232">
        <v>10</v>
      </c>
      <c r="AP7" s="33">
        <v>10</v>
      </c>
      <c r="AQ7" s="33">
        <v>10</v>
      </c>
      <c r="AR7" s="33">
        <v>10</v>
      </c>
      <c r="AS7" s="33">
        <v>10</v>
      </c>
      <c r="AT7" s="33">
        <v>10</v>
      </c>
      <c r="AU7" s="33">
        <v>10</v>
      </c>
      <c r="AV7" s="33">
        <v>10</v>
      </c>
      <c r="AW7" s="33">
        <v>20</v>
      </c>
      <c r="AX7" s="33"/>
      <c r="AY7" s="57">
        <f>IF(OR(SUM(AO7:AX7)&gt;100,SUM(AO7:AX7)&lt;0),100,SUM(AO7:AX7))</f>
        <v>100</v>
      </c>
      <c r="AZ7" s="521"/>
      <c r="BA7" s="499">
        <v>10</v>
      </c>
      <c r="BB7" s="33">
        <v>10</v>
      </c>
      <c r="BC7" s="33">
        <v>10</v>
      </c>
      <c r="BD7" s="33">
        <v>10</v>
      </c>
      <c r="BE7" s="33">
        <v>10</v>
      </c>
      <c r="BF7" s="33">
        <v>10</v>
      </c>
      <c r="BG7" s="33">
        <v>10</v>
      </c>
      <c r="BH7" s="33">
        <v>10</v>
      </c>
      <c r="BI7" s="33">
        <v>20</v>
      </c>
      <c r="BJ7" s="33"/>
      <c r="BK7" s="57">
        <f>IF(OR(SUM(BA7:BJ7)&gt;100,SUM(BA7:BJ7)&lt;0),100,SUM(BA7:BJ7))</f>
        <v>100</v>
      </c>
      <c r="BL7" s="232">
        <v>10</v>
      </c>
      <c r="BM7" s="33">
        <v>10</v>
      </c>
      <c r="BN7" s="33">
        <v>10</v>
      </c>
      <c r="BO7" s="33">
        <v>10</v>
      </c>
      <c r="BP7" s="33">
        <v>10</v>
      </c>
      <c r="BQ7" s="33">
        <v>10</v>
      </c>
      <c r="BR7" s="33">
        <v>10</v>
      </c>
      <c r="BS7" s="33">
        <v>10</v>
      </c>
      <c r="BT7" s="33">
        <v>20</v>
      </c>
      <c r="BU7" s="33"/>
      <c r="BV7" s="57">
        <f>IF(OR(SUM(BL7:BU7)&gt;100,SUM(BL7:BU7)&lt;0),100,SUM(BL7:BU7))</f>
        <v>100</v>
      </c>
      <c r="BW7" s="232">
        <v>10</v>
      </c>
      <c r="BX7" s="33">
        <v>10</v>
      </c>
      <c r="BY7" s="33">
        <v>10</v>
      </c>
      <c r="BZ7" s="33">
        <v>10</v>
      </c>
      <c r="CA7" s="33">
        <v>10</v>
      </c>
      <c r="CB7" s="33">
        <v>10</v>
      </c>
      <c r="CC7" s="33">
        <v>10</v>
      </c>
      <c r="CD7" s="33">
        <v>10</v>
      </c>
      <c r="CE7" s="33">
        <v>20</v>
      </c>
      <c r="CF7" s="33"/>
      <c r="CG7" s="57">
        <f>IF(OR(SUM(BW7:CF7)&gt;100,SUM(BW7:CF7)&lt;0),"",SUM(BW7:CF7))</f>
        <v>100</v>
      </c>
      <c r="CH7" s="54">
        <v>100</v>
      </c>
      <c r="CI7" s="55"/>
      <c r="CJ7" s="55"/>
      <c r="CK7" s="55"/>
      <c r="CL7" s="55"/>
      <c r="CM7" s="55"/>
      <c r="CN7" s="55"/>
      <c r="CO7" s="55"/>
      <c r="CP7" s="34"/>
      <c r="CQ7" s="34"/>
      <c r="CR7" s="57">
        <f>IF(OR(SUM(CH7:CQ7)&gt;100,SUM(CH7:CQ7)&lt;0),100,SUM(CH7:CQ7))</f>
        <v>100</v>
      </c>
      <c r="CS7" s="500">
        <f>IF(OR(SUM(CI7:CR7)&gt;100,SUM(CI7:CR7)&lt;0),100,SUM(CI7:CR7))</f>
        <v>100</v>
      </c>
      <c r="CT7" s="500" t="s">
        <v>59</v>
      </c>
      <c r="CU7" s="500" t="s">
        <v>58</v>
      </c>
      <c r="CV7" s="500" t="s">
        <v>59</v>
      </c>
      <c r="CW7" s="500" t="s">
        <v>58</v>
      </c>
    </row>
    <row r="8" spans="1:101" x14ac:dyDescent="0.25">
      <c r="A8" s="90">
        <f>IF('Avaliação Períodos'!A9=0,"",'Avaliação Períodos'!A9)</f>
        <v>4</v>
      </c>
      <c r="B8" s="383" t="str">
        <f>IF('Avaliação Períodos'!B9=0,"",'Avaliação Períodos'!B9)</f>
        <v>Andji</v>
      </c>
      <c r="C8" s="384"/>
      <c r="D8" s="384"/>
      <c r="E8" s="384"/>
      <c r="F8" s="384"/>
      <c r="G8" s="384"/>
      <c r="H8" s="501"/>
      <c r="I8" s="217"/>
      <c r="J8" s="217"/>
      <c r="K8" s="217"/>
      <c r="L8" s="217"/>
      <c r="M8" s="217">
        <v>10</v>
      </c>
      <c r="N8" s="217">
        <v>10</v>
      </c>
      <c r="O8" s="217">
        <v>10</v>
      </c>
      <c r="P8" s="222"/>
      <c r="Q8" s="234"/>
      <c r="R8" s="29">
        <f t="shared" ref="R8:R37" si="0">IF(COUNT(H8:Q8)=0,"",SUM(H8:Q8))</f>
        <v>30</v>
      </c>
      <c r="S8" s="233"/>
      <c r="T8" s="217"/>
      <c r="U8" s="217"/>
      <c r="V8" s="217"/>
      <c r="W8" s="217"/>
      <c r="X8" s="217">
        <v>10</v>
      </c>
      <c r="Y8" s="217"/>
      <c r="Z8" s="217"/>
      <c r="AA8" s="222"/>
      <c r="AB8" s="234"/>
      <c r="AC8" s="29">
        <f t="shared" ref="AC8:AC37" si="1">IF(COUNT(S8:AB8)=0,"",SUM(S8:AB8))</f>
        <v>10</v>
      </c>
      <c r="AD8" s="233"/>
      <c r="AE8" s="217"/>
      <c r="AF8" s="217"/>
      <c r="AG8" s="217"/>
      <c r="AH8" s="217"/>
      <c r="AI8" s="217">
        <v>10</v>
      </c>
      <c r="AJ8" s="217">
        <v>10</v>
      </c>
      <c r="AK8" s="217"/>
      <c r="AL8" s="222">
        <v>20</v>
      </c>
      <c r="AM8" s="234"/>
      <c r="AN8" s="29">
        <f t="shared" ref="AN8:AN37" si="2">IF(COUNT(AD8:AM8)=0,"",SUM(AD8:AM8))</f>
        <v>40</v>
      </c>
      <c r="AO8" s="233"/>
      <c r="AP8" s="217"/>
      <c r="AQ8" s="217"/>
      <c r="AR8" s="217"/>
      <c r="AS8" s="217">
        <v>10</v>
      </c>
      <c r="AT8" s="217"/>
      <c r="AU8" s="217"/>
      <c r="AV8" s="217"/>
      <c r="AW8" s="222"/>
      <c r="AX8" s="234"/>
      <c r="AY8" s="29">
        <f t="shared" ref="AY8:AY28" si="3">IF(COUNT(AO8:AX8)=0,"",SUM(AO8:AX8))</f>
        <v>10</v>
      </c>
      <c r="AZ8" s="522" cm="1">
        <f t="array" ref="AZ8">mediaComposicaoGramatica(AC8,R8,AY8,AN8,0.3,0.7)</f>
        <v>27.5</v>
      </c>
      <c r="BA8" s="501"/>
      <c r="BB8" s="217"/>
      <c r="BC8" s="217"/>
      <c r="BD8" s="217"/>
      <c r="BE8" s="217"/>
      <c r="BF8" s="217">
        <v>10</v>
      </c>
      <c r="BG8" s="217">
        <v>10</v>
      </c>
      <c r="BH8" s="217">
        <v>10</v>
      </c>
      <c r="BI8" s="222"/>
      <c r="BJ8" s="234"/>
      <c r="BK8" s="29">
        <f t="shared" ref="BK8:BK37" si="4">IF(COUNT(BA8:BJ8)=0,"",SUM(BA8:BJ8))</f>
        <v>30</v>
      </c>
      <c r="BL8" s="233"/>
      <c r="BM8" s="217"/>
      <c r="BN8" s="217"/>
      <c r="BO8" s="217"/>
      <c r="BP8" s="217"/>
      <c r="BQ8" s="217">
        <v>10</v>
      </c>
      <c r="BR8" s="217">
        <v>10</v>
      </c>
      <c r="BS8" s="217">
        <v>10</v>
      </c>
      <c r="BT8" s="222"/>
      <c r="BU8" s="234"/>
      <c r="BV8" s="29">
        <f t="shared" ref="BV8:BV37" si="5">IF(COUNT(BL8:BU8)=0,"",SUM(BL8:BU8))</f>
        <v>30</v>
      </c>
      <c r="BW8" s="233"/>
      <c r="BX8" s="217"/>
      <c r="BY8" s="217">
        <v>10</v>
      </c>
      <c r="BZ8" s="217">
        <v>10</v>
      </c>
      <c r="CA8" s="217">
        <v>10</v>
      </c>
      <c r="CB8" s="217"/>
      <c r="CC8" s="217"/>
      <c r="CD8" s="217"/>
      <c r="CE8" s="222"/>
      <c r="CF8" s="234"/>
      <c r="CG8" s="29">
        <f t="shared" ref="CG8:CG37" si="6">IF(COUNT(BW8:CF8)=0,"",SUM(BW8:CF8))</f>
        <v>30</v>
      </c>
      <c r="CH8" s="221">
        <v>30</v>
      </c>
      <c r="CI8" s="222"/>
      <c r="CJ8" s="222"/>
      <c r="CK8" s="222"/>
      <c r="CL8" s="222"/>
      <c r="CM8" s="222"/>
      <c r="CN8" s="222"/>
      <c r="CO8" s="222"/>
      <c r="CP8" s="222"/>
      <c r="CQ8" s="222"/>
      <c r="CR8" s="25">
        <f t="shared" ref="CR8:CR37" si="7">IF(COUNT(CH8:CQ8)=0,"",SUM(CH8:CQ8))</f>
        <v>30</v>
      </c>
      <c r="CS8" s="476" cm="1">
        <f t="array" ref="CS8">mediaComposicaoGramatica(BK8,BV8,CR8,CG8,0.3,0.7)</f>
        <v>30</v>
      </c>
      <c r="CT8" s="476">
        <f>(IF(COUNT(R8,AN8)=0,"",AVERAGE(R8,AN8)))</f>
        <v>35</v>
      </c>
      <c r="CU8" s="476">
        <f>(IF(COUNT(BK8,CG8)=0,"",AVERAGE(BK8,CG8)))</f>
        <v>30</v>
      </c>
      <c r="CV8" s="476">
        <f>(IF(COUNT(AC8,AY8)=0,"",AVERAGE(AC8,AY8)))</f>
        <v>10</v>
      </c>
      <c r="CW8" s="476">
        <f>(IF(COUNT(BV8,CR8)=0,"",AVERAGE(BV8,CR8)))</f>
        <v>30</v>
      </c>
    </row>
    <row r="9" spans="1:101" x14ac:dyDescent="0.25">
      <c r="A9" s="91">
        <f>IF('Avaliação Períodos'!A10=0,"",'Avaliação Períodos'!A10)</f>
        <v>7</v>
      </c>
      <c r="B9" s="386" t="str">
        <f>IF('Avaliação Períodos'!B10=0,"",'Avaliação Períodos'!B10)</f>
        <v>Cecília</v>
      </c>
      <c r="C9" s="387"/>
      <c r="D9" s="387"/>
      <c r="E9" s="387"/>
      <c r="F9" s="387"/>
      <c r="G9" s="387"/>
      <c r="H9" s="502"/>
      <c r="I9" s="218"/>
      <c r="J9" s="218"/>
      <c r="K9" s="218"/>
      <c r="L9" s="218"/>
      <c r="M9" s="218"/>
      <c r="N9" s="218"/>
      <c r="O9" s="218"/>
      <c r="P9" s="224"/>
      <c r="Q9" s="236"/>
      <c r="R9" s="29" t="str">
        <f t="shared" si="0"/>
        <v/>
      </c>
      <c r="S9" s="235"/>
      <c r="T9" s="218"/>
      <c r="U9" s="218"/>
      <c r="V9" s="218"/>
      <c r="W9" s="218"/>
      <c r="X9" s="218"/>
      <c r="Y9" s="218"/>
      <c r="Z9" s="218"/>
      <c r="AA9" s="224"/>
      <c r="AB9" s="236"/>
      <c r="AC9" s="29" t="str">
        <f t="shared" si="1"/>
        <v/>
      </c>
      <c r="AD9" s="235"/>
      <c r="AE9" s="218"/>
      <c r="AF9" s="218"/>
      <c r="AG9" s="218"/>
      <c r="AH9" s="218"/>
      <c r="AI9" s="218"/>
      <c r="AJ9" s="218"/>
      <c r="AK9" s="218"/>
      <c r="AL9" s="224"/>
      <c r="AM9" s="236"/>
      <c r="AN9" s="29" t="str">
        <f t="shared" si="2"/>
        <v/>
      </c>
      <c r="AO9" s="235"/>
      <c r="AP9" s="218"/>
      <c r="AQ9" s="218"/>
      <c r="AR9" s="218"/>
      <c r="AS9" s="218"/>
      <c r="AT9" s="218"/>
      <c r="AU9" s="218"/>
      <c r="AV9" s="218"/>
      <c r="AW9" s="224"/>
      <c r="AX9" s="236"/>
      <c r="AY9" s="29" t="str">
        <f t="shared" si="3"/>
        <v/>
      </c>
      <c r="AZ9" s="522" t="str" cm="1">
        <f t="array" ref="AZ9">mediaComposicaoGramatica(AC9,R9,AY9,AN9,0.3,0.7)</f>
        <v/>
      </c>
      <c r="BA9" s="502"/>
      <c r="BB9" s="218"/>
      <c r="BC9" s="218"/>
      <c r="BD9" s="218"/>
      <c r="BE9" s="218"/>
      <c r="BF9" s="218"/>
      <c r="BG9" s="218"/>
      <c r="BH9" s="218"/>
      <c r="BI9" s="224"/>
      <c r="BJ9" s="236"/>
      <c r="BK9" s="29" t="str">
        <f t="shared" si="4"/>
        <v/>
      </c>
      <c r="BL9" s="235"/>
      <c r="BM9" s="218"/>
      <c r="BN9" s="218"/>
      <c r="BO9" s="218"/>
      <c r="BP9" s="218"/>
      <c r="BQ9" s="218"/>
      <c r="BR9" s="218"/>
      <c r="BS9" s="218"/>
      <c r="BT9" s="224"/>
      <c r="BU9" s="236"/>
      <c r="BV9" s="29" t="str">
        <f t="shared" si="5"/>
        <v/>
      </c>
      <c r="BW9" s="235"/>
      <c r="BX9" s="218"/>
      <c r="BY9" s="218"/>
      <c r="BZ9" s="218"/>
      <c r="CA9" s="218"/>
      <c r="CB9" s="218"/>
      <c r="CC9" s="218"/>
      <c r="CD9" s="218"/>
      <c r="CE9" s="224"/>
      <c r="CF9" s="236"/>
      <c r="CG9" s="29" t="str">
        <f t="shared" si="6"/>
        <v/>
      </c>
      <c r="CH9" s="223"/>
      <c r="CI9" s="224"/>
      <c r="CJ9" s="224"/>
      <c r="CK9" s="224"/>
      <c r="CL9" s="224"/>
      <c r="CM9" s="224"/>
      <c r="CN9" s="224"/>
      <c r="CO9" s="224"/>
      <c r="CP9" s="224"/>
      <c r="CQ9" s="224"/>
      <c r="CR9" s="25" t="str">
        <f t="shared" si="7"/>
        <v/>
      </c>
      <c r="CS9" s="476" t="str" cm="1">
        <f t="array" ref="CS9">mediaComposicaoGramatica(BK9,BV9,CR9,CG9,0.3,0.7)</f>
        <v/>
      </c>
      <c r="CT9" s="476" t="str">
        <f t="shared" ref="CT9:CT37" si="8">(IF(COUNT(R9,AN9)=0,"",AVERAGE(R9,AN9)))</f>
        <v/>
      </c>
      <c r="CU9" s="476" t="str">
        <f t="shared" ref="CU9:CU37" si="9">(IF(COUNT(BK9,CG9)=0,"",AVERAGE(BK9,CG9)))</f>
        <v/>
      </c>
      <c r="CV9" s="476" t="str">
        <f t="shared" ref="CV9:CV37" si="10">(IF(COUNT(AC9,AY9)=0,"",AVERAGE(AC9,AY9)))</f>
        <v/>
      </c>
      <c r="CW9" s="476" t="str">
        <f t="shared" ref="CW9:CW37" si="11">(IF(COUNT(BV9,CR9)=0,"",AVERAGE(BV9,CR9)))</f>
        <v/>
      </c>
    </row>
    <row r="10" spans="1:101" x14ac:dyDescent="0.25">
      <c r="A10" s="90">
        <f>IF('Avaliação Períodos'!A11=0,"",'Avaliação Períodos'!A11)</f>
        <v>8</v>
      </c>
      <c r="B10" s="383" t="str">
        <f>IF('Avaliação Períodos'!B11=0,"",'Avaliação Períodos'!B11)</f>
        <v>Daniela</v>
      </c>
      <c r="C10" s="384"/>
      <c r="D10" s="384"/>
      <c r="E10" s="384"/>
      <c r="F10" s="384"/>
      <c r="G10" s="384"/>
      <c r="H10" s="503"/>
      <c r="I10" s="219"/>
      <c r="J10" s="219"/>
      <c r="K10" s="219"/>
      <c r="L10" s="219"/>
      <c r="M10" s="219"/>
      <c r="N10" s="219"/>
      <c r="O10" s="219"/>
      <c r="P10" s="227"/>
      <c r="Q10" s="237"/>
      <c r="R10" s="29" t="str">
        <f t="shared" si="0"/>
        <v/>
      </c>
      <c r="S10" s="229"/>
      <c r="T10" s="219"/>
      <c r="U10" s="219"/>
      <c r="V10" s="219"/>
      <c r="W10" s="219"/>
      <c r="X10" s="219"/>
      <c r="Y10" s="219"/>
      <c r="Z10" s="219"/>
      <c r="AA10" s="227"/>
      <c r="AB10" s="237"/>
      <c r="AC10" s="29" t="str">
        <f t="shared" si="1"/>
        <v/>
      </c>
      <c r="AD10" s="229"/>
      <c r="AE10" s="219"/>
      <c r="AF10" s="219"/>
      <c r="AG10" s="219"/>
      <c r="AH10" s="219"/>
      <c r="AI10" s="219"/>
      <c r="AJ10" s="219"/>
      <c r="AK10" s="219"/>
      <c r="AL10" s="227"/>
      <c r="AM10" s="237"/>
      <c r="AN10" s="29" t="str">
        <f t="shared" si="2"/>
        <v/>
      </c>
      <c r="AO10" s="229"/>
      <c r="AP10" s="219"/>
      <c r="AQ10" s="219"/>
      <c r="AR10" s="219"/>
      <c r="AS10" s="219"/>
      <c r="AT10" s="219"/>
      <c r="AU10" s="219"/>
      <c r="AV10" s="219"/>
      <c r="AW10" s="227"/>
      <c r="AX10" s="237"/>
      <c r="AY10" s="29" t="str">
        <f t="shared" si="3"/>
        <v/>
      </c>
      <c r="AZ10" s="522" t="str" cm="1">
        <f t="array" ref="AZ10">mediaComposicaoGramatica(AC10,R10,AY10,AN10,0.3,0.7)</f>
        <v/>
      </c>
      <c r="BA10" s="503"/>
      <c r="BB10" s="219"/>
      <c r="BC10" s="219"/>
      <c r="BD10" s="219"/>
      <c r="BE10" s="219"/>
      <c r="BF10" s="219"/>
      <c r="BG10" s="219"/>
      <c r="BH10" s="219"/>
      <c r="BI10" s="227"/>
      <c r="BJ10" s="237"/>
      <c r="BK10" s="29" t="str">
        <f t="shared" si="4"/>
        <v/>
      </c>
      <c r="BL10" s="229"/>
      <c r="BM10" s="219"/>
      <c r="BN10" s="219"/>
      <c r="BO10" s="219"/>
      <c r="BP10" s="219"/>
      <c r="BQ10" s="219"/>
      <c r="BR10" s="219"/>
      <c r="BS10" s="219"/>
      <c r="BT10" s="227"/>
      <c r="BU10" s="237"/>
      <c r="BV10" s="29" t="str">
        <f t="shared" si="5"/>
        <v/>
      </c>
      <c r="BW10" s="229"/>
      <c r="BX10" s="219"/>
      <c r="BY10" s="219"/>
      <c r="BZ10" s="219"/>
      <c r="CA10" s="219"/>
      <c r="CB10" s="219"/>
      <c r="CC10" s="219"/>
      <c r="CD10" s="219"/>
      <c r="CE10" s="227"/>
      <c r="CF10" s="237"/>
      <c r="CG10" s="29" t="str">
        <f t="shared" si="6"/>
        <v/>
      </c>
      <c r="CH10" s="225"/>
      <c r="CI10" s="226"/>
      <c r="CJ10" s="226"/>
      <c r="CK10" s="226"/>
      <c r="CL10" s="226"/>
      <c r="CM10" s="226"/>
      <c r="CN10" s="226"/>
      <c r="CO10" s="226"/>
      <c r="CP10" s="227"/>
      <c r="CQ10" s="226"/>
      <c r="CR10" s="25" t="str">
        <f t="shared" si="7"/>
        <v/>
      </c>
      <c r="CS10" s="476" t="str" cm="1">
        <f t="array" ref="CS10">mediaComposicaoGramatica(BK10,BV10,CR10,CG10,0.3,0.7)</f>
        <v/>
      </c>
      <c r="CT10" s="476" t="str">
        <f t="shared" si="8"/>
        <v/>
      </c>
      <c r="CU10" s="476" t="str">
        <f t="shared" si="9"/>
        <v/>
      </c>
      <c r="CV10" s="476" t="str">
        <f t="shared" si="10"/>
        <v/>
      </c>
      <c r="CW10" s="476" t="str">
        <f t="shared" si="11"/>
        <v/>
      </c>
    </row>
    <row r="11" spans="1:101" x14ac:dyDescent="0.25">
      <c r="A11" s="91">
        <f>IF('Avaliação Períodos'!A12=0,"",'Avaliação Períodos'!A12)</f>
        <v>13</v>
      </c>
      <c r="B11" s="386" t="str">
        <f>IF('Avaliação Períodos'!B12=0,"",'Avaliação Períodos'!B12)</f>
        <v>Joana</v>
      </c>
      <c r="C11" s="387"/>
      <c r="D11" s="387"/>
      <c r="E11" s="387"/>
      <c r="F11" s="387"/>
      <c r="G11" s="387"/>
      <c r="H11" s="502"/>
      <c r="I11" s="218"/>
      <c r="J11" s="218"/>
      <c r="K11" s="218"/>
      <c r="L11" s="218"/>
      <c r="M11" s="218"/>
      <c r="N11" s="218"/>
      <c r="O11" s="218"/>
      <c r="P11" s="224"/>
      <c r="Q11" s="236"/>
      <c r="R11" s="29" t="str">
        <f t="shared" si="0"/>
        <v/>
      </c>
      <c r="S11" s="235"/>
      <c r="T11" s="218"/>
      <c r="U11" s="218"/>
      <c r="V11" s="218"/>
      <c r="W11" s="218"/>
      <c r="X11" s="218"/>
      <c r="Y11" s="218"/>
      <c r="Z11" s="218"/>
      <c r="AA11" s="224"/>
      <c r="AB11" s="236"/>
      <c r="AC11" s="29" t="str">
        <f t="shared" si="1"/>
        <v/>
      </c>
      <c r="AD11" s="235"/>
      <c r="AE11" s="218"/>
      <c r="AF11" s="218"/>
      <c r="AG11" s="218"/>
      <c r="AH11" s="218"/>
      <c r="AI11" s="218"/>
      <c r="AJ11" s="218"/>
      <c r="AK11" s="218"/>
      <c r="AL11" s="224"/>
      <c r="AM11" s="236"/>
      <c r="AN11" s="29" t="str">
        <f t="shared" si="2"/>
        <v/>
      </c>
      <c r="AO11" s="235"/>
      <c r="AP11" s="218"/>
      <c r="AQ11" s="218"/>
      <c r="AR11" s="218"/>
      <c r="AS11" s="218"/>
      <c r="AT11" s="218"/>
      <c r="AU11" s="218"/>
      <c r="AV11" s="218"/>
      <c r="AW11" s="224"/>
      <c r="AX11" s="236"/>
      <c r="AY11" s="29" t="str">
        <f t="shared" si="3"/>
        <v/>
      </c>
      <c r="AZ11" s="522" t="str" cm="1">
        <f t="array" ref="AZ11">mediaComposicaoGramatica(AC11,R11,AY11,AN11,0.3,0.7)</f>
        <v/>
      </c>
      <c r="BA11" s="502"/>
      <c r="BB11" s="218"/>
      <c r="BC11" s="218"/>
      <c r="BD11" s="218"/>
      <c r="BE11" s="218"/>
      <c r="BF11" s="218"/>
      <c r="BG11" s="218"/>
      <c r="BH11" s="218"/>
      <c r="BI11" s="224"/>
      <c r="BJ11" s="236"/>
      <c r="BK11" s="29" t="str">
        <f t="shared" si="4"/>
        <v/>
      </c>
      <c r="BL11" s="235"/>
      <c r="BM11" s="218"/>
      <c r="BN11" s="218"/>
      <c r="BO11" s="218"/>
      <c r="BP11" s="218"/>
      <c r="BQ11" s="218"/>
      <c r="BR11" s="218"/>
      <c r="BS11" s="218"/>
      <c r="BT11" s="224"/>
      <c r="BU11" s="236"/>
      <c r="BV11" s="29" t="str">
        <f t="shared" si="5"/>
        <v/>
      </c>
      <c r="BW11" s="235"/>
      <c r="BX11" s="218"/>
      <c r="BY11" s="218"/>
      <c r="BZ11" s="218"/>
      <c r="CA11" s="218"/>
      <c r="CB11" s="218"/>
      <c r="CC11" s="218"/>
      <c r="CD11" s="218"/>
      <c r="CE11" s="224"/>
      <c r="CF11" s="236"/>
      <c r="CG11" s="29" t="str">
        <f t="shared" si="6"/>
        <v/>
      </c>
      <c r="CH11" s="223"/>
      <c r="CI11" s="224"/>
      <c r="CJ11" s="224"/>
      <c r="CK11" s="224"/>
      <c r="CL11" s="224"/>
      <c r="CM11" s="224"/>
      <c r="CN11" s="224"/>
      <c r="CO11" s="224"/>
      <c r="CP11" s="224"/>
      <c r="CQ11" s="224"/>
      <c r="CR11" s="25" t="str">
        <f t="shared" si="7"/>
        <v/>
      </c>
      <c r="CS11" s="476" t="str" cm="1">
        <f t="array" ref="CS11">mediaComposicaoGramatica(BK11,BV11,CR11,CG11,0.3,0.7)</f>
        <v/>
      </c>
      <c r="CT11" s="476" t="str">
        <f t="shared" si="8"/>
        <v/>
      </c>
      <c r="CU11" s="476" t="str">
        <f t="shared" si="9"/>
        <v/>
      </c>
      <c r="CV11" s="476" t="str">
        <f t="shared" si="10"/>
        <v/>
      </c>
      <c r="CW11" s="476" t="str">
        <f t="shared" si="11"/>
        <v/>
      </c>
    </row>
    <row r="12" spans="1:101" x14ac:dyDescent="0.25">
      <c r="A12" s="90">
        <f>IF('Avaliação Períodos'!A13=0,"",'Avaliação Períodos'!A13)</f>
        <v>14</v>
      </c>
      <c r="B12" s="383" t="str">
        <f>IF('Avaliação Períodos'!B13=0,"",'Avaliação Períodos'!B13)</f>
        <v>José</v>
      </c>
      <c r="C12" s="384"/>
      <c r="D12" s="384"/>
      <c r="E12" s="384"/>
      <c r="F12" s="384"/>
      <c r="G12" s="384"/>
      <c r="H12" s="503"/>
      <c r="I12" s="219"/>
      <c r="J12" s="219"/>
      <c r="K12" s="219"/>
      <c r="L12" s="219"/>
      <c r="M12" s="219"/>
      <c r="N12" s="219"/>
      <c r="O12" s="219"/>
      <c r="P12" s="227"/>
      <c r="Q12" s="237"/>
      <c r="R12" s="29" t="str">
        <f t="shared" si="0"/>
        <v/>
      </c>
      <c r="S12" s="229"/>
      <c r="T12" s="219"/>
      <c r="U12" s="219"/>
      <c r="V12" s="219"/>
      <c r="W12" s="219"/>
      <c r="X12" s="219"/>
      <c r="Y12" s="219"/>
      <c r="Z12" s="219"/>
      <c r="AA12" s="227"/>
      <c r="AB12" s="237"/>
      <c r="AC12" s="29" t="str">
        <f t="shared" si="1"/>
        <v/>
      </c>
      <c r="AD12" s="229"/>
      <c r="AE12" s="219"/>
      <c r="AF12" s="219"/>
      <c r="AG12" s="219"/>
      <c r="AH12" s="219"/>
      <c r="AI12" s="219"/>
      <c r="AJ12" s="219"/>
      <c r="AK12" s="219"/>
      <c r="AL12" s="227"/>
      <c r="AM12" s="237"/>
      <c r="AN12" s="29" t="str">
        <f t="shared" si="2"/>
        <v/>
      </c>
      <c r="AO12" s="229"/>
      <c r="AP12" s="219"/>
      <c r="AQ12" s="219"/>
      <c r="AR12" s="219"/>
      <c r="AS12" s="219"/>
      <c r="AT12" s="219"/>
      <c r="AU12" s="219"/>
      <c r="AV12" s="219"/>
      <c r="AW12" s="227"/>
      <c r="AX12" s="237"/>
      <c r="AY12" s="29" t="str">
        <f t="shared" si="3"/>
        <v/>
      </c>
      <c r="AZ12" s="522" t="str" cm="1">
        <f t="array" ref="AZ12">mediaComposicaoGramatica(AC12,R12,AY12,AN12,0.3,0.7)</f>
        <v/>
      </c>
      <c r="BA12" s="503"/>
      <c r="BB12" s="219"/>
      <c r="BC12" s="219"/>
      <c r="BD12" s="219"/>
      <c r="BE12" s="219"/>
      <c r="BF12" s="219"/>
      <c r="BG12" s="219"/>
      <c r="BH12" s="219"/>
      <c r="BI12" s="227"/>
      <c r="BJ12" s="237"/>
      <c r="BK12" s="29" t="str">
        <f t="shared" si="4"/>
        <v/>
      </c>
      <c r="BL12" s="229"/>
      <c r="BM12" s="219"/>
      <c r="BN12" s="219"/>
      <c r="BO12" s="219"/>
      <c r="BP12" s="219"/>
      <c r="BQ12" s="219"/>
      <c r="BR12" s="219"/>
      <c r="BS12" s="219"/>
      <c r="BT12" s="227"/>
      <c r="BU12" s="237"/>
      <c r="BV12" s="29" t="str">
        <f t="shared" si="5"/>
        <v/>
      </c>
      <c r="BW12" s="229"/>
      <c r="BX12" s="219"/>
      <c r="BY12" s="219"/>
      <c r="BZ12" s="219"/>
      <c r="CA12" s="219"/>
      <c r="CB12" s="219"/>
      <c r="CC12" s="219"/>
      <c r="CD12" s="219"/>
      <c r="CE12" s="227"/>
      <c r="CF12" s="237"/>
      <c r="CG12" s="29" t="str">
        <f t="shared" si="6"/>
        <v/>
      </c>
      <c r="CH12" s="225"/>
      <c r="CI12" s="226"/>
      <c r="CJ12" s="226"/>
      <c r="CK12" s="226"/>
      <c r="CL12" s="226"/>
      <c r="CM12" s="226"/>
      <c r="CN12" s="226"/>
      <c r="CO12" s="226"/>
      <c r="CP12" s="227"/>
      <c r="CQ12" s="226"/>
      <c r="CR12" s="25" t="str">
        <f t="shared" si="7"/>
        <v/>
      </c>
      <c r="CS12" s="476" t="str" cm="1">
        <f t="array" ref="CS12">mediaComposicaoGramatica(BK12,BV12,CR12,CG12,0.3,0.7)</f>
        <v/>
      </c>
      <c r="CT12" s="476" t="str">
        <f t="shared" si="8"/>
        <v/>
      </c>
      <c r="CU12" s="476" t="str">
        <f t="shared" si="9"/>
        <v/>
      </c>
      <c r="CV12" s="476" t="str">
        <f t="shared" si="10"/>
        <v/>
      </c>
      <c r="CW12" s="476" t="str">
        <f t="shared" si="11"/>
        <v/>
      </c>
    </row>
    <row r="13" spans="1:101" x14ac:dyDescent="0.25">
      <c r="A13" s="91">
        <f>IF('Avaliação Períodos'!A14=0,"",'Avaliação Períodos'!A14)</f>
        <v>15</v>
      </c>
      <c r="B13" s="386" t="str">
        <f>IF('Avaliação Períodos'!B14=0,"",'Avaliação Períodos'!B14)</f>
        <v>Laura</v>
      </c>
      <c r="C13" s="387"/>
      <c r="D13" s="387"/>
      <c r="E13" s="387"/>
      <c r="F13" s="387"/>
      <c r="G13" s="387"/>
      <c r="H13" s="502"/>
      <c r="I13" s="218"/>
      <c r="J13" s="218"/>
      <c r="K13" s="218"/>
      <c r="L13" s="218"/>
      <c r="M13" s="218"/>
      <c r="N13" s="218"/>
      <c r="O13" s="218"/>
      <c r="P13" s="224"/>
      <c r="Q13" s="236"/>
      <c r="R13" s="29" t="str">
        <f t="shared" si="0"/>
        <v/>
      </c>
      <c r="S13" s="235"/>
      <c r="T13" s="218"/>
      <c r="U13" s="218"/>
      <c r="V13" s="218"/>
      <c r="W13" s="218"/>
      <c r="X13" s="218"/>
      <c r="Y13" s="218"/>
      <c r="Z13" s="218"/>
      <c r="AA13" s="224"/>
      <c r="AB13" s="236"/>
      <c r="AC13" s="29" t="str">
        <f t="shared" si="1"/>
        <v/>
      </c>
      <c r="AD13" s="235"/>
      <c r="AE13" s="218"/>
      <c r="AF13" s="218"/>
      <c r="AG13" s="218"/>
      <c r="AH13" s="218"/>
      <c r="AI13" s="218"/>
      <c r="AJ13" s="218"/>
      <c r="AK13" s="218"/>
      <c r="AL13" s="224"/>
      <c r="AM13" s="236"/>
      <c r="AN13" s="29" t="str">
        <f t="shared" si="2"/>
        <v/>
      </c>
      <c r="AO13" s="235"/>
      <c r="AP13" s="218"/>
      <c r="AQ13" s="218"/>
      <c r="AR13" s="218"/>
      <c r="AS13" s="218"/>
      <c r="AT13" s="218"/>
      <c r="AU13" s="218"/>
      <c r="AV13" s="218"/>
      <c r="AW13" s="224"/>
      <c r="AX13" s="236"/>
      <c r="AY13" s="29" t="str">
        <f t="shared" si="3"/>
        <v/>
      </c>
      <c r="AZ13" s="522" t="str" cm="1">
        <f t="array" ref="AZ13">mediaComposicaoGramatica(AC13,R13,AY13,AN13,0.3,0.7)</f>
        <v/>
      </c>
      <c r="BA13" s="502"/>
      <c r="BB13" s="218"/>
      <c r="BC13" s="218"/>
      <c r="BD13" s="218"/>
      <c r="BE13" s="218"/>
      <c r="BF13" s="218"/>
      <c r="BG13" s="218"/>
      <c r="BH13" s="218"/>
      <c r="BI13" s="224"/>
      <c r="BJ13" s="236"/>
      <c r="BK13" s="29" t="str">
        <f t="shared" si="4"/>
        <v/>
      </c>
      <c r="BL13" s="235"/>
      <c r="BM13" s="218"/>
      <c r="BN13" s="218"/>
      <c r="BO13" s="218"/>
      <c r="BP13" s="218"/>
      <c r="BQ13" s="218"/>
      <c r="BR13" s="218"/>
      <c r="BS13" s="218"/>
      <c r="BT13" s="224"/>
      <c r="BU13" s="236"/>
      <c r="BV13" s="29" t="str">
        <f t="shared" si="5"/>
        <v/>
      </c>
      <c r="BW13" s="235"/>
      <c r="BX13" s="218"/>
      <c r="BY13" s="218"/>
      <c r="BZ13" s="218"/>
      <c r="CA13" s="218"/>
      <c r="CB13" s="218"/>
      <c r="CC13" s="218"/>
      <c r="CD13" s="218"/>
      <c r="CE13" s="224"/>
      <c r="CF13" s="236"/>
      <c r="CG13" s="29" t="str">
        <f t="shared" si="6"/>
        <v/>
      </c>
      <c r="CH13" s="223"/>
      <c r="CI13" s="224"/>
      <c r="CJ13" s="224"/>
      <c r="CK13" s="224"/>
      <c r="CL13" s="224"/>
      <c r="CM13" s="224"/>
      <c r="CN13" s="224"/>
      <c r="CO13" s="224"/>
      <c r="CP13" s="224"/>
      <c r="CQ13" s="224"/>
      <c r="CR13" s="25" t="str">
        <f t="shared" si="7"/>
        <v/>
      </c>
      <c r="CS13" s="476" t="str" cm="1">
        <f t="array" ref="CS13">mediaComposicaoGramatica(BK13,BV13,CR13,CG13,0.3,0.7)</f>
        <v/>
      </c>
      <c r="CT13" s="476" t="str">
        <f t="shared" si="8"/>
        <v/>
      </c>
      <c r="CU13" s="476" t="str">
        <f t="shared" si="9"/>
        <v/>
      </c>
      <c r="CV13" s="476" t="str">
        <f t="shared" si="10"/>
        <v/>
      </c>
      <c r="CW13" s="476" t="str">
        <f t="shared" si="11"/>
        <v/>
      </c>
    </row>
    <row r="14" spans="1:101" x14ac:dyDescent="0.25">
      <c r="A14" s="90">
        <f>IF('Avaliação Períodos'!A15=0,"",'Avaliação Períodos'!A15)</f>
        <v>16</v>
      </c>
      <c r="B14" s="383" t="str">
        <f>IF('Avaliação Períodos'!B15=0,"",'Avaliação Períodos'!B15)</f>
        <v>Liliana</v>
      </c>
      <c r="C14" s="384"/>
      <c r="D14" s="384"/>
      <c r="E14" s="384"/>
      <c r="F14" s="384"/>
      <c r="G14" s="384"/>
      <c r="H14" s="503"/>
      <c r="I14" s="219"/>
      <c r="J14" s="219"/>
      <c r="K14" s="219"/>
      <c r="L14" s="219"/>
      <c r="M14" s="219"/>
      <c r="N14" s="219"/>
      <c r="O14" s="219"/>
      <c r="P14" s="227"/>
      <c r="Q14" s="237"/>
      <c r="R14" s="29" t="str">
        <f t="shared" si="0"/>
        <v/>
      </c>
      <c r="S14" s="229"/>
      <c r="T14" s="219"/>
      <c r="U14" s="219"/>
      <c r="V14" s="219"/>
      <c r="W14" s="219"/>
      <c r="X14" s="219"/>
      <c r="Y14" s="219"/>
      <c r="Z14" s="219"/>
      <c r="AA14" s="227"/>
      <c r="AB14" s="237"/>
      <c r="AC14" s="29" t="str">
        <f t="shared" si="1"/>
        <v/>
      </c>
      <c r="AD14" s="229"/>
      <c r="AE14" s="219"/>
      <c r="AF14" s="219"/>
      <c r="AG14" s="219"/>
      <c r="AH14" s="219"/>
      <c r="AI14" s="219"/>
      <c r="AJ14" s="219"/>
      <c r="AK14" s="219"/>
      <c r="AL14" s="227"/>
      <c r="AM14" s="237"/>
      <c r="AN14" s="29" t="str">
        <f t="shared" si="2"/>
        <v/>
      </c>
      <c r="AO14" s="229"/>
      <c r="AP14" s="219"/>
      <c r="AQ14" s="219"/>
      <c r="AR14" s="219"/>
      <c r="AS14" s="219"/>
      <c r="AT14" s="219"/>
      <c r="AU14" s="219"/>
      <c r="AV14" s="219"/>
      <c r="AW14" s="227"/>
      <c r="AX14" s="237"/>
      <c r="AY14" s="29" t="str">
        <f t="shared" si="3"/>
        <v/>
      </c>
      <c r="AZ14" s="522" t="str" cm="1">
        <f t="array" ref="AZ14">mediaComposicaoGramatica(AC14,R14,AY14,AN14,0.3,0.7)</f>
        <v/>
      </c>
      <c r="BA14" s="503"/>
      <c r="BB14" s="219"/>
      <c r="BC14" s="219"/>
      <c r="BD14" s="219"/>
      <c r="BE14" s="219"/>
      <c r="BF14" s="219"/>
      <c r="BG14" s="219"/>
      <c r="BH14" s="219"/>
      <c r="BI14" s="227"/>
      <c r="BJ14" s="237"/>
      <c r="BK14" s="29" t="str">
        <f t="shared" si="4"/>
        <v/>
      </c>
      <c r="BL14" s="229"/>
      <c r="BM14" s="219"/>
      <c r="BN14" s="219"/>
      <c r="BO14" s="219"/>
      <c r="BP14" s="219"/>
      <c r="BQ14" s="219"/>
      <c r="BR14" s="219"/>
      <c r="BS14" s="219"/>
      <c r="BT14" s="227"/>
      <c r="BU14" s="237"/>
      <c r="BV14" s="29" t="str">
        <f t="shared" si="5"/>
        <v/>
      </c>
      <c r="BW14" s="229"/>
      <c r="BX14" s="219"/>
      <c r="BY14" s="219"/>
      <c r="BZ14" s="219"/>
      <c r="CA14" s="219"/>
      <c r="CB14" s="219"/>
      <c r="CC14" s="219"/>
      <c r="CD14" s="219"/>
      <c r="CE14" s="227"/>
      <c r="CF14" s="237"/>
      <c r="CG14" s="29" t="str">
        <f t="shared" si="6"/>
        <v/>
      </c>
      <c r="CH14" s="225"/>
      <c r="CI14" s="226"/>
      <c r="CJ14" s="226"/>
      <c r="CK14" s="226"/>
      <c r="CL14" s="226"/>
      <c r="CM14" s="226"/>
      <c r="CN14" s="226"/>
      <c r="CO14" s="226"/>
      <c r="CP14" s="227"/>
      <c r="CQ14" s="226"/>
      <c r="CR14" s="25" t="str">
        <f t="shared" si="7"/>
        <v/>
      </c>
      <c r="CS14" s="476" t="str" cm="1">
        <f t="array" ref="CS14">mediaComposicaoGramatica(BK14,BV14,CR14,CG14,0.3,0.7)</f>
        <v/>
      </c>
      <c r="CT14" s="476" t="str">
        <f t="shared" si="8"/>
        <v/>
      </c>
      <c r="CU14" s="476" t="str">
        <f t="shared" si="9"/>
        <v/>
      </c>
      <c r="CV14" s="476" t="str">
        <f t="shared" si="10"/>
        <v/>
      </c>
      <c r="CW14" s="476" t="str">
        <f t="shared" si="11"/>
        <v/>
      </c>
    </row>
    <row r="15" spans="1:101" x14ac:dyDescent="0.25">
      <c r="A15" s="91">
        <f>IF('Avaliação Períodos'!A16=0,"",'Avaliação Períodos'!A16)</f>
        <v>17</v>
      </c>
      <c r="B15" s="386" t="str">
        <f>IF('Avaliação Períodos'!B16=0,"",'Avaliação Períodos'!B16)</f>
        <v>Luana</v>
      </c>
      <c r="C15" s="387"/>
      <c r="D15" s="387"/>
      <c r="E15" s="387"/>
      <c r="F15" s="387"/>
      <c r="G15" s="387"/>
      <c r="H15" s="502"/>
      <c r="I15" s="218"/>
      <c r="J15" s="218"/>
      <c r="K15" s="218"/>
      <c r="L15" s="218"/>
      <c r="M15" s="218"/>
      <c r="N15" s="218"/>
      <c r="O15" s="218"/>
      <c r="P15" s="224"/>
      <c r="Q15" s="236"/>
      <c r="R15" s="29" t="str">
        <f t="shared" si="0"/>
        <v/>
      </c>
      <c r="S15" s="235"/>
      <c r="T15" s="218"/>
      <c r="U15" s="218"/>
      <c r="V15" s="218"/>
      <c r="W15" s="218"/>
      <c r="X15" s="218"/>
      <c r="Y15" s="218"/>
      <c r="Z15" s="218"/>
      <c r="AA15" s="224"/>
      <c r="AB15" s="236"/>
      <c r="AC15" s="29" t="str">
        <f t="shared" si="1"/>
        <v/>
      </c>
      <c r="AD15" s="235"/>
      <c r="AE15" s="218"/>
      <c r="AF15" s="218"/>
      <c r="AG15" s="218"/>
      <c r="AH15" s="218"/>
      <c r="AI15" s="218"/>
      <c r="AJ15" s="218"/>
      <c r="AK15" s="218"/>
      <c r="AL15" s="224"/>
      <c r="AM15" s="236"/>
      <c r="AN15" s="29" t="str">
        <f t="shared" si="2"/>
        <v/>
      </c>
      <c r="AO15" s="235"/>
      <c r="AP15" s="218"/>
      <c r="AQ15" s="218"/>
      <c r="AR15" s="218"/>
      <c r="AS15" s="218"/>
      <c r="AT15" s="218"/>
      <c r="AU15" s="218"/>
      <c r="AV15" s="218"/>
      <c r="AW15" s="224"/>
      <c r="AX15" s="236"/>
      <c r="AY15" s="29" t="str">
        <f t="shared" si="3"/>
        <v/>
      </c>
      <c r="AZ15" s="522" t="str" cm="1">
        <f t="array" ref="AZ15">mediaComposicaoGramatica(AC15,R15,AY15,AN15,0.3,0.7)</f>
        <v/>
      </c>
      <c r="BA15" s="502"/>
      <c r="BB15" s="218"/>
      <c r="BC15" s="218"/>
      <c r="BD15" s="218"/>
      <c r="BE15" s="218"/>
      <c r="BF15" s="218"/>
      <c r="BG15" s="218"/>
      <c r="BH15" s="218"/>
      <c r="BI15" s="224"/>
      <c r="BJ15" s="236"/>
      <c r="BK15" s="29" t="str">
        <f t="shared" si="4"/>
        <v/>
      </c>
      <c r="BL15" s="235"/>
      <c r="BM15" s="218"/>
      <c r="BN15" s="218"/>
      <c r="BO15" s="218"/>
      <c r="BP15" s="218"/>
      <c r="BQ15" s="218"/>
      <c r="BR15" s="218"/>
      <c r="BS15" s="218"/>
      <c r="BT15" s="224"/>
      <c r="BU15" s="236"/>
      <c r="BV15" s="29" t="str">
        <f t="shared" si="5"/>
        <v/>
      </c>
      <c r="BW15" s="235"/>
      <c r="BX15" s="218"/>
      <c r="BY15" s="218"/>
      <c r="BZ15" s="218"/>
      <c r="CA15" s="218"/>
      <c r="CB15" s="218"/>
      <c r="CC15" s="218"/>
      <c r="CD15" s="218"/>
      <c r="CE15" s="224"/>
      <c r="CF15" s="236"/>
      <c r="CG15" s="29" t="str">
        <f t="shared" si="6"/>
        <v/>
      </c>
      <c r="CH15" s="223"/>
      <c r="CI15" s="224"/>
      <c r="CJ15" s="228"/>
      <c r="CK15" s="224"/>
      <c r="CL15" s="224"/>
      <c r="CM15" s="224"/>
      <c r="CN15" s="224"/>
      <c r="CO15" s="224"/>
      <c r="CP15" s="224"/>
      <c r="CQ15" s="224"/>
      <c r="CR15" s="25" t="str">
        <f t="shared" si="7"/>
        <v/>
      </c>
      <c r="CS15" s="476" t="str" cm="1">
        <f t="array" ref="CS15">mediaComposicaoGramatica(BK15,BV15,CR15,CG15,0.3,0.7)</f>
        <v/>
      </c>
      <c r="CT15" s="476" t="str">
        <f t="shared" si="8"/>
        <v/>
      </c>
      <c r="CU15" s="476" t="str">
        <f t="shared" si="9"/>
        <v/>
      </c>
      <c r="CV15" s="476" t="str">
        <f t="shared" si="10"/>
        <v/>
      </c>
      <c r="CW15" s="476" t="str">
        <f t="shared" si="11"/>
        <v/>
      </c>
    </row>
    <row r="16" spans="1:101" x14ac:dyDescent="0.25">
      <c r="A16" s="90">
        <f>IF('Avaliação Períodos'!A17=0,"",'Avaliação Períodos'!A17)</f>
        <v>18</v>
      </c>
      <c r="B16" s="383" t="str">
        <f>IF('Avaliação Períodos'!B17=0,"",'Avaliação Períodos'!B17)</f>
        <v>Madalena</v>
      </c>
      <c r="C16" s="384"/>
      <c r="D16" s="384"/>
      <c r="E16" s="384"/>
      <c r="F16" s="384"/>
      <c r="G16" s="384"/>
      <c r="H16" s="503"/>
      <c r="I16" s="219"/>
      <c r="J16" s="219"/>
      <c r="K16" s="219"/>
      <c r="L16" s="219"/>
      <c r="M16" s="219"/>
      <c r="N16" s="219"/>
      <c r="O16" s="219"/>
      <c r="P16" s="227"/>
      <c r="Q16" s="237"/>
      <c r="R16" s="29" t="str">
        <f t="shared" si="0"/>
        <v/>
      </c>
      <c r="S16" s="229"/>
      <c r="T16" s="219"/>
      <c r="U16" s="219"/>
      <c r="V16" s="219"/>
      <c r="W16" s="219"/>
      <c r="X16" s="219"/>
      <c r="Y16" s="219"/>
      <c r="Z16" s="219"/>
      <c r="AA16" s="227"/>
      <c r="AB16" s="237"/>
      <c r="AC16" s="29" t="str">
        <f t="shared" si="1"/>
        <v/>
      </c>
      <c r="AD16" s="229"/>
      <c r="AE16" s="219"/>
      <c r="AF16" s="219"/>
      <c r="AG16" s="219"/>
      <c r="AH16" s="219"/>
      <c r="AI16" s="219"/>
      <c r="AJ16" s="219"/>
      <c r="AK16" s="219"/>
      <c r="AL16" s="227"/>
      <c r="AM16" s="237"/>
      <c r="AN16" s="29" t="str">
        <f t="shared" si="2"/>
        <v/>
      </c>
      <c r="AO16" s="229"/>
      <c r="AP16" s="219"/>
      <c r="AQ16" s="219"/>
      <c r="AR16" s="219"/>
      <c r="AS16" s="219"/>
      <c r="AT16" s="219"/>
      <c r="AU16" s="219"/>
      <c r="AV16" s="219"/>
      <c r="AW16" s="227"/>
      <c r="AX16" s="237"/>
      <c r="AY16" s="29" t="str">
        <f t="shared" si="3"/>
        <v/>
      </c>
      <c r="AZ16" s="522" t="str" cm="1">
        <f t="array" ref="AZ16">mediaComposicaoGramatica(AC16,R16,AY16,AN16,0.3,0.7)</f>
        <v/>
      </c>
      <c r="BA16" s="503"/>
      <c r="BB16" s="219"/>
      <c r="BC16" s="219"/>
      <c r="BD16" s="219"/>
      <c r="BE16" s="219"/>
      <c r="BF16" s="219"/>
      <c r="BG16" s="219"/>
      <c r="BH16" s="219"/>
      <c r="BI16" s="227"/>
      <c r="BJ16" s="237"/>
      <c r="BK16" s="29" t="str">
        <f t="shared" si="4"/>
        <v/>
      </c>
      <c r="BL16" s="229"/>
      <c r="BM16" s="219"/>
      <c r="BN16" s="219"/>
      <c r="BO16" s="219"/>
      <c r="BP16" s="219"/>
      <c r="BQ16" s="219"/>
      <c r="BR16" s="219"/>
      <c r="BS16" s="219"/>
      <c r="BT16" s="227"/>
      <c r="BU16" s="237"/>
      <c r="BV16" s="29" t="str">
        <f t="shared" si="5"/>
        <v/>
      </c>
      <c r="BW16" s="229"/>
      <c r="BX16" s="219"/>
      <c r="BY16" s="219"/>
      <c r="BZ16" s="219"/>
      <c r="CA16" s="219"/>
      <c r="CB16" s="219"/>
      <c r="CC16" s="219"/>
      <c r="CD16" s="219"/>
      <c r="CE16" s="227"/>
      <c r="CF16" s="237"/>
      <c r="CG16" s="29" t="str">
        <f t="shared" si="6"/>
        <v/>
      </c>
      <c r="CH16" s="225"/>
      <c r="CI16" s="226"/>
      <c r="CJ16" s="226"/>
      <c r="CK16" s="226"/>
      <c r="CL16" s="226"/>
      <c r="CM16" s="226"/>
      <c r="CN16" s="226"/>
      <c r="CO16" s="226"/>
      <c r="CP16" s="227"/>
      <c r="CQ16" s="226"/>
      <c r="CR16" s="25" t="str">
        <f t="shared" si="7"/>
        <v/>
      </c>
      <c r="CS16" s="476" t="str" cm="1">
        <f t="array" ref="CS16">mediaComposicaoGramatica(BK16,BV16,CR16,CG16,0.3,0.7)</f>
        <v/>
      </c>
      <c r="CT16" s="476" t="str">
        <f t="shared" si="8"/>
        <v/>
      </c>
      <c r="CU16" s="476" t="str">
        <f t="shared" si="9"/>
        <v/>
      </c>
      <c r="CV16" s="476" t="str">
        <f t="shared" si="10"/>
        <v/>
      </c>
      <c r="CW16" s="476" t="str">
        <f t="shared" si="11"/>
        <v/>
      </c>
    </row>
    <row r="17" spans="1:101" x14ac:dyDescent="0.25">
      <c r="A17" s="91">
        <f>IF('Avaliação Períodos'!A18=0,"",'Avaliação Períodos'!A18)</f>
        <v>19</v>
      </c>
      <c r="B17" s="386" t="str">
        <f>IF('Avaliação Períodos'!B18=0,"",'Avaliação Períodos'!B18)</f>
        <v>Mª João</v>
      </c>
      <c r="C17" s="387"/>
      <c r="D17" s="387"/>
      <c r="E17" s="387"/>
      <c r="F17" s="387"/>
      <c r="G17" s="387"/>
      <c r="H17" s="502"/>
      <c r="I17" s="218"/>
      <c r="J17" s="218"/>
      <c r="K17" s="218"/>
      <c r="L17" s="218"/>
      <c r="M17" s="218"/>
      <c r="N17" s="218"/>
      <c r="O17" s="218"/>
      <c r="P17" s="224"/>
      <c r="Q17" s="236"/>
      <c r="R17" s="29" t="str">
        <f t="shared" si="0"/>
        <v/>
      </c>
      <c r="S17" s="235"/>
      <c r="T17" s="218"/>
      <c r="U17" s="218"/>
      <c r="V17" s="218"/>
      <c r="W17" s="218"/>
      <c r="X17" s="218"/>
      <c r="Y17" s="218"/>
      <c r="Z17" s="218"/>
      <c r="AA17" s="224"/>
      <c r="AB17" s="236"/>
      <c r="AC17" s="29" t="str">
        <f t="shared" si="1"/>
        <v/>
      </c>
      <c r="AD17" s="235"/>
      <c r="AE17" s="218"/>
      <c r="AF17" s="218"/>
      <c r="AG17" s="218"/>
      <c r="AH17" s="218"/>
      <c r="AI17" s="218"/>
      <c r="AJ17" s="218"/>
      <c r="AK17" s="218"/>
      <c r="AL17" s="224"/>
      <c r="AM17" s="236"/>
      <c r="AN17" s="29" t="str">
        <f t="shared" si="2"/>
        <v/>
      </c>
      <c r="AO17" s="235"/>
      <c r="AP17" s="218"/>
      <c r="AQ17" s="218"/>
      <c r="AR17" s="218"/>
      <c r="AS17" s="218"/>
      <c r="AT17" s="218"/>
      <c r="AU17" s="218"/>
      <c r="AV17" s="218"/>
      <c r="AW17" s="224"/>
      <c r="AX17" s="236"/>
      <c r="AY17" s="29" t="str">
        <f t="shared" si="3"/>
        <v/>
      </c>
      <c r="AZ17" s="522" t="str" cm="1">
        <f t="array" ref="AZ17">mediaComposicaoGramatica(AC17,R17,AY17,AN17,0.3,0.7)</f>
        <v/>
      </c>
      <c r="BA17" s="502"/>
      <c r="BB17" s="218"/>
      <c r="BC17" s="218"/>
      <c r="BD17" s="218"/>
      <c r="BE17" s="218"/>
      <c r="BF17" s="218"/>
      <c r="BG17" s="218"/>
      <c r="BH17" s="218"/>
      <c r="BI17" s="224"/>
      <c r="BJ17" s="236"/>
      <c r="BK17" s="29" t="str">
        <f t="shared" si="4"/>
        <v/>
      </c>
      <c r="BL17" s="235"/>
      <c r="BM17" s="218"/>
      <c r="BN17" s="218"/>
      <c r="BO17" s="218"/>
      <c r="BP17" s="218"/>
      <c r="BQ17" s="218"/>
      <c r="BR17" s="218"/>
      <c r="BS17" s="218"/>
      <c r="BT17" s="224"/>
      <c r="BU17" s="236"/>
      <c r="BV17" s="29" t="str">
        <f t="shared" si="5"/>
        <v/>
      </c>
      <c r="BW17" s="235"/>
      <c r="BX17" s="218"/>
      <c r="BY17" s="218"/>
      <c r="BZ17" s="218"/>
      <c r="CA17" s="218"/>
      <c r="CB17" s="218"/>
      <c r="CC17" s="218"/>
      <c r="CD17" s="218"/>
      <c r="CE17" s="224"/>
      <c r="CF17" s="236"/>
      <c r="CG17" s="29" t="str">
        <f t="shared" si="6"/>
        <v/>
      </c>
      <c r="CH17" s="223"/>
      <c r="CI17" s="224"/>
      <c r="CJ17" s="224"/>
      <c r="CK17" s="224"/>
      <c r="CL17" s="224"/>
      <c r="CM17" s="224"/>
      <c r="CN17" s="224"/>
      <c r="CO17" s="224"/>
      <c r="CP17" s="224"/>
      <c r="CQ17" s="224"/>
      <c r="CR17" s="25" t="str">
        <f t="shared" si="7"/>
        <v/>
      </c>
      <c r="CS17" s="476" t="str" cm="1">
        <f t="array" ref="CS17">mediaComposicaoGramatica(BK17,BV17,CR17,CG17,0.3,0.7)</f>
        <v/>
      </c>
      <c r="CT17" s="476" t="str">
        <f t="shared" si="8"/>
        <v/>
      </c>
      <c r="CU17" s="476" t="str">
        <f t="shared" si="9"/>
        <v/>
      </c>
      <c r="CV17" s="476" t="str">
        <f t="shared" si="10"/>
        <v/>
      </c>
      <c r="CW17" s="476" t="str">
        <f t="shared" si="11"/>
        <v/>
      </c>
    </row>
    <row r="18" spans="1:101" x14ac:dyDescent="0.25">
      <c r="A18" s="90">
        <f>IF('Avaliação Períodos'!A19=0,"",'Avaliação Períodos'!A19)</f>
        <v>20</v>
      </c>
      <c r="B18" s="383" t="str">
        <f>IF('Avaliação Períodos'!B19=0,"",'Avaliação Períodos'!B19)</f>
        <v>Mª José</v>
      </c>
      <c r="C18" s="384"/>
      <c r="D18" s="384"/>
      <c r="E18" s="384"/>
      <c r="F18" s="384"/>
      <c r="G18" s="384"/>
      <c r="H18" s="503"/>
      <c r="I18" s="219"/>
      <c r="J18" s="219"/>
      <c r="K18" s="219"/>
      <c r="L18" s="219"/>
      <c r="M18" s="219"/>
      <c r="N18" s="219"/>
      <c r="O18" s="219"/>
      <c r="P18" s="226"/>
      <c r="Q18" s="237"/>
      <c r="R18" s="29" t="str">
        <f t="shared" si="0"/>
        <v/>
      </c>
      <c r="S18" s="229"/>
      <c r="T18" s="219"/>
      <c r="U18" s="219"/>
      <c r="V18" s="219"/>
      <c r="W18" s="219"/>
      <c r="X18" s="219"/>
      <c r="Y18" s="219"/>
      <c r="Z18" s="219"/>
      <c r="AA18" s="226"/>
      <c r="AB18" s="237"/>
      <c r="AC18" s="29" t="str">
        <f t="shared" si="1"/>
        <v/>
      </c>
      <c r="AD18" s="229"/>
      <c r="AE18" s="219"/>
      <c r="AF18" s="219"/>
      <c r="AG18" s="219"/>
      <c r="AH18" s="219"/>
      <c r="AI18" s="219"/>
      <c r="AJ18" s="219"/>
      <c r="AK18" s="219"/>
      <c r="AL18" s="226"/>
      <c r="AM18" s="237"/>
      <c r="AN18" s="29" t="str">
        <f t="shared" si="2"/>
        <v/>
      </c>
      <c r="AO18" s="229"/>
      <c r="AP18" s="219"/>
      <c r="AQ18" s="219"/>
      <c r="AR18" s="219"/>
      <c r="AS18" s="219"/>
      <c r="AT18" s="219"/>
      <c r="AU18" s="219"/>
      <c r="AV18" s="219"/>
      <c r="AW18" s="226"/>
      <c r="AX18" s="237"/>
      <c r="AY18" s="29" t="str">
        <f t="shared" si="3"/>
        <v/>
      </c>
      <c r="AZ18" s="522" t="str" cm="1">
        <f t="array" ref="AZ18">mediaComposicaoGramatica(AC18,R18,AY18,AN18,0.3,0.7)</f>
        <v/>
      </c>
      <c r="BA18" s="503"/>
      <c r="BB18" s="219"/>
      <c r="BC18" s="219"/>
      <c r="BD18" s="219"/>
      <c r="BE18" s="219"/>
      <c r="BF18" s="219"/>
      <c r="BG18" s="219"/>
      <c r="BH18" s="219"/>
      <c r="BI18" s="226"/>
      <c r="BJ18" s="237"/>
      <c r="BK18" s="29" t="str">
        <f t="shared" si="4"/>
        <v/>
      </c>
      <c r="BL18" s="229"/>
      <c r="BM18" s="219"/>
      <c r="BN18" s="219"/>
      <c r="BO18" s="219"/>
      <c r="BP18" s="219"/>
      <c r="BQ18" s="219"/>
      <c r="BR18" s="219"/>
      <c r="BS18" s="219"/>
      <c r="BT18" s="226"/>
      <c r="BU18" s="237"/>
      <c r="BV18" s="29" t="str">
        <f t="shared" si="5"/>
        <v/>
      </c>
      <c r="BW18" s="229"/>
      <c r="BX18" s="219"/>
      <c r="BY18" s="219"/>
      <c r="BZ18" s="219"/>
      <c r="CA18" s="219"/>
      <c r="CB18" s="219"/>
      <c r="CC18" s="219"/>
      <c r="CD18" s="219"/>
      <c r="CE18" s="226"/>
      <c r="CF18" s="237"/>
      <c r="CG18" s="29" t="str">
        <f t="shared" si="6"/>
        <v/>
      </c>
      <c r="CH18" s="229"/>
      <c r="CI18" s="226"/>
      <c r="CJ18" s="226"/>
      <c r="CK18" s="226"/>
      <c r="CL18" s="226"/>
      <c r="CM18" s="226"/>
      <c r="CN18" s="226"/>
      <c r="CO18" s="226"/>
      <c r="CP18" s="226"/>
      <c r="CQ18" s="226"/>
      <c r="CR18" s="25" t="str">
        <f t="shared" si="7"/>
        <v/>
      </c>
      <c r="CS18" s="476" t="str" cm="1">
        <f t="array" ref="CS18">mediaComposicaoGramatica(BK18,BV18,CR18,CG18,0.3,0.7)</f>
        <v/>
      </c>
      <c r="CT18" s="476" t="str">
        <f t="shared" si="8"/>
        <v/>
      </c>
      <c r="CU18" s="476" t="str">
        <f t="shared" si="9"/>
        <v/>
      </c>
      <c r="CV18" s="476" t="str">
        <f t="shared" si="10"/>
        <v/>
      </c>
      <c r="CW18" s="476" t="str">
        <f t="shared" si="11"/>
        <v/>
      </c>
    </row>
    <row r="19" spans="1:101" x14ac:dyDescent="0.25">
      <c r="A19" s="91">
        <f>IF('Avaliação Períodos'!A20=0,"",'Avaliação Períodos'!A20)</f>
        <v>21</v>
      </c>
      <c r="B19" s="386" t="str">
        <f>IF('Avaliação Períodos'!B20=0,"",'Avaliação Períodos'!B20)</f>
        <v>Mariana</v>
      </c>
      <c r="C19" s="387"/>
      <c r="D19" s="387"/>
      <c r="E19" s="387"/>
      <c r="F19" s="387"/>
      <c r="G19" s="387"/>
      <c r="H19" s="502"/>
      <c r="I19" s="218"/>
      <c r="J19" s="218"/>
      <c r="K19" s="218"/>
      <c r="L19" s="218"/>
      <c r="M19" s="218"/>
      <c r="N19" s="218"/>
      <c r="O19" s="218"/>
      <c r="P19" s="224"/>
      <c r="Q19" s="236"/>
      <c r="R19" s="29" t="str">
        <f t="shared" si="0"/>
        <v/>
      </c>
      <c r="S19" s="235"/>
      <c r="T19" s="218"/>
      <c r="U19" s="218"/>
      <c r="V19" s="218"/>
      <c r="W19" s="218"/>
      <c r="X19" s="218"/>
      <c r="Y19" s="218"/>
      <c r="Z19" s="218"/>
      <c r="AA19" s="224"/>
      <c r="AB19" s="236"/>
      <c r="AC19" s="29" t="str">
        <f t="shared" si="1"/>
        <v/>
      </c>
      <c r="AD19" s="235"/>
      <c r="AE19" s="218"/>
      <c r="AF19" s="218"/>
      <c r="AG19" s="218"/>
      <c r="AH19" s="218"/>
      <c r="AI19" s="218"/>
      <c r="AJ19" s="218"/>
      <c r="AK19" s="218"/>
      <c r="AL19" s="224"/>
      <c r="AM19" s="236"/>
      <c r="AN19" s="29" t="str">
        <f t="shared" si="2"/>
        <v/>
      </c>
      <c r="AO19" s="235"/>
      <c r="AP19" s="218"/>
      <c r="AQ19" s="218"/>
      <c r="AR19" s="218"/>
      <c r="AS19" s="218"/>
      <c r="AT19" s="218"/>
      <c r="AU19" s="218"/>
      <c r="AV19" s="218"/>
      <c r="AW19" s="224"/>
      <c r="AX19" s="236"/>
      <c r="AY19" s="29" t="str">
        <f t="shared" si="3"/>
        <v/>
      </c>
      <c r="AZ19" s="522" t="str" cm="1">
        <f t="array" ref="AZ19">mediaComposicaoGramatica(AC19,R19,AY19,AN19,0.3,0.7)</f>
        <v/>
      </c>
      <c r="BA19" s="502"/>
      <c r="BB19" s="218"/>
      <c r="BC19" s="218"/>
      <c r="BD19" s="218"/>
      <c r="BE19" s="218"/>
      <c r="BF19" s="218"/>
      <c r="BG19" s="218"/>
      <c r="BH19" s="218"/>
      <c r="BI19" s="224"/>
      <c r="BJ19" s="236"/>
      <c r="BK19" s="29" t="str">
        <f t="shared" si="4"/>
        <v/>
      </c>
      <c r="BL19" s="235"/>
      <c r="BM19" s="218"/>
      <c r="BN19" s="218"/>
      <c r="BO19" s="218"/>
      <c r="BP19" s="218"/>
      <c r="BQ19" s="218"/>
      <c r="BR19" s="218"/>
      <c r="BS19" s="218"/>
      <c r="BT19" s="224"/>
      <c r="BU19" s="236"/>
      <c r="BV19" s="29" t="str">
        <f t="shared" si="5"/>
        <v/>
      </c>
      <c r="BW19" s="235"/>
      <c r="BX19" s="218"/>
      <c r="BY19" s="218"/>
      <c r="BZ19" s="218"/>
      <c r="CA19" s="218"/>
      <c r="CB19" s="218"/>
      <c r="CC19" s="218"/>
      <c r="CD19" s="218"/>
      <c r="CE19" s="224"/>
      <c r="CF19" s="236"/>
      <c r="CG19" s="29" t="str">
        <f t="shared" si="6"/>
        <v/>
      </c>
      <c r="CH19" s="223"/>
      <c r="CI19" s="224"/>
      <c r="CJ19" s="224"/>
      <c r="CK19" s="224"/>
      <c r="CL19" s="224"/>
      <c r="CM19" s="224"/>
      <c r="CN19" s="224"/>
      <c r="CO19" s="224"/>
      <c r="CP19" s="224"/>
      <c r="CQ19" s="224"/>
      <c r="CR19" s="25" t="str">
        <f t="shared" si="7"/>
        <v/>
      </c>
      <c r="CS19" s="476" t="str" cm="1">
        <f t="array" ref="CS19">mediaComposicaoGramatica(BK19,BV19,CR19,CG19,0.3,0.7)</f>
        <v/>
      </c>
      <c r="CT19" s="476" t="str">
        <f t="shared" si="8"/>
        <v/>
      </c>
      <c r="CU19" s="476" t="str">
        <f t="shared" si="9"/>
        <v/>
      </c>
      <c r="CV19" s="476" t="str">
        <f t="shared" si="10"/>
        <v/>
      </c>
      <c r="CW19" s="476" t="str">
        <f t="shared" si="11"/>
        <v/>
      </c>
    </row>
    <row r="20" spans="1:101" x14ac:dyDescent="0.25">
      <c r="A20" s="90">
        <f>IF('Avaliação Períodos'!A21=0,"",'Avaliação Períodos'!A21)</f>
        <v>22</v>
      </c>
      <c r="B20" s="383" t="str">
        <f>IF('Avaliação Períodos'!B21=0,"",'Avaliação Períodos'!B21)</f>
        <v>Miguel</v>
      </c>
      <c r="C20" s="384"/>
      <c r="D20" s="384"/>
      <c r="E20" s="384"/>
      <c r="F20" s="384"/>
      <c r="G20" s="384"/>
      <c r="H20" s="503"/>
      <c r="I20" s="219"/>
      <c r="J20" s="219"/>
      <c r="K20" s="219"/>
      <c r="L20" s="219"/>
      <c r="M20" s="219"/>
      <c r="N20" s="219"/>
      <c r="O20" s="219"/>
      <c r="P20" s="226"/>
      <c r="Q20" s="237"/>
      <c r="R20" s="29" t="str">
        <f t="shared" si="0"/>
        <v/>
      </c>
      <c r="S20" s="229"/>
      <c r="T20" s="219"/>
      <c r="U20" s="219"/>
      <c r="V20" s="219"/>
      <c r="W20" s="219"/>
      <c r="X20" s="219"/>
      <c r="Y20" s="219"/>
      <c r="Z20" s="219"/>
      <c r="AA20" s="226"/>
      <c r="AB20" s="237"/>
      <c r="AC20" s="29" t="str">
        <f t="shared" si="1"/>
        <v/>
      </c>
      <c r="AD20" s="229"/>
      <c r="AE20" s="219"/>
      <c r="AF20" s="219"/>
      <c r="AG20" s="219"/>
      <c r="AH20" s="219"/>
      <c r="AI20" s="219"/>
      <c r="AJ20" s="219"/>
      <c r="AK20" s="219"/>
      <c r="AL20" s="226"/>
      <c r="AM20" s="237"/>
      <c r="AN20" s="29" t="str">
        <f t="shared" si="2"/>
        <v/>
      </c>
      <c r="AO20" s="229"/>
      <c r="AP20" s="219"/>
      <c r="AQ20" s="219"/>
      <c r="AR20" s="219"/>
      <c r="AS20" s="219"/>
      <c r="AT20" s="219"/>
      <c r="AU20" s="219"/>
      <c r="AV20" s="219"/>
      <c r="AW20" s="226"/>
      <c r="AX20" s="237"/>
      <c r="AY20" s="29" t="str">
        <f t="shared" si="3"/>
        <v/>
      </c>
      <c r="AZ20" s="522" t="str" cm="1">
        <f t="array" ref="AZ20">mediaComposicaoGramatica(AC20,R20,AY20,AN20,0.3,0.7)</f>
        <v/>
      </c>
      <c r="BA20" s="503"/>
      <c r="BB20" s="219"/>
      <c r="BC20" s="219"/>
      <c r="BD20" s="219"/>
      <c r="BE20" s="219"/>
      <c r="BF20" s="219"/>
      <c r="BG20" s="219"/>
      <c r="BH20" s="219"/>
      <c r="BI20" s="226"/>
      <c r="BJ20" s="237"/>
      <c r="BK20" s="29" t="str">
        <f t="shared" si="4"/>
        <v/>
      </c>
      <c r="BL20" s="229"/>
      <c r="BM20" s="219"/>
      <c r="BN20" s="219"/>
      <c r="BO20" s="219"/>
      <c r="BP20" s="219"/>
      <c r="BQ20" s="219"/>
      <c r="BR20" s="219"/>
      <c r="BS20" s="219"/>
      <c r="BT20" s="226"/>
      <c r="BU20" s="237"/>
      <c r="BV20" s="29" t="str">
        <f t="shared" si="5"/>
        <v/>
      </c>
      <c r="BW20" s="229"/>
      <c r="BX20" s="219"/>
      <c r="BY20" s="219"/>
      <c r="BZ20" s="219"/>
      <c r="CA20" s="219"/>
      <c r="CB20" s="219"/>
      <c r="CC20" s="219"/>
      <c r="CD20" s="219"/>
      <c r="CE20" s="226"/>
      <c r="CF20" s="237"/>
      <c r="CG20" s="29" t="str">
        <f t="shared" si="6"/>
        <v/>
      </c>
      <c r="CH20" s="229"/>
      <c r="CI20" s="226"/>
      <c r="CJ20" s="226"/>
      <c r="CK20" s="226"/>
      <c r="CL20" s="226"/>
      <c r="CM20" s="226"/>
      <c r="CN20" s="226"/>
      <c r="CO20" s="226"/>
      <c r="CP20" s="226"/>
      <c r="CQ20" s="226"/>
      <c r="CR20" s="25" t="str">
        <f t="shared" si="7"/>
        <v/>
      </c>
      <c r="CS20" s="476" t="str" cm="1">
        <f t="array" ref="CS20">mediaComposicaoGramatica(BK20,BV20,CR20,CG20,0.3,0.7)</f>
        <v/>
      </c>
      <c r="CT20" s="476" t="str">
        <f t="shared" si="8"/>
        <v/>
      </c>
      <c r="CU20" s="476" t="str">
        <f t="shared" si="9"/>
        <v/>
      </c>
      <c r="CV20" s="476" t="str">
        <f t="shared" si="10"/>
        <v/>
      </c>
      <c r="CW20" s="476" t="str">
        <f t="shared" si="11"/>
        <v/>
      </c>
    </row>
    <row r="21" spans="1:101" x14ac:dyDescent="0.25">
      <c r="A21" s="91">
        <f>IF('Avaliação Períodos'!A22=0,"",'Avaliação Períodos'!A22)</f>
        <v>23</v>
      </c>
      <c r="B21" s="386" t="str">
        <f>IF('Avaliação Períodos'!B22=0,"",'Avaliação Períodos'!B22)</f>
        <v>Sofia</v>
      </c>
      <c r="C21" s="387"/>
      <c r="D21" s="387"/>
      <c r="E21" s="387"/>
      <c r="F21" s="387"/>
      <c r="G21" s="387"/>
      <c r="H21" s="502"/>
      <c r="I21" s="218"/>
      <c r="J21" s="218"/>
      <c r="K21" s="218"/>
      <c r="L21" s="218"/>
      <c r="M21" s="218"/>
      <c r="N21" s="218"/>
      <c r="O21" s="218"/>
      <c r="P21" s="224"/>
      <c r="Q21" s="236"/>
      <c r="R21" s="29" t="str">
        <f t="shared" si="0"/>
        <v/>
      </c>
      <c r="S21" s="235"/>
      <c r="T21" s="218"/>
      <c r="U21" s="218"/>
      <c r="V21" s="218"/>
      <c r="W21" s="218"/>
      <c r="X21" s="218"/>
      <c r="Y21" s="218"/>
      <c r="Z21" s="218"/>
      <c r="AA21" s="224"/>
      <c r="AB21" s="236"/>
      <c r="AC21" s="29" t="str">
        <f t="shared" si="1"/>
        <v/>
      </c>
      <c r="AD21" s="235"/>
      <c r="AE21" s="218"/>
      <c r="AF21" s="218"/>
      <c r="AG21" s="218"/>
      <c r="AH21" s="218"/>
      <c r="AI21" s="218"/>
      <c r="AJ21" s="218"/>
      <c r="AK21" s="218"/>
      <c r="AL21" s="224"/>
      <c r="AM21" s="236"/>
      <c r="AN21" s="29" t="str">
        <f t="shared" si="2"/>
        <v/>
      </c>
      <c r="AO21" s="235"/>
      <c r="AP21" s="218"/>
      <c r="AQ21" s="218"/>
      <c r="AR21" s="218"/>
      <c r="AS21" s="218"/>
      <c r="AT21" s="218"/>
      <c r="AU21" s="218"/>
      <c r="AV21" s="218"/>
      <c r="AW21" s="224"/>
      <c r="AX21" s="236"/>
      <c r="AY21" s="29" t="str">
        <f t="shared" si="3"/>
        <v/>
      </c>
      <c r="AZ21" s="522" t="str" cm="1">
        <f t="array" ref="AZ21">mediaComposicaoGramatica(AC21,R21,AY21,AN21,0.3,0.7)</f>
        <v/>
      </c>
      <c r="BA21" s="502"/>
      <c r="BB21" s="218"/>
      <c r="BC21" s="218"/>
      <c r="BD21" s="218"/>
      <c r="BE21" s="218"/>
      <c r="BF21" s="218"/>
      <c r="BG21" s="218"/>
      <c r="BH21" s="218"/>
      <c r="BI21" s="224"/>
      <c r="BJ21" s="236"/>
      <c r="BK21" s="29" t="str">
        <f t="shared" si="4"/>
        <v/>
      </c>
      <c r="BL21" s="235"/>
      <c r="BM21" s="218"/>
      <c r="BN21" s="218"/>
      <c r="BO21" s="218"/>
      <c r="BP21" s="218"/>
      <c r="BQ21" s="218"/>
      <c r="BR21" s="218"/>
      <c r="BS21" s="218"/>
      <c r="BT21" s="224"/>
      <c r="BU21" s="236"/>
      <c r="BV21" s="29" t="str">
        <f t="shared" si="5"/>
        <v/>
      </c>
      <c r="BW21" s="235"/>
      <c r="BX21" s="218"/>
      <c r="BY21" s="218"/>
      <c r="BZ21" s="218"/>
      <c r="CA21" s="218"/>
      <c r="CB21" s="218"/>
      <c r="CC21" s="218"/>
      <c r="CD21" s="218"/>
      <c r="CE21" s="224"/>
      <c r="CF21" s="236"/>
      <c r="CG21" s="29" t="str">
        <f t="shared" si="6"/>
        <v/>
      </c>
      <c r="CH21" s="223"/>
      <c r="CI21" s="224"/>
      <c r="CJ21" s="224"/>
      <c r="CK21" s="224"/>
      <c r="CL21" s="224"/>
      <c r="CM21" s="224"/>
      <c r="CN21" s="224"/>
      <c r="CO21" s="224"/>
      <c r="CP21" s="224"/>
      <c r="CQ21" s="224"/>
      <c r="CR21" s="25" t="str">
        <f t="shared" si="7"/>
        <v/>
      </c>
      <c r="CS21" s="476" t="str" cm="1">
        <f t="array" ref="CS21">mediaComposicaoGramatica(BK21,BV21,CR21,CG21,0.3,0.7)</f>
        <v/>
      </c>
      <c r="CT21" s="476" t="str">
        <f t="shared" si="8"/>
        <v/>
      </c>
      <c r="CU21" s="476" t="str">
        <f t="shared" si="9"/>
        <v/>
      </c>
      <c r="CV21" s="476" t="str">
        <f t="shared" si="10"/>
        <v/>
      </c>
      <c r="CW21" s="476" t="str">
        <f t="shared" si="11"/>
        <v/>
      </c>
    </row>
    <row r="22" spans="1:101" x14ac:dyDescent="0.25">
      <c r="A22" s="90">
        <v>15</v>
      </c>
      <c r="B22" s="383" t="str">
        <f>IF('Avaliação Períodos'!B23=0,"",'Avaliação Períodos'!B23)</f>
        <v>Tiago Neves</v>
      </c>
      <c r="C22" s="384"/>
      <c r="D22" s="384"/>
      <c r="E22" s="384"/>
      <c r="F22" s="384"/>
      <c r="G22" s="384"/>
      <c r="H22" s="503"/>
      <c r="I22" s="219"/>
      <c r="J22" s="219"/>
      <c r="K22" s="219"/>
      <c r="L22" s="219"/>
      <c r="M22" s="219"/>
      <c r="N22" s="219"/>
      <c r="O22" s="219"/>
      <c r="P22" s="226"/>
      <c r="Q22" s="237"/>
      <c r="R22" s="29" t="str">
        <f t="shared" si="0"/>
        <v/>
      </c>
      <c r="S22" s="229"/>
      <c r="T22" s="219"/>
      <c r="U22" s="219"/>
      <c r="V22" s="219"/>
      <c r="W22" s="219"/>
      <c r="X22" s="219"/>
      <c r="Y22" s="219"/>
      <c r="Z22" s="219"/>
      <c r="AA22" s="226"/>
      <c r="AB22" s="237"/>
      <c r="AC22" s="29" t="str">
        <f t="shared" si="1"/>
        <v/>
      </c>
      <c r="AD22" s="229"/>
      <c r="AE22" s="219"/>
      <c r="AF22" s="219"/>
      <c r="AG22" s="219"/>
      <c r="AH22" s="219"/>
      <c r="AI22" s="219"/>
      <c r="AJ22" s="219"/>
      <c r="AK22" s="219"/>
      <c r="AL22" s="226"/>
      <c r="AM22" s="237"/>
      <c r="AN22" s="29" t="str">
        <f t="shared" si="2"/>
        <v/>
      </c>
      <c r="AO22" s="229"/>
      <c r="AP22" s="219"/>
      <c r="AQ22" s="219"/>
      <c r="AR22" s="219"/>
      <c r="AS22" s="219"/>
      <c r="AT22" s="219"/>
      <c r="AU22" s="219"/>
      <c r="AV22" s="219"/>
      <c r="AW22" s="226"/>
      <c r="AX22" s="237"/>
      <c r="AY22" s="29" t="str">
        <f t="shared" si="3"/>
        <v/>
      </c>
      <c r="AZ22" s="522" t="str" cm="1">
        <f t="array" ref="AZ22">mediaComposicaoGramatica(AC22,R22,AY22,AN22,0.3,0.7)</f>
        <v/>
      </c>
      <c r="BA22" s="503"/>
      <c r="BB22" s="219"/>
      <c r="BC22" s="219"/>
      <c r="BD22" s="219"/>
      <c r="BE22" s="219"/>
      <c r="BF22" s="219"/>
      <c r="BG22" s="219"/>
      <c r="BH22" s="219"/>
      <c r="BI22" s="226"/>
      <c r="BJ22" s="237"/>
      <c r="BK22" s="29" t="str">
        <f t="shared" si="4"/>
        <v/>
      </c>
      <c r="BL22" s="229"/>
      <c r="BM22" s="219"/>
      <c r="BN22" s="219"/>
      <c r="BO22" s="219"/>
      <c r="BP22" s="219"/>
      <c r="BQ22" s="219"/>
      <c r="BR22" s="219"/>
      <c r="BS22" s="219"/>
      <c r="BT22" s="226"/>
      <c r="BU22" s="237"/>
      <c r="BV22" s="29" t="str">
        <f t="shared" si="5"/>
        <v/>
      </c>
      <c r="BW22" s="229"/>
      <c r="BX22" s="219"/>
      <c r="BY22" s="219"/>
      <c r="BZ22" s="219"/>
      <c r="CA22" s="219"/>
      <c r="CB22" s="219"/>
      <c r="CC22" s="219"/>
      <c r="CD22" s="219"/>
      <c r="CE22" s="226"/>
      <c r="CF22" s="237"/>
      <c r="CG22" s="29" t="str">
        <f t="shared" si="6"/>
        <v/>
      </c>
      <c r="CH22" s="229"/>
      <c r="CI22" s="226"/>
      <c r="CJ22" s="226"/>
      <c r="CK22" s="226"/>
      <c r="CL22" s="226"/>
      <c r="CM22" s="226"/>
      <c r="CN22" s="226"/>
      <c r="CO22" s="226"/>
      <c r="CP22" s="226"/>
      <c r="CQ22" s="226"/>
      <c r="CR22" s="25" t="str">
        <f t="shared" si="7"/>
        <v/>
      </c>
      <c r="CS22" s="476" t="str" cm="1">
        <f t="array" ref="CS22">mediaComposicaoGramatica(BK22,BV22,CR22,CG22,0.3,0.7)</f>
        <v/>
      </c>
      <c r="CT22" s="476" t="str">
        <f t="shared" si="8"/>
        <v/>
      </c>
      <c r="CU22" s="476" t="str">
        <f t="shared" si="9"/>
        <v/>
      </c>
      <c r="CV22" s="476" t="str">
        <f t="shared" si="10"/>
        <v/>
      </c>
      <c r="CW22" s="476" t="str">
        <f t="shared" si="11"/>
        <v/>
      </c>
    </row>
    <row r="23" spans="1:101" x14ac:dyDescent="0.25">
      <c r="A23" s="91">
        <f>IF('Avaliação Períodos'!A24=0,"",'Avaliação Períodos'!A24)</f>
        <v>25</v>
      </c>
      <c r="B23" s="386" t="str">
        <f>IF('Avaliação Períodos'!B24=0,"",'Avaliação Períodos'!B24)</f>
        <v>Tiago Machado</v>
      </c>
      <c r="C23" s="387"/>
      <c r="D23" s="387"/>
      <c r="E23" s="387"/>
      <c r="F23" s="387"/>
      <c r="G23" s="387"/>
      <c r="H23" s="502"/>
      <c r="I23" s="218"/>
      <c r="J23" s="218"/>
      <c r="K23" s="218"/>
      <c r="L23" s="218"/>
      <c r="M23" s="218"/>
      <c r="N23" s="218"/>
      <c r="O23" s="218"/>
      <c r="P23" s="224"/>
      <c r="Q23" s="236"/>
      <c r="R23" s="29" t="str">
        <f t="shared" si="0"/>
        <v/>
      </c>
      <c r="S23" s="235"/>
      <c r="T23" s="218"/>
      <c r="U23" s="218"/>
      <c r="V23" s="218"/>
      <c r="W23" s="218"/>
      <c r="X23" s="218"/>
      <c r="Y23" s="218"/>
      <c r="Z23" s="218"/>
      <c r="AA23" s="224"/>
      <c r="AB23" s="236"/>
      <c r="AC23" s="29" t="str">
        <f t="shared" si="1"/>
        <v/>
      </c>
      <c r="AD23" s="235"/>
      <c r="AE23" s="218"/>
      <c r="AF23" s="218"/>
      <c r="AG23" s="218"/>
      <c r="AH23" s="218"/>
      <c r="AI23" s="218"/>
      <c r="AJ23" s="218"/>
      <c r="AK23" s="218"/>
      <c r="AL23" s="224"/>
      <c r="AM23" s="236"/>
      <c r="AN23" s="29" t="str">
        <f t="shared" si="2"/>
        <v/>
      </c>
      <c r="AO23" s="235"/>
      <c r="AP23" s="218"/>
      <c r="AQ23" s="218"/>
      <c r="AR23" s="218"/>
      <c r="AS23" s="218"/>
      <c r="AT23" s="218"/>
      <c r="AU23" s="218"/>
      <c r="AV23" s="218"/>
      <c r="AW23" s="224"/>
      <c r="AX23" s="236"/>
      <c r="AY23" s="29" t="str">
        <f t="shared" si="3"/>
        <v/>
      </c>
      <c r="AZ23" s="522" t="str" cm="1">
        <f t="array" ref="AZ23">mediaComposicaoGramatica(AC23,R23,AY23,AN23,0.3,0.7)</f>
        <v/>
      </c>
      <c r="BA23" s="502"/>
      <c r="BB23" s="218"/>
      <c r="BC23" s="218"/>
      <c r="BD23" s="218"/>
      <c r="BE23" s="218"/>
      <c r="BF23" s="218"/>
      <c r="BG23" s="218"/>
      <c r="BH23" s="218"/>
      <c r="BI23" s="224"/>
      <c r="BJ23" s="236"/>
      <c r="BK23" s="29" t="str">
        <f t="shared" si="4"/>
        <v/>
      </c>
      <c r="BL23" s="235"/>
      <c r="BM23" s="218"/>
      <c r="BN23" s="218"/>
      <c r="BO23" s="218"/>
      <c r="BP23" s="218"/>
      <c r="BQ23" s="218"/>
      <c r="BR23" s="218"/>
      <c r="BS23" s="218"/>
      <c r="BT23" s="224"/>
      <c r="BU23" s="236"/>
      <c r="BV23" s="29" t="str">
        <f t="shared" si="5"/>
        <v/>
      </c>
      <c r="BW23" s="235"/>
      <c r="BX23" s="218"/>
      <c r="BY23" s="218"/>
      <c r="BZ23" s="218"/>
      <c r="CA23" s="218"/>
      <c r="CB23" s="218"/>
      <c r="CC23" s="218"/>
      <c r="CD23" s="218"/>
      <c r="CE23" s="224"/>
      <c r="CF23" s="236"/>
      <c r="CG23" s="29" t="str">
        <f t="shared" si="6"/>
        <v/>
      </c>
      <c r="CH23" s="223"/>
      <c r="CI23" s="224"/>
      <c r="CJ23" s="224"/>
      <c r="CK23" s="224"/>
      <c r="CL23" s="224"/>
      <c r="CM23" s="224"/>
      <c r="CN23" s="224"/>
      <c r="CO23" s="224"/>
      <c r="CP23" s="224"/>
      <c r="CQ23" s="224"/>
      <c r="CR23" s="25" t="str">
        <f t="shared" si="7"/>
        <v/>
      </c>
      <c r="CS23" s="476" t="str" cm="1">
        <f t="array" ref="CS23">mediaComposicaoGramatica(BK23,BV23,CR23,CG23,0.3,0.7)</f>
        <v/>
      </c>
      <c r="CT23" s="476" t="str">
        <f t="shared" si="8"/>
        <v/>
      </c>
      <c r="CU23" s="476" t="str">
        <f t="shared" si="9"/>
        <v/>
      </c>
      <c r="CV23" s="476" t="str">
        <f t="shared" si="10"/>
        <v/>
      </c>
      <c r="CW23" s="476" t="str">
        <f t="shared" si="11"/>
        <v/>
      </c>
    </row>
    <row r="24" spans="1:101" x14ac:dyDescent="0.25">
      <c r="A24" s="90">
        <f>IF('Avaliação Períodos'!A25=0,"",'Avaliação Períodos'!A25)</f>
        <v>26</v>
      </c>
      <c r="B24" s="383" t="str">
        <f>IF('Avaliação Períodos'!B25=0,"",'Avaliação Períodos'!B25)</f>
        <v>Tomás Santos</v>
      </c>
      <c r="C24" s="384"/>
      <c r="D24" s="384"/>
      <c r="E24" s="384"/>
      <c r="F24" s="384"/>
      <c r="G24" s="384"/>
      <c r="H24" s="503"/>
      <c r="I24" s="219"/>
      <c r="J24" s="219"/>
      <c r="K24" s="219"/>
      <c r="L24" s="219"/>
      <c r="M24" s="219"/>
      <c r="N24" s="219"/>
      <c r="O24" s="219"/>
      <c r="P24" s="226"/>
      <c r="Q24" s="237"/>
      <c r="R24" s="29" t="str">
        <f t="shared" si="0"/>
        <v/>
      </c>
      <c r="S24" s="229"/>
      <c r="T24" s="219"/>
      <c r="U24" s="219"/>
      <c r="V24" s="219"/>
      <c r="W24" s="219"/>
      <c r="X24" s="219"/>
      <c r="Y24" s="219"/>
      <c r="Z24" s="219"/>
      <c r="AA24" s="226"/>
      <c r="AB24" s="237"/>
      <c r="AC24" s="29" t="str">
        <f t="shared" si="1"/>
        <v/>
      </c>
      <c r="AD24" s="229"/>
      <c r="AE24" s="219"/>
      <c r="AF24" s="219"/>
      <c r="AG24" s="219"/>
      <c r="AH24" s="219"/>
      <c r="AI24" s="219"/>
      <c r="AJ24" s="219"/>
      <c r="AK24" s="219"/>
      <c r="AL24" s="226"/>
      <c r="AM24" s="237"/>
      <c r="AN24" s="29" t="str">
        <f t="shared" si="2"/>
        <v/>
      </c>
      <c r="AO24" s="229"/>
      <c r="AP24" s="219"/>
      <c r="AQ24" s="219"/>
      <c r="AR24" s="219"/>
      <c r="AS24" s="219"/>
      <c r="AT24" s="219"/>
      <c r="AU24" s="219"/>
      <c r="AV24" s="219"/>
      <c r="AW24" s="226"/>
      <c r="AX24" s="237"/>
      <c r="AY24" s="29" t="str">
        <f t="shared" si="3"/>
        <v/>
      </c>
      <c r="AZ24" s="522" t="str" cm="1">
        <f t="array" ref="AZ24">mediaComposicaoGramatica(AC24,R24,AY24,AN24,0.3,0.7)</f>
        <v/>
      </c>
      <c r="BA24" s="503"/>
      <c r="BB24" s="219"/>
      <c r="BC24" s="219"/>
      <c r="BD24" s="219"/>
      <c r="BE24" s="219"/>
      <c r="BF24" s="219"/>
      <c r="BG24" s="219"/>
      <c r="BH24" s="219"/>
      <c r="BI24" s="226"/>
      <c r="BJ24" s="237"/>
      <c r="BK24" s="29" t="str">
        <f t="shared" si="4"/>
        <v/>
      </c>
      <c r="BL24" s="229"/>
      <c r="BM24" s="219"/>
      <c r="BN24" s="219"/>
      <c r="BO24" s="219"/>
      <c r="BP24" s="219"/>
      <c r="BQ24" s="219"/>
      <c r="BR24" s="219"/>
      <c r="BS24" s="219"/>
      <c r="BT24" s="226"/>
      <c r="BU24" s="237"/>
      <c r="BV24" s="29" t="str">
        <f t="shared" si="5"/>
        <v/>
      </c>
      <c r="BW24" s="229"/>
      <c r="BX24" s="219"/>
      <c r="BY24" s="219"/>
      <c r="BZ24" s="219"/>
      <c r="CA24" s="219"/>
      <c r="CB24" s="219"/>
      <c r="CC24" s="219"/>
      <c r="CD24" s="219"/>
      <c r="CE24" s="226"/>
      <c r="CF24" s="237"/>
      <c r="CG24" s="29" t="str">
        <f t="shared" si="6"/>
        <v/>
      </c>
      <c r="CH24" s="229"/>
      <c r="CI24" s="226"/>
      <c r="CJ24" s="226"/>
      <c r="CK24" s="226"/>
      <c r="CL24" s="226"/>
      <c r="CM24" s="226"/>
      <c r="CN24" s="226"/>
      <c r="CO24" s="226"/>
      <c r="CP24" s="226"/>
      <c r="CQ24" s="226"/>
      <c r="CR24" s="25" t="str">
        <f t="shared" si="7"/>
        <v/>
      </c>
      <c r="CS24" s="476" t="str" cm="1">
        <f t="array" ref="CS24">mediaComposicaoGramatica(BK24,BV24,CR24,CG24,0.3,0.7)</f>
        <v/>
      </c>
      <c r="CT24" s="476" t="str">
        <f t="shared" si="8"/>
        <v/>
      </c>
      <c r="CU24" s="476" t="str">
        <f t="shared" si="9"/>
        <v/>
      </c>
      <c r="CV24" s="476" t="str">
        <f t="shared" si="10"/>
        <v/>
      </c>
      <c r="CW24" s="476" t="str">
        <f t="shared" si="11"/>
        <v/>
      </c>
    </row>
    <row r="25" spans="1:101" x14ac:dyDescent="0.25">
      <c r="A25" s="91">
        <f>IF('Avaliação Períodos'!A26=0,"",'Avaliação Períodos'!A26)</f>
        <v>27</v>
      </c>
      <c r="B25" s="386" t="str">
        <f>IF('Avaliação Períodos'!B26=0,"",'Avaliação Períodos'!B26)</f>
        <v>Tomás António</v>
      </c>
      <c r="C25" s="387"/>
      <c r="D25" s="387"/>
      <c r="E25" s="387"/>
      <c r="F25" s="387"/>
      <c r="G25" s="387"/>
      <c r="H25" s="502"/>
      <c r="I25" s="218"/>
      <c r="J25" s="218"/>
      <c r="K25" s="218"/>
      <c r="L25" s="218"/>
      <c r="M25" s="218"/>
      <c r="N25" s="218"/>
      <c r="O25" s="218"/>
      <c r="P25" s="224"/>
      <c r="Q25" s="236"/>
      <c r="R25" s="29" t="str">
        <f t="shared" si="0"/>
        <v/>
      </c>
      <c r="S25" s="235"/>
      <c r="T25" s="218"/>
      <c r="U25" s="218"/>
      <c r="V25" s="218"/>
      <c r="W25" s="218"/>
      <c r="X25" s="218"/>
      <c r="Y25" s="218"/>
      <c r="Z25" s="218"/>
      <c r="AA25" s="224"/>
      <c r="AB25" s="236"/>
      <c r="AC25" s="29" t="str">
        <f t="shared" si="1"/>
        <v/>
      </c>
      <c r="AD25" s="235"/>
      <c r="AE25" s="218"/>
      <c r="AF25" s="218"/>
      <c r="AG25" s="218"/>
      <c r="AH25" s="218"/>
      <c r="AI25" s="218"/>
      <c r="AJ25" s="218"/>
      <c r="AK25" s="218"/>
      <c r="AL25" s="224"/>
      <c r="AM25" s="236"/>
      <c r="AN25" s="29" t="str">
        <f t="shared" si="2"/>
        <v/>
      </c>
      <c r="AO25" s="235"/>
      <c r="AP25" s="218"/>
      <c r="AQ25" s="218"/>
      <c r="AR25" s="218"/>
      <c r="AS25" s="218"/>
      <c r="AT25" s="218"/>
      <c r="AU25" s="218"/>
      <c r="AV25" s="218"/>
      <c r="AW25" s="224"/>
      <c r="AX25" s="236"/>
      <c r="AY25" s="29" t="str">
        <f t="shared" si="3"/>
        <v/>
      </c>
      <c r="AZ25" s="522" t="str" cm="1">
        <f t="array" ref="AZ25">mediaComposicaoGramatica(AC25,R25,AY25,AN25,0.3,0.7)</f>
        <v/>
      </c>
      <c r="BA25" s="502"/>
      <c r="BB25" s="218"/>
      <c r="BC25" s="218"/>
      <c r="BD25" s="218"/>
      <c r="BE25" s="218"/>
      <c r="BF25" s="218"/>
      <c r="BG25" s="218"/>
      <c r="BH25" s="218"/>
      <c r="BI25" s="224"/>
      <c r="BJ25" s="236"/>
      <c r="BK25" s="29" t="str">
        <f t="shared" si="4"/>
        <v/>
      </c>
      <c r="BL25" s="235"/>
      <c r="BM25" s="218"/>
      <c r="BN25" s="218"/>
      <c r="BO25" s="218"/>
      <c r="BP25" s="218"/>
      <c r="BQ25" s="218"/>
      <c r="BR25" s="218"/>
      <c r="BS25" s="218"/>
      <c r="BT25" s="224"/>
      <c r="BU25" s="236"/>
      <c r="BV25" s="29" t="str">
        <f t="shared" si="5"/>
        <v/>
      </c>
      <c r="BW25" s="235"/>
      <c r="BX25" s="218"/>
      <c r="BY25" s="218"/>
      <c r="BZ25" s="218"/>
      <c r="CA25" s="218"/>
      <c r="CB25" s="218"/>
      <c r="CC25" s="218"/>
      <c r="CD25" s="218"/>
      <c r="CE25" s="224"/>
      <c r="CF25" s="236"/>
      <c r="CG25" s="29" t="str">
        <f t="shared" si="6"/>
        <v/>
      </c>
      <c r="CH25" s="223"/>
      <c r="CI25" s="224"/>
      <c r="CJ25" s="224"/>
      <c r="CK25" s="224"/>
      <c r="CL25" s="224"/>
      <c r="CM25" s="224"/>
      <c r="CN25" s="224"/>
      <c r="CO25" s="224"/>
      <c r="CP25" s="224"/>
      <c r="CQ25" s="224"/>
      <c r="CR25" s="25" t="str">
        <f t="shared" si="7"/>
        <v/>
      </c>
      <c r="CS25" s="476" t="str" cm="1">
        <f t="array" ref="CS25">mediaComposicaoGramatica(BK25,BV25,CR25,CG25,0.3,0.7)</f>
        <v/>
      </c>
      <c r="CT25" s="476" t="str">
        <f t="shared" si="8"/>
        <v/>
      </c>
      <c r="CU25" s="476" t="str">
        <f t="shared" si="9"/>
        <v/>
      </c>
      <c r="CV25" s="476" t="str">
        <f t="shared" si="10"/>
        <v/>
      </c>
      <c r="CW25" s="476" t="str">
        <f t="shared" si="11"/>
        <v/>
      </c>
    </row>
    <row r="26" spans="1:101" x14ac:dyDescent="0.25">
      <c r="A26" s="90">
        <f>IF('Avaliação Períodos'!A27=0,"",'Avaliação Períodos'!A27)</f>
        <v>28</v>
      </c>
      <c r="B26" s="383" t="str">
        <f>IF('Avaliação Períodos'!B27=0,"",'Avaliação Períodos'!B27)</f>
        <v>Sony</v>
      </c>
      <c r="C26" s="384"/>
      <c r="D26" s="384"/>
      <c r="E26" s="384"/>
      <c r="F26" s="384"/>
      <c r="G26" s="384"/>
      <c r="H26" s="503"/>
      <c r="I26" s="219"/>
      <c r="J26" s="219"/>
      <c r="K26" s="219"/>
      <c r="L26" s="219"/>
      <c r="M26" s="219"/>
      <c r="N26" s="219"/>
      <c r="O26" s="219"/>
      <c r="P26" s="226"/>
      <c r="Q26" s="237"/>
      <c r="R26" s="29" t="str">
        <f t="shared" si="0"/>
        <v/>
      </c>
      <c r="S26" s="229"/>
      <c r="T26" s="219"/>
      <c r="U26" s="219"/>
      <c r="V26" s="219"/>
      <c r="W26" s="219"/>
      <c r="X26" s="219"/>
      <c r="Y26" s="219"/>
      <c r="Z26" s="219"/>
      <c r="AA26" s="226"/>
      <c r="AB26" s="237"/>
      <c r="AC26" s="29" t="str">
        <f t="shared" si="1"/>
        <v/>
      </c>
      <c r="AD26" s="229"/>
      <c r="AE26" s="219"/>
      <c r="AF26" s="219"/>
      <c r="AG26" s="219"/>
      <c r="AH26" s="219"/>
      <c r="AI26" s="219"/>
      <c r="AJ26" s="219"/>
      <c r="AK26" s="219"/>
      <c r="AL26" s="226"/>
      <c r="AM26" s="237"/>
      <c r="AN26" s="29" t="str">
        <f t="shared" si="2"/>
        <v/>
      </c>
      <c r="AO26" s="229"/>
      <c r="AP26" s="219"/>
      <c r="AQ26" s="219"/>
      <c r="AR26" s="219"/>
      <c r="AS26" s="219"/>
      <c r="AT26" s="219"/>
      <c r="AU26" s="219"/>
      <c r="AV26" s="219"/>
      <c r="AW26" s="226"/>
      <c r="AX26" s="237"/>
      <c r="AY26" s="29" t="str">
        <f t="shared" si="3"/>
        <v/>
      </c>
      <c r="AZ26" s="522" t="str" cm="1">
        <f t="array" ref="AZ26">mediaComposicaoGramatica(AC26,R26,AY26,AN26,0.3,0.7)</f>
        <v/>
      </c>
      <c r="BA26" s="503"/>
      <c r="BB26" s="219"/>
      <c r="BC26" s="219"/>
      <c r="BD26" s="219"/>
      <c r="BE26" s="219"/>
      <c r="BF26" s="219"/>
      <c r="BG26" s="219"/>
      <c r="BH26" s="219"/>
      <c r="BI26" s="226"/>
      <c r="BJ26" s="237"/>
      <c r="BK26" s="29" t="str">
        <f t="shared" si="4"/>
        <v/>
      </c>
      <c r="BL26" s="229"/>
      <c r="BM26" s="219"/>
      <c r="BN26" s="219"/>
      <c r="BO26" s="219"/>
      <c r="BP26" s="219"/>
      <c r="BQ26" s="219"/>
      <c r="BR26" s="219"/>
      <c r="BS26" s="219"/>
      <c r="BT26" s="226"/>
      <c r="BU26" s="237"/>
      <c r="BV26" s="29" t="str">
        <f t="shared" si="5"/>
        <v/>
      </c>
      <c r="BW26" s="229"/>
      <c r="BX26" s="219"/>
      <c r="BY26" s="219"/>
      <c r="BZ26" s="219"/>
      <c r="CA26" s="219"/>
      <c r="CB26" s="219"/>
      <c r="CC26" s="219"/>
      <c r="CD26" s="219"/>
      <c r="CE26" s="226"/>
      <c r="CF26" s="237"/>
      <c r="CG26" s="29" t="str">
        <f t="shared" si="6"/>
        <v/>
      </c>
      <c r="CH26" s="229"/>
      <c r="CI26" s="226"/>
      <c r="CJ26" s="226"/>
      <c r="CK26" s="226"/>
      <c r="CL26" s="226"/>
      <c r="CM26" s="226"/>
      <c r="CN26" s="226"/>
      <c r="CO26" s="226"/>
      <c r="CP26" s="226"/>
      <c r="CQ26" s="226"/>
      <c r="CR26" s="25" t="str">
        <f t="shared" si="7"/>
        <v/>
      </c>
      <c r="CS26" s="476" t="str" cm="1">
        <f t="array" ref="CS26">mediaComposicaoGramatica(BK26,BV26,CR26,CG26,0.3,0.7)</f>
        <v/>
      </c>
      <c r="CT26" s="476" t="str">
        <f t="shared" si="8"/>
        <v/>
      </c>
      <c r="CU26" s="476" t="str">
        <f t="shared" si="9"/>
        <v/>
      </c>
      <c r="CV26" s="476" t="str">
        <f t="shared" si="10"/>
        <v/>
      </c>
      <c r="CW26" s="476" t="str">
        <f t="shared" si="11"/>
        <v/>
      </c>
    </row>
    <row r="27" spans="1:101" x14ac:dyDescent="0.25">
      <c r="A27" s="91">
        <f>IF('Avaliação Períodos'!A28=0,"",'Avaliação Períodos'!A28)</f>
        <v>20</v>
      </c>
      <c r="B27" s="386" t="str">
        <f>IF('Avaliação Períodos'!B28=0,"",'Avaliação Períodos'!B28)</f>
        <v/>
      </c>
      <c r="C27" s="387"/>
      <c r="D27" s="387"/>
      <c r="E27" s="387"/>
      <c r="F27" s="387"/>
      <c r="G27" s="387"/>
      <c r="H27" s="502"/>
      <c r="I27" s="218"/>
      <c r="J27" s="218"/>
      <c r="K27" s="218"/>
      <c r="L27" s="218"/>
      <c r="M27" s="218"/>
      <c r="N27" s="218"/>
      <c r="O27" s="218"/>
      <c r="P27" s="224"/>
      <c r="Q27" s="236"/>
      <c r="R27" s="29" t="str">
        <f t="shared" si="0"/>
        <v/>
      </c>
      <c r="S27" s="235"/>
      <c r="T27" s="218"/>
      <c r="U27" s="218"/>
      <c r="V27" s="218"/>
      <c r="W27" s="218"/>
      <c r="X27" s="218"/>
      <c r="Y27" s="218"/>
      <c r="Z27" s="218"/>
      <c r="AA27" s="224"/>
      <c r="AB27" s="236"/>
      <c r="AC27" s="29" t="str">
        <f t="shared" si="1"/>
        <v/>
      </c>
      <c r="AD27" s="235"/>
      <c r="AE27" s="218"/>
      <c r="AF27" s="218"/>
      <c r="AG27" s="218"/>
      <c r="AH27" s="218"/>
      <c r="AI27" s="218"/>
      <c r="AJ27" s="218"/>
      <c r="AK27" s="218"/>
      <c r="AL27" s="224"/>
      <c r="AM27" s="236"/>
      <c r="AN27" s="29" t="str">
        <f t="shared" si="2"/>
        <v/>
      </c>
      <c r="AO27" s="235"/>
      <c r="AP27" s="218"/>
      <c r="AQ27" s="218"/>
      <c r="AR27" s="218"/>
      <c r="AS27" s="218"/>
      <c r="AT27" s="218"/>
      <c r="AU27" s="218"/>
      <c r="AV27" s="218"/>
      <c r="AW27" s="224"/>
      <c r="AX27" s="236"/>
      <c r="AY27" s="29" t="str">
        <f t="shared" si="3"/>
        <v/>
      </c>
      <c r="AZ27" s="522" t="str" cm="1">
        <f t="array" ref="AZ27">mediaComposicaoGramatica(AC27,R27,AY27,AN27,0.3,0.7)</f>
        <v/>
      </c>
      <c r="BA27" s="502"/>
      <c r="BB27" s="218"/>
      <c r="BC27" s="218"/>
      <c r="BD27" s="218"/>
      <c r="BE27" s="218"/>
      <c r="BF27" s="218"/>
      <c r="BG27" s="218"/>
      <c r="BH27" s="218"/>
      <c r="BI27" s="224"/>
      <c r="BJ27" s="236"/>
      <c r="BK27" s="29" t="str">
        <f t="shared" si="4"/>
        <v/>
      </c>
      <c r="BL27" s="235"/>
      <c r="BM27" s="218"/>
      <c r="BN27" s="218"/>
      <c r="BO27" s="218"/>
      <c r="BP27" s="218"/>
      <c r="BQ27" s="218"/>
      <c r="BR27" s="218"/>
      <c r="BS27" s="218"/>
      <c r="BT27" s="224"/>
      <c r="BU27" s="236"/>
      <c r="BV27" s="29" t="str">
        <f t="shared" si="5"/>
        <v/>
      </c>
      <c r="BW27" s="235"/>
      <c r="BX27" s="218"/>
      <c r="BY27" s="218"/>
      <c r="BZ27" s="218"/>
      <c r="CA27" s="218"/>
      <c r="CB27" s="218"/>
      <c r="CC27" s="218"/>
      <c r="CD27" s="218"/>
      <c r="CE27" s="224"/>
      <c r="CF27" s="236"/>
      <c r="CG27" s="29" t="str">
        <f t="shared" si="6"/>
        <v/>
      </c>
      <c r="CH27" s="223"/>
      <c r="CI27" s="224"/>
      <c r="CJ27" s="224"/>
      <c r="CK27" s="224"/>
      <c r="CL27" s="224"/>
      <c r="CM27" s="224"/>
      <c r="CN27" s="224"/>
      <c r="CO27" s="224"/>
      <c r="CP27" s="224"/>
      <c r="CQ27" s="224"/>
      <c r="CR27" s="25" t="str">
        <f t="shared" si="7"/>
        <v/>
      </c>
      <c r="CS27" s="476" t="str" cm="1">
        <f t="array" ref="CS27">mediaComposicaoGramatica(BK27,BV27,CR27,CG27,0.3,0.7)</f>
        <v/>
      </c>
      <c r="CT27" s="476" t="str">
        <f t="shared" si="8"/>
        <v/>
      </c>
      <c r="CU27" s="476" t="str">
        <f t="shared" si="9"/>
        <v/>
      </c>
      <c r="CV27" s="476" t="str">
        <f t="shared" si="10"/>
        <v/>
      </c>
      <c r="CW27" s="476" t="str">
        <f t="shared" si="11"/>
        <v/>
      </c>
    </row>
    <row r="28" spans="1:101" x14ac:dyDescent="0.25">
      <c r="A28" s="90">
        <f>IF('Avaliação Períodos'!A29=0,"",'Avaliação Períodos'!A29)</f>
        <v>21</v>
      </c>
      <c r="B28" s="383" t="str">
        <f>IF('Avaliação Períodos'!B29=0,"",'Avaliação Períodos'!B29)</f>
        <v/>
      </c>
      <c r="C28" s="384"/>
      <c r="D28" s="384"/>
      <c r="E28" s="384"/>
      <c r="F28" s="384"/>
      <c r="G28" s="384"/>
      <c r="H28" s="503"/>
      <c r="I28" s="219"/>
      <c r="J28" s="219"/>
      <c r="K28" s="219"/>
      <c r="L28" s="219"/>
      <c r="M28" s="219"/>
      <c r="N28" s="219"/>
      <c r="O28" s="219"/>
      <c r="P28" s="226"/>
      <c r="Q28" s="237"/>
      <c r="R28" s="29" t="str">
        <f t="shared" si="0"/>
        <v/>
      </c>
      <c r="S28" s="229"/>
      <c r="T28" s="219"/>
      <c r="U28" s="219"/>
      <c r="V28" s="219"/>
      <c r="W28" s="219"/>
      <c r="X28" s="219"/>
      <c r="Y28" s="219"/>
      <c r="Z28" s="219"/>
      <c r="AA28" s="226"/>
      <c r="AB28" s="237"/>
      <c r="AC28" s="29" t="str">
        <f t="shared" si="1"/>
        <v/>
      </c>
      <c r="AD28" s="229"/>
      <c r="AE28" s="219"/>
      <c r="AF28" s="219"/>
      <c r="AG28" s="219"/>
      <c r="AH28" s="219"/>
      <c r="AI28" s="219"/>
      <c r="AJ28" s="219"/>
      <c r="AK28" s="219"/>
      <c r="AL28" s="226"/>
      <c r="AM28" s="237"/>
      <c r="AN28" s="29" t="str">
        <f t="shared" si="2"/>
        <v/>
      </c>
      <c r="AO28" s="229"/>
      <c r="AP28" s="219"/>
      <c r="AQ28" s="219"/>
      <c r="AR28" s="219"/>
      <c r="AS28" s="219"/>
      <c r="AT28" s="219"/>
      <c r="AU28" s="219"/>
      <c r="AV28" s="219"/>
      <c r="AW28" s="226"/>
      <c r="AX28" s="237"/>
      <c r="AY28" s="29" t="str">
        <f t="shared" si="3"/>
        <v/>
      </c>
      <c r="AZ28" s="522" t="str" cm="1">
        <f t="array" ref="AZ28">mediaComposicaoGramatica(AC28,R28,AY28,AN28,0.3,0.7)</f>
        <v/>
      </c>
      <c r="BA28" s="503"/>
      <c r="BB28" s="219"/>
      <c r="BC28" s="219"/>
      <c r="BD28" s="219"/>
      <c r="BE28" s="219"/>
      <c r="BF28" s="219"/>
      <c r="BG28" s="219"/>
      <c r="BH28" s="219"/>
      <c r="BI28" s="226"/>
      <c r="BJ28" s="237"/>
      <c r="BK28" s="29" t="str">
        <f t="shared" si="4"/>
        <v/>
      </c>
      <c r="BL28" s="229"/>
      <c r="BM28" s="219"/>
      <c r="BN28" s="219"/>
      <c r="BO28" s="219"/>
      <c r="BP28" s="219"/>
      <c r="BQ28" s="219"/>
      <c r="BR28" s="219"/>
      <c r="BS28" s="219"/>
      <c r="BT28" s="226"/>
      <c r="BU28" s="237"/>
      <c r="BV28" s="29" t="str">
        <f t="shared" si="5"/>
        <v/>
      </c>
      <c r="BW28" s="229"/>
      <c r="BX28" s="219"/>
      <c r="BY28" s="219"/>
      <c r="BZ28" s="219"/>
      <c r="CA28" s="219"/>
      <c r="CB28" s="219"/>
      <c r="CC28" s="219"/>
      <c r="CD28" s="219"/>
      <c r="CE28" s="226"/>
      <c r="CF28" s="237"/>
      <c r="CG28" s="29" t="str">
        <f t="shared" si="6"/>
        <v/>
      </c>
      <c r="CH28" s="229"/>
      <c r="CI28" s="226"/>
      <c r="CJ28" s="226"/>
      <c r="CK28" s="226"/>
      <c r="CL28" s="226"/>
      <c r="CM28" s="226"/>
      <c r="CN28" s="226"/>
      <c r="CO28" s="226"/>
      <c r="CP28" s="226"/>
      <c r="CQ28" s="226"/>
      <c r="CR28" s="25" t="str">
        <f t="shared" si="7"/>
        <v/>
      </c>
      <c r="CS28" s="476" t="str" cm="1">
        <f t="array" ref="CS28">mediaComposicaoGramatica(BK28,BV28,CR28,CG28,0.3,0.7)</f>
        <v/>
      </c>
      <c r="CT28" s="476" t="str">
        <f t="shared" si="8"/>
        <v/>
      </c>
      <c r="CU28" s="476" t="str">
        <f t="shared" si="9"/>
        <v/>
      </c>
      <c r="CV28" s="476" t="str">
        <f t="shared" si="10"/>
        <v/>
      </c>
      <c r="CW28" s="476" t="str">
        <f t="shared" si="11"/>
        <v/>
      </c>
    </row>
    <row r="29" spans="1:101" x14ac:dyDescent="0.25">
      <c r="A29" s="91">
        <f>IF('Avaliação Períodos'!A30=0,"",'Avaliação Períodos'!A30)</f>
        <v>22</v>
      </c>
      <c r="B29" s="386" t="str">
        <f>IF('Avaliação Períodos'!B30=0,"",'Avaliação Períodos'!B30)</f>
        <v/>
      </c>
      <c r="C29" s="387"/>
      <c r="D29" s="387"/>
      <c r="E29" s="387"/>
      <c r="F29" s="387"/>
      <c r="G29" s="387"/>
      <c r="H29" s="502"/>
      <c r="I29" s="218"/>
      <c r="J29" s="218"/>
      <c r="K29" s="218"/>
      <c r="L29" s="218"/>
      <c r="M29" s="218"/>
      <c r="N29" s="218"/>
      <c r="O29" s="218"/>
      <c r="P29" s="231"/>
      <c r="Q29" s="238"/>
      <c r="R29" s="29" t="str">
        <f t="shared" si="0"/>
        <v/>
      </c>
      <c r="S29" s="235"/>
      <c r="T29" s="218"/>
      <c r="U29" s="218"/>
      <c r="V29" s="218"/>
      <c r="W29" s="218"/>
      <c r="X29" s="218"/>
      <c r="Y29" s="218"/>
      <c r="Z29" s="218"/>
      <c r="AA29" s="231"/>
      <c r="AB29" s="238"/>
      <c r="AC29" s="29" t="str">
        <f t="shared" si="1"/>
        <v/>
      </c>
      <c r="AD29" s="235"/>
      <c r="AE29" s="218"/>
      <c r="AF29" s="218"/>
      <c r="AG29" s="218"/>
      <c r="AH29" s="218"/>
      <c r="AI29" s="218"/>
      <c r="AJ29" s="218"/>
      <c r="AK29" s="218"/>
      <c r="AL29" s="231"/>
      <c r="AM29" s="238"/>
      <c r="AN29" s="29" t="str">
        <f t="shared" si="2"/>
        <v/>
      </c>
      <c r="AO29" s="235"/>
      <c r="AP29" s="218"/>
      <c r="AQ29" s="218"/>
      <c r="AR29" s="218"/>
      <c r="AS29" s="218"/>
      <c r="AT29" s="218"/>
      <c r="AU29" s="218"/>
      <c r="AV29" s="218"/>
      <c r="AW29" s="231"/>
      <c r="AX29" s="238"/>
      <c r="AY29" s="29" t="str">
        <f t="shared" ref="AY29:AY37" si="12">IF(COUNT(AO29:AX29)=0,"",SUM(AO29:AX29))</f>
        <v/>
      </c>
      <c r="AZ29" s="522" t="str" cm="1">
        <f t="array" ref="AZ29">mediaComposicaoGramatica(AC29,R29,AY29,AN29,0.3,0.7)</f>
        <v/>
      </c>
      <c r="BA29" s="502"/>
      <c r="BB29" s="218"/>
      <c r="BC29" s="218"/>
      <c r="BD29" s="218"/>
      <c r="BE29" s="218"/>
      <c r="BF29" s="218"/>
      <c r="BG29" s="218"/>
      <c r="BH29" s="218"/>
      <c r="BI29" s="231"/>
      <c r="BJ29" s="238"/>
      <c r="BK29" s="29" t="str">
        <f t="shared" si="4"/>
        <v/>
      </c>
      <c r="BL29" s="235"/>
      <c r="BM29" s="218"/>
      <c r="BN29" s="218"/>
      <c r="BO29" s="218"/>
      <c r="BP29" s="218"/>
      <c r="BQ29" s="218"/>
      <c r="BR29" s="218"/>
      <c r="BS29" s="218"/>
      <c r="BT29" s="231"/>
      <c r="BU29" s="238"/>
      <c r="BV29" s="29" t="str">
        <f t="shared" si="5"/>
        <v/>
      </c>
      <c r="BW29" s="235"/>
      <c r="BX29" s="218"/>
      <c r="BY29" s="218"/>
      <c r="BZ29" s="218"/>
      <c r="CA29" s="218"/>
      <c r="CB29" s="218"/>
      <c r="CC29" s="218"/>
      <c r="CD29" s="218"/>
      <c r="CE29" s="231"/>
      <c r="CF29" s="238"/>
      <c r="CG29" s="29" t="str">
        <f t="shared" si="6"/>
        <v/>
      </c>
      <c r="CH29" s="230"/>
      <c r="CI29" s="231"/>
      <c r="CJ29" s="231"/>
      <c r="CK29" s="231"/>
      <c r="CL29" s="231"/>
      <c r="CM29" s="231"/>
      <c r="CN29" s="231"/>
      <c r="CO29" s="231"/>
      <c r="CP29" s="231"/>
      <c r="CQ29" s="231"/>
      <c r="CR29" s="25" t="str">
        <f t="shared" si="7"/>
        <v/>
      </c>
      <c r="CS29" s="476" t="str" cm="1">
        <f t="array" ref="CS29">mediaComposicaoGramatica(BK29,BV29,CR29,CG29,0.3,0.7)</f>
        <v/>
      </c>
      <c r="CT29" s="476" t="str">
        <f t="shared" si="8"/>
        <v/>
      </c>
      <c r="CU29" s="476" t="str">
        <f t="shared" si="9"/>
        <v/>
      </c>
      <c r="CV29" s="476" t="str">
        <f t="shared" si="10"/>
        <v/>
      </c>
      <c r="CW29" s="476" t="str">
        <f t="shared" si="11"/>
        <v/>
      </c>
    </row>
    <row r="30" spans="1:101" x14ac:dyDescent="0.25">
      <c r="A30" s="90">
        <f>IF('Avaliação Períodos'!A31=0,"",'Avaliação Períodos'!A31)</f>
        <v>23</v>
      </c>
      <c r="B30" s="383" t="str">
        <f>IF('Avaliação Períodos'!B31=0,"",'Avaliação Períodos'!B31)</f>
        <v/>
      </c>
      <c r="C30" s="384"/>
      <c r="D30" s="384"/>
      <c r="E30" s="384"/>
      <c r="F30" s="384"/>
      <c r="G30" s="384"/>
      <c r="H30" s="503"/>
      <c r="I30" s="219"/>
      <c r="J30" s="219"/>
      <c r="K30" s="219"/>
      <c r="L30" s="219"/>
      <c r="M30" s="219"/>
      <c r="N30" s="219"/>
      <c r="O30" s="219"/>
      <c r="P30" s="226"/>
      <c r="Q30" s="237"/>
      <c r="R30" s="29" t="str">
        <f t="shared" si="0"/>
        <v/>
      </c>
      <c r="S30" s="229"/>
      <c r="T30" s="219"/>
      <c r="U30" s="219"/>
      <c r="V30" s="219"/>
      <c r="W30" s="219"/>
      <c r="X30" s="219"/>
      <c r="Y30" s="219"/>
      <c r="Z30" s="219"/>
      <c r="AA30" s="226"/>
      <c r="AB30" s="237"/>
      <c r="AC30" s="29" t="str">
        <f t="shared" si="1"/>
        <v/>
      </c>
      <c r="AD30" s="229"/>
      <c r="AE30" s="219"/>
      <c r="AF30" s="219"/>
      <c r="AG30" s="219"/>
      <c r="AH30" s="219"/>
      <c r="AI30" s="219"/>
      <c r="AJ30" s="219"/>
      <c r="AK30" s="219"/>
      <c r="AL30" s="226"/>
      <c r="AM30" s="237"/>
      <c r="AN30" s="29" t="str">
        <f t="shared" si="2"/>
        <v/>
      </c>
      <c r="AO30" s="229"/>
      <c r="AP30" s="219"/>
      <c r="AQ30" s="219"/>
      <c r="AR30" s="219"/>
      <c r="AS30" s="219"/>
      <c r="AT30" s="219"/>
      <c r="AU30" s="219"/>
      <c r="AV30" s="219"/>
      <c r="AW30" s="226"/>
      <c r="AX30" s="237"/>
      <c r="AY30" s="29" t="str">
        <f t="shared" si="12"/>
        <v/>
      </c>
      <c r="AZ30" s="522" t="str" cm="1">
        <f t="array" ref="AZ30">mediaComposicaoGramatica(AC30,R30,AY30,AN30,0.3,0.7)</f>
        <v/>
      </c>
      <c r="BA30" s="503"/>
      <c r="BB30" s="219"/>
      <c r="BC30" s="219"/>
      <c r="BD30" s="219"/>
      <c r="BE30" s="219"/>
      <c r="BF30" s="219"/>
      <c r="BG30" s="219"/>
      <c r="BH30" s="219"/>
      <c r="BI30" s="226"/>
      <c r="BJ30" s="237"/>
      <c r="BK30" s="29" t="str">
        <f t="shared" si="4"/>
        <v/>
      </c>
      <c r="BL30" s="229"/>
      <c r="BM30" s="219"/>
      <c r="BN30" s="219"/>
      <c r="BO30" s="219"/>
      <c r="BP30" s="219"/>
      <c r="BQ30" s="219"/>
      <c r="BR30" s="219"/>
      <c r="BS30" s="219"/>
      <c r="BT30" s="226"/>
      <c r="BU30" s="237"/>
      <c r="BV30" s="29" t="str">
        <f t="shared" si="5"/>
        <v/>
      </c>
      <c r="BW30" s="229"/>
      <c r="BX30" s="219"/>
      <c r="BY30" s="219"/>
      <c r="BZ30" s="219"/>
      <c r="CA30" s="219"/>
      <c r="CB30" s="219"/>
      <c r="CC30" s="219"/>
      <c r="CD30" s="219"/>
      <c r="CE30" s="226"/>
      <c r="CF30" s="237"/>
      <c r="CG30" s="29" t="str">
        <f t="shared" si="6"/>
        <v/>
      </c>
      <c r="CH30" s="229"/>
      <c r="CI30" s="226"/>
      <c r="CJ30" s="226"/>
      <c r="CK30" s="226"/>
      <c r="CL30" s="226"/>
      <c r="CM30" s="226"/>
      <c r="CN30" s="226"/>
      <c r="CO30" s="226"/>
      <c r="CP30" s="226"/>
      <c r="CQ30" s="226"/>
      <c r="CR30" s="25" t="str">
        <f t="shared" si="7"/>
        <v/>
      </c>
      <c r="CS30" s="476" t="str" cm="1">
        <f t="array" ref="CS30">mediaComposicaoGramatica(BK30,BV30,CR30,CG30,0.3,0.7)</f>
        <v/>
      </c>
      <c r="CT30" s="476" t="str">
        <f t="shared" si="8"/>
        <v/>
      </c>
      <c r="CU30" s="476" t="str">
        <f t="shared" si="9"/>
        <v/>
      </c>
      <c r="CV30" s="476" t="str">
        <f t="shared" si="10"/>
        <v/>
      </c>
      <c r="CW30" s="476" t="str">
        <f t="shared" si="11"/>
        <v/>
      </c>
    </row>
    <row r="31" spans="1:101" x14ac:dyDescent="0.25">
      <c r="A31" s="91" t="str">
        <f>IF('Avaliação Períodos'!A32=0,"",'Avaliação Períodos'!A32)</f>
        <v/>
      </c>
      <c r="B31" s="386" t="str">
        <f>IF('Avaliação Períodos'!B32=0,"",'Avaliação Períodos'!B32)</f>
        <v/>
      </c>
      <c r="C31" s="387"/>
      <c r="D31" s="387"/>
      <c r="E31" s="387"/>
      <c r="F31" s="387"/>
      <c r="G31" s="387"/>
      <c r="H31" s="502"/>
      <c r="I31" s="218"/>
      <c r="J31" s="218"/>
      <c r="K31" s="218"/>
      <c r="L31" s="218"/>
      <c r="M31" s="218"/>
      <c r="N31" s="218"/>
      <c r="O31" s="218"/>
      <c r="P31" s="224"/>
      <c r="Q31" s="236"/>
      <c r="R31" s="29" t="str">
        <f t="shared" si="0"/>
        <v/>
      </c>
      <c r="S31" s="235"/>
      <c r="T31" s="218"/>
      <c r="U31" s="218"/>
      <c r="V31" s="218"/>
      <c r="W31" s="218"/>
      <c r="X31" s="218"/>
      <c r="Y31" s="218"/>
      <c r="Z31" s="218"/>
      <c r="AA31" s="224"/>
      <c r="AB31" s="236"/>
      <c r="AC31" s="29" t="str">
        <f t="shared" si="1"/>
        <v/>
      </c>
      <c r="AD31" s="235"/>
      <c r="AE31" s="218"/>
      <c r="AF31" s="218"/>
      <c r="AG31" s="218"/>
      <c r="AH31" s="218"/>
      <c r="AI31" s="218"/>
      <c r="AJ31" s="218"/>
      <c r="AK31" s="218"/>
      <c r="AL31" s="224"/>
      <c r="AM31" s="236"/>
      <c r="AN31" s="29" t="str">
        <f t="shared" si="2"/>
        <v/>
      </c>
      <c r="AO31" s="235"/>
      <c r="AP31" s="218"/>
      <c r="AQ31" s="218"/>
      <c r="AR31" s="218"/>
      <c r="AS31" s="218"/>
      <c r="AT31" s="218"/>
      <c r="AU31" s="218"/>
      <c r="AV31" s="218"/>
      <c r="AW31" s="224"/>
      <c r="AX31" s="236"/>
      <c r="AY31" s="29" t="str">
        <f t="shared" si="12"/>
        <v/>
      </c>
      <c r="AZ31" s="522" t="str" cm="1">
        <f t="array" ref="AZ31">mediaComposicaoGramatica(AC31,R31,AY31,AN31,0.3,0.7)</f>
        <v/>
      </c>
      <c r="BA31" s="502"/>
      <c r="BB31" s="218"/>
      <c r="BC31" s="218"/>
      <c r="BD31" s="218"/>
      <c r="BE31" s="218"/>
      <c r="BF31" s="218"/>
      <c r="BG31" s="218"/>
      <c r="BH31" s="218"/>
      <c r="BI31" s="224"/>
      <c r="BJ31" s="236"/>
      <c r="BK31" s="29" t="str">
        <f t="shared" si="4"/>
        <v/>
      </c>
      <c r="BL31" s="235"/>
      <c r="BM31" s="218"/>
      <c r="BN31" s="218"/>
      <c r="BO31" s="218"/>
      <c r="BP31" s="218"/>
      <c r="BQ31" s="218"/>
      <c r="BR31" s="218"/>
      <c r="BS31" s="218"/>
      <c r="BT31" s="224"/>
      <c r="BU31" s="236"/>
      <c r="BV31" s="29" t="str">
        <f t="shared" si="5"/>
        <v/>
      </c>
      <c r="BW31" s="235"/>
      <c r="BX31" s="218"/>
      <c r="BY31" s="218"/>
      <c r="BZ31" s="218"/>
      <c r="CA31" s="218"/>
      <c r="CB31" s="218"/>
      <c r="CC31" s="218"/>
      <c r="CD31" s="218"/>
      <c r="CE31" s="224"/>
      <c r="CF31" s="236"/>
      <c r="CG31" s="29" t="str">
        <f t="shared" si="6"/>
        <v/>
      </c>
      <c r="CH31" s="223"/>
      <c r="CI31" s="224"/>
      <c r="CJ31" s="224"/>
      <c r="CK31" s="224"/>
      <c r="CL31" s="224"/>
      <c r="CM31" s="224"/>
      <c r="CN31" s="224"/>
      <c r="CO31" s="224"/>
      <c r="CP31" s="224"/>
      <c r="CQ31" s="224"/>
      <c r="CR31" s="25" t="str">
        <f t="shared" si="7"/>
        <v/>
      </c>
      <c r="CS31" s="476" t="str" cm="1">
        <f t="array" ref="CS31">mediaComposicaoGramatica(BK31,BV31,CR31,CG31,0.3,0.7)</f>
        <v/>
      </c>
      <c r="CT31" s="476" t="str">
        <f t="shared" si="8"/>
        <v/>
      </c>
      <c r="CU31" s="476" t="str">
        <f t="shared" si="9"/>
        <v/>
      </c>
      <c r="CV31" s="476" t="str">
        <f t="shared" si="10"/>
        <v/>
      </c>
      <c r="CW31" s="476" t="str">
        <f t="shared" si="11"/>
        <v/>
      </c>
    </row>
    <row r="32" spans="1:101" x14ac:dyDescent="0.25">
      <c r="A32" s="90" t="str">
        <f>IF('Avaliação Períodos'!A33=0,"",'Avaliação Períodos'!A33)</f>
        <v/>
      </c>
      <c r="B32" s="383" t="str">
        <f>IF('Avaliação Períodos'!B33=0,"",'Avaliação Períodos'!B33)</f>
        <v/>
      </c>
      <c r="C32" s="384"/>
      <c r="D32" s="384"/>
      <c r="E32" s="384"/>
      <c r="F32" s="384"/>
      <c r="G32" s="384"/>
      <c r="H32" s="503"/>
      <c r="I32" s="219"/>
      <c r="J32" s="219"/>
      <c r="K32" s="219"/>
      <c r="L32" s="219"/>
      <c r="M32" s="219"/>
      <c r="N32" s="219"/>
      <c r="O32" s="219"/>
      <c r="P32" s="226"/>
      <c r="Q32" s="237"/>
      <c r="R32" s="29" t="str">
        <f t="shared" si="0"/>
        <v/>
      </c>
      <c r="S32" s="229"/>
      <c r="T32" s="219"/>
      <c r="U32" s="219"/>
      <c r="V32" s="219"/>
      <c r="W32" s="219"/>
      <c r="X32" s="219"/>
      <c r="Y32" s="219"/>
      <c r="Z32" s="219"/>
      <c r="AA32" s="226"/>
      <c r="AB32" s="237"/>
      <c r="AC32" s="29" t="str">
        <f t="shared" si="1"/>
        <v/>
      </c>
      <c r="AD32" s="229"/>
      <c r="AE32" s="219"/>
      <c r="AF32" s="219"/>
      <c r="AG32" s="219"/>
      <c r="AH32" s="219"/>
      <c r="AI32" s="219"/>
      <c r="AJ32" s="219"/>
      <c r="AK32" s="219"/>
      <c r="AL32" s="226"/>
      <c r="AM32" s="237"/>
      <c r="AN32" s="29" t="str">
        <f t="shared" si="2"/>
        <v/>
      </c>
      <c r="AO32" s="229"/>
      <c r="AP32" s="219"/>
      <c r="AQ32" s="219"/>
      <c r="AR32" s="219"/>
      <c r="AS32" s="219"/>
      <c r="AT32" s="219"/>
      <c r="AU32" s="219"/>
      <c r="AV32" s="219"/>
      <c r="AW32" s="226"/>
      <c r="AX32" s="237"/>
      <c r="AY32" s="29" t="str">
        <f t="shared" si="12"/>
        <v/>
      </c>
      <c r="AZ32" s="522" t="str" cm="1">
        <f t="array" ref="AZ32">mediaComposicaoGramatica(AC32,R32,AY32,AN32,0.3,0.7)</f>
        <v/>
      </c>
      <c r="BA32" s="503"/>
      <c r="BB32" s="219"/>
      <c r="BC32" s="219"/>
      <c r="BD32" s="219"/>
      <c r="BE32" s="219"/>
      <c r="BF32" s="219"/>
      <c r="BG32" s="219"/>
      <c r="BH32" s="219"/>
      <c r="BI32" s="226"/>
      <c r="BJ32" s="237"/>
      <c r="BK32" s="29" t="str">
        <f t="shared" si="4"/>
        <v/>
      </c>
      <c r="BL32" s="229"/>
      <c r="BM32" s="219"/>
      <c r="BN32" s="219"/>
      <c r="BO32" s="219"/>
      <c r="BP32" s="219"/>
      <c r="BQ32" s="219"/>
      <c r="BR32" s="219"/>
      <c r="BS32" s="219"/>
      <c r="BT32" s="226"/>
      <c r="BU32" s="237"/>
      <c r="BV32" s="29" t="str">
        <f t="shared" si="5"/>
        <v/>
      </c>
      <c r="BW32" s="229"/>
      <c r="BX32" s="219"/>
      <c r="BY32" s="219"/>
      <c r="BZ32" s="219"/>
      <c r="CA32" s="219"/>
      <c r="CB32" s="219"/>
      <c r="CC32" s="219"/>
      <c r="CD32" s="219"/>
      <c r="CE32" s="226"/>
      <c r="CF32" s="237"/>
      <c r="CG32" s="29" t="str">
        <f t="shared" si="6"/>
        <v/>
      </c>
      <c r="CH32" s="229"/>
      <c r="CI32" s="226"/>
      <c r="CJ32" s="226"/>
      <c r="CK32" s="226"/>
      <c r="CL32" s="226"/>
      <c r="CM32" s="226"/>
      <c r="CN32" s="226"/>
      <c r="CO32" s="226"/>
      <c r="CP32" s="226"/>
      <c r="CQ32" s="226"/>
      <c r="CR32" s="25" t="str">
        <f t="shared" si="7"/>
        <v/>
      </c>
      <c r="CS32" s="476" t="str" cm="1">
        <f t="array" ref="CS32">mediaComposicaoGramatica(BK32,BV32,CR32,CG32,0.3,0.7)</f>
        <v/>
      </c>
      <c r="CT32" s="476" t="str">
        <f t="shared" si="8"/>
        <v/>
      </c>
      <c r="CU32" s="476" t="str">
        <f t="shared" si="9"/>
        <v/>
      </c>
      <c r="CV32" s="476" t="str">
        <f t="shared" si="10"/>
        <v/>
      </c>
      <c r="CW32" s="476" t="str">
        <f t="shared" si="11"/>
        <v/>
      </c>
    </row>
    <row r="33" spans="1:101" x14ac:dyDescent="0.25">
      <c r="A33" s="91" t="str">
        <f>IF('Avaliação Períodos'!A34=0,"",'Avaliação Períodos'!A34)</f>
        <v/>
      </c>
      <c r="B33" s="386" t="str">
        <f>IF('Avaliação Períodos'!B34=0,"",'Avaliação Períodos'!B34)</f>
        <v/>
      </c>
      <c r="C33" s="387"/>
      <c r="D33" s="387"/>
      <c r="E33" s="387"/>
      <c r="F33" s="387"/>
      <c r="G33" s="387"/>
      <c r="H33" s="502"/>
      <c r="I33" s="218"/>
      <c r="J33" s="218"/>
      <c r="K33" s="218"/>
      <c r="L33" s="218"/>
      <c r="M33" s="218"/>
      <c r="N33" s="218"/>
      <c r="O33" s="218"/>
      <c r="P33" s="224"/>
      <c r="Q33" s="236"/>
      <c r="R33" s="29" t="str">
        <f t="shared" si="0"/>
        <v/>
      </c>
      <c r="S33" s="235"/>
      <c r="T33" s="218"/>
      <c r="U33" s="218"/>
      <c r="V33" s="218"/>
      <c r="W33" s="218"/>
      <c r="X33" s="218"/>
      <c r="Y33" s="218"/>
      <c r="Z33" s="218"/>
      <c r="AA33" s="224"/>
      <c r="AB33" s="236"/>
      <c r="AC33" s="29" t="str">
        <f t="shared" si="1"/>
        <v/>
      </c>
      <c r="AD33" s="235"/>
      <c r="AE33" s="218"/>
      <c r="AF33" s="218"/>
      <c r="AG33" s="218"/>
      <c r="AH33" s="218"/>
      <c r="AI33" s="218"/>
      <c r="AJ33" s="218"/>
      <c r="AK33" s="218"/>
      <c r="AL33" s="224"/>
      <c r="AM33" s="236"/>
      <c r="AN33" s="29" t="str">
        <f t="shared" si="2"/>
        <v/>
      </c>
      <c r="AO33" s="235"/>
      <c r="AP33" s="218"/>
      <c r="AQ33" s="218"/>
      <c r="AR33" s="218"/>
      <c r="AS33" s="218"/>
      <c r="AT33" s="218"/>
      <c r="AU33" s="218"/>
      <c r="AV33" s="218"/>
      <c r="AW33" s="224"/>
      <c r="AX33" s="236"/>
      <c r="AY33" s="29" t="str">
        <f t="shared" si="12"/>
        <v/>
      </c>
      <c r="AZ33" s="522" t="str" cm="1">
        <f t="array" ref="AZ33">mediaComposicaoGramatica(AC33,R33,AY33,AN33,0.3,0.7)</f>
        <v/>
      </c>
      <c r="BA33" s="502"/>
      <c r="BB33" s="218"/>
      <c r="BC33" s="218"/>
      <c r="BD33" s="218"/>
      <c r="BE33" s="218"/>
      <c r="BF33" s="218"/>
      <c r="BG33" s="218"/>
      <c r="BH33" s="218"/>
      <c r="BI33" s="224"/>
      <c r="BJ33" s="236"/>
      <c r="BK33" s="29" t="str">
        <f t="shared" si="4"/>
        <v/>
      </c>
      <c r="BL33" s="235"/>
      <c r="BM33" s="218"/>
      <c r="BN33" s="218"/>
      <c r="BO33" s="218"/>
      <c r="BP33" s="218"/>
      <c r="BQ33" s="218"/>
      <c r="BR33" s="218"/>
      <c r="BS33" s="218"/>
      <c r="BT33" s="224"/>
      <c r="BU33" s="236"/>
      <c r="BV33" s="29" t="str">
        <f t="shared" si="5"/>
        <v/>
      </c>
      <c r="BW33" s="235"/>
      <c r="BX33" s="218"/>
      <c r="BY33" s="218"/>
      <c r="BZ33" s="218"/>
      <c r="CA33" s="218"/>
      <c r="CB33" s="218"/>
      <c r="CC33" s="218"/>
      <c r="CD33" s="218"/>
      <c r="CE33" s="224"/>
      <c r="CF33" s="236"/>
      <c r="CG33" s="29" t="str">
        <f t="shared" si="6"/>
        <v/>
      </c>
      <c r="CH33" s="223"/>
      <c r="CI33" s="224"/>
      <c r="CJ33" s="224"/>
      <c r="CK33" s="224"/>
      <c r="CL33" s="224"/>
      <c r="CM33" s="224"/>
      <c r="CN33" s="224"/>
      <c r="CO33" s="224"/>
      <c r="CP33" s="224"/>
      <c r="CQ33" s="224"/>
      <c r="CR33" s="25" t="str">
        <f t="shared" si="7"/>
        <v/>
      </c>
      <c r="CS33" s="476" t="str" cm="1">
        <f t="array" ref="CS33">mediaComposicaoGramatica(BK33,BV33,CR33,CG33,0.3,0.7)</f>
        <v/>
      </c>
      <c r="CT33" s="476" t="str">
        <f t="shared" si="8"/>
        <v/>
      </c>
      <c r="CU33" s="476" t="str">
        <f t="shared" si="9"/>
        <v/>
      </c>
      <c r="CV33" s="476" t="str">
        <f t="shared" si="10"/>
        <v/>
      </c>
      <c r="CW33" s="476" t="str">
        <f t="shared" si="11"/>
        <v/>
      </c>
    </row>
    <row r="34" spans="1:101" x14ac:dyDescent="0.25">
      <c r="A34" s="90" t="str">
        <f>IF('Avaliação Períodos'!A35=0,"",'Avaliação Períodos'!A35)</f>
        <v/>
      </c>
      <c r="B34" s="383" t="str">
        <f>IF('Avaliação Períodos'!B35=0,"",'Avaliação Períodos'!B35)</f>
        <v/>
      </c>
      <c r="C34" s="384"/>
      <c r="D34" s="384"/>
      <c r="E34" s="384"/>
      <c r="F34" s="384"/>
      <c r="G34" s="384"/>
      <c r="H34" s="504"/>
      <c r="I34" s="219"/>
      <c r="J34" s="219"/>
      <c r="K34" s="219"/>
      <c r="L34" s="219"/>
      <c r="M34" s="219"/>
      <c r="N34" s="219"/>
      <c r="O34" s="219"/>
      <c r="P34" s="226"/>
      <c r="Q34" s="237"/>
      <c r="R34" s="29" t="str">
        <f t="shared" si="0"/>
        <v/>
      </c>
      <c r="S34" s="239"/>
      <c r="T34" s="219"/>
      <c r="U34" s="219"/>
      <c r="V34" s="219"/>
      <c r="W34" s="219"/>
      <c r="X34" s="219"/>
      <c r="Y34" s="219"/>
      <c r="Z34" s="219"/>
      <c r="AA34" s="226"/>
      <c r="AB34" s="237"/>
      <c r="AC34" s="29" t="str">
        <f t="shared" si="1"/>
        <v/>
      </c>
      <c r="AD34" s="239"/>
      <c r="AE34" s="219"/>
      <c r="AF34" s="219"/>
      <c r="AG34" s="219"/>
      <c r="AH34" s="219"/>
      <c r="AI34" s="219"/>
      <c r="AJ34" s="219"/>
      <c r="AK34" s="219"/>
      <c r="AL34" s="226"/>
      <c r="AM34" s="237"/>
      <c r="AN34" s="29" t="str">
        <f t="shared" si="2"/>
        <v/>
      </c>
      <c r="AO34" s="239"/>
      <c r="AP34" s="219"/>
      <c r="AQ34" s="219"/>
      <c r="AR34" s="219"/>
      <c r="AS34" s="219"/>
      <c r="AT34" s="219"/>
      <c r="AU34" s="219"/>
      <c r="AV34" s="219"/>
      <c r="AW34" s="226"/>
      <c r="AX34" s="237"/>
      <c r="AY34" s="29" t="str">
        <f t="shared" si="12"/>
        <v/>
      </c>
      <c r="AZ34" s="522" t="str" cm="1">
        <f t="array" ref="AZ34">mediaComposicaoGramatica(AC34,R34,AY34,AN34,0.3,0.7)</f>
        <v/>
      </c>
      <c r="BA34" s="504"/>
      <c r="BB34" s="219"/>
      <c r="BC34" s="219"/>
      <c r="BD34" s="219"/>
      <c r="BE34" s="219"/>
      <c r="BF34" s="219"/>
      <c r="BG34" s="219"/>
      <c r="BH34" s="219"/>
      <c r="BI34" s="226"/>
      <c r="BJ34" s="237"/>
      <c r="BK34" s="29" t="str">
        <f t="shared" si="4"/>
        <v/>
      </c>
      <c r="BL34" s="239"/>
      <c r="BM34" s="219"/>
      <c r="BN34" s="219"/>
      <c r="BO34" s="219"/>
      <c r="BP34" s="219"/>
      <c r="BQ34" s="219"/>
      <c r="BR34" s="219"/>
      <c r="BS34" s="219"/>
      <c r="BT34" s="226"/>
      <c r="BU34" s="237"/>
      <c r="BV34" s="29" t="str">
        <f t="shared" si="5"/>
        <v/>
      </c>
      <c r="BW34" s="239"/>
      <c r="BX34" s="219"/>
      <c r="BY34" s="219"/>
      <c r="BZ34" s="219"/>
      <c r="CA34" s="219"/>
      <c r="CB34" s="219"/>
      <c r="CC34" s="219"/>
      <c r="CD34" s="219"/>
      <c r="CE34" s="226"/>
      <c r="CF34" s="237"/>
      <c r="CG34" s="29" t="str">
        <f t="shared" si="6"/>
        <v/>
      </c>
      <c r="CH34" s="229"/>
      <c r="CI34" s="226"/>
      <c r="CJ34" s="226"/>
      <c r="CK34" s="226"/>
      <c r="CL34" s="226"/>
      <c r="CM34" s="226"/>
      <c r="CN34" s="226"/>
      <c r="CO34" s="226"/>
      <c r="CP34" s="226"/>
      <c r="CQ34" s="226"/>
      <c r="CR34" s="25" t="str">
        <f t="shared" si="7"/>
        <v/>
      </c>
      <c r="CS34" s="476" t="str" cm="1">
        <f t="array" ref="CS34">mediaComposicaoGramatica(BK34,BV34,CR34,CG34,0.3,0.7)</f>
        <v/>
      </c>
      <c r="CT34" s="476" t="str">
        <f t="shared" si="8"/>
        <v/>
      </c>
      <c r="CU34" s="476" t="str">
        <f t="shared" si="9"/>
        <v/>
      </c>
      <c r="CV34" s="476" t="str">
        <f t="shared" si="10"/>
        <v/>
      </c>
      <c r="CW34" s="476" t="str">
        <f t="shared" si="11"/>
        <v/>
      </c>
    </row>
    <row r="35" spans="1:101" x14ac:dyDescent="0.25">
      <c r="A35" s="91" t="str">
        <f>IF('Avaliação Períodos'!A36=0,"",'Avaliação Períodos'!A36)</f>
        <v/>
      </c>
      <c r="B35" s="386" t="str">
        <f>IF('Avaliação Períodos'!B36=0,"",'Avaliação Períodos'!B36)</f>
        <v/>
      </c>
      <c r="C35" s="387"/>
      <c r="D35" s="387"/>
      <c r="E35" s="387"/>
      <c r="F35" s="387"/>
      <c r="G35" s="387"/>
      <c r="H35" s="505"/>
      <c r="I35" s="218"/>
      <c r="J35" s="218"/>
      <c r="K35" s="218"/>
      <c r="L35" s="218"/>
      <c r="M35" s="218"/>
      <c r="N35" s="218"/>
      <c r="O35" s="218"/>
      <c r="P35" s="224"/>
      <c r="Q35" s="236"/>
      <c r="R35" s="29" t="str">
        <f t="shared" si="0"/>
        <v/>
      </c>
      <c r="S35" s="220"/>
      <c r="T35" s="218"/>
      <c r="U35" s="218"/>
      <c r="V35" s="218"/>
      <c r="W35" s="218"/>
      <c r="X35" s="218"/>
      <c r="Y35" s="218"/>
      <c r="Z35" s="218"/>
      <c r="AA35" s="224"/>
      <c r="AB35" s="236"/>
      <c r="AC35" s="29" t="str">
        <f t="shared" si="1"/>
        <v/>
      </c>
      <c r="AD35" s="220"/>
      <c r="AE35" s="218"/>
      <c r="AF35" s="218"/>
      <c r="AG35" s="218"/>
      <c r="AH35" s="218"/>
      <c r="AI35" s="218"/>
      <c r="AJ35" s="218"/>
      <c r="AK35" s="218"/>
      <c r="AL35" s="224"/>
      <c r="AM35" s="236"/>
      <c r="AN35" s="29" t="str">
        <f t="shared" si="2"/>
        <v/>
      </c>
      <c r="AO35" s="220"/>
      <c r="AP35" s="218"/>
      <c r="AQ35" s="218"/>
      <c r="AR35" s="218"/>
      <c r="AS35" s="218"/>
      <c r="AT35" s="218"/>
      <c r="AU35" s="218"/>
      <c r="AV35" s="218"/>
      <c r="AW35" s="224"/>
      <c r="AX35" s="236"/>
      <c r="AY35" s="29" t="str">
        <f t="shared" si="12"/>
        <v/>
      </c>
      <c r="AZ35" s="522" t="str" cm="1">
        <f t="array" ref="AZ35">mediaComposicaoGramatica(AC35,R35,AY35,AN35,0.3,0.7)</f>
        <v/>
      </c>
      <c r="BA35" s="505"/>
      <c r="BB35" s="218"/>
      <c r="BC35" s="218"/>
      <c r="BD35" s="218"/>
      <c r="BE35" s="218"/>
      <c r="BF35" s="218"/>
      <c r="BG35" s="218"/>
      <c r="BH35" s="218"/>
      <c r="BI35" s="224"/>
      <c r="BJ35" s="236"/>
      <c r="BK35" s="29" t="str">
        <f t="shared" si="4"/>
        <v/>
      </c>
      <c r="BL35" s="220"/>
      <c r="BM35" s="218"/>
      <c r="BN35" s="218"/>
      <c r="BO35" s="218"/>
      <c r="BP35" s="218"/>
      <c r="BQ35" s="218"/>
      <c r="BR35" s="218"/>
      <c r="BS35" s="218"/>
      <c r="BT35" s="224"/>
      <c r="BU35" s="236"/>
      <c r="BV35" s="29" t="str">
        <f t="shared" si="5"/>
        <v/>
      </c>
      <c r="BW35" s="220"/>
      <c r="BX35" s="218"/>
      <c r="BY35" s="218"/>
      <c r="BZ35" s="218"/>
      <c r="CA35" s="218"/>
      <c r="CB35" s="218"/>
      <c r="CC35" s="218"/>
      <c r="CD35" s="218"/>
      <c r="CE35" s="224"/>
      <c r="CF35" s="236"/>
      <c r="CG35" s="29" t="str">
        <f t="shared" si="6"/>
        <v/>
      </c>
      <c r="CH35" s="223"/>
      <c r="CI35" s="224"/>
      <c r="CJ35" s="224"/>
      <c r="CK35" s="224"/>
      <c r="CL35" s="224"/>
      <c r="CM35" s="224"/>
      <c r="CN35" s="224"/>
      <c r="CO35" s="224"/>
      <c r="CP35" s="224"/>
      <c r="CQ35" s="224"/>
      <c r="CR35" s="25" t="str">
        <f t="shared" si="7"/>
        <v/>
      </c>
      <c r="CS35" s="476" t="str" cm="1">
        <f t="array" ref="CS35">mediaComposicaoGramatica(BK35,BV35,CR35,CG35,0.3,0.7)</f>
        <v/>
      </c>
      <c r="CT35" s="476" t="str">
        <f t="shared" si="8"/>
        <v/>
      </c>
      <c r="CU35" s="476" t="str">
        <f t="shared" si="9"/>
        <v/>
      </c>
      <c r="CV35" s="476" t="str">
        <f t="shared" si="10"/>
        <v/>
      </c>
      <c r="CW35" s="476" t="str">
        <f t="shared" si="11"/>
        <v/>
      </c>
    </row>
    <row r="36" spans="1:101" x14ac:dyDescent="0.25">
      <c r="A36" s="92" t="str">
        <f>IF('Avaliação Períodos'!A37=0,"",'Avaliação Períodos'!A37)</f>
        <v/>
      </c>
      <c r="B36" s="383" t="str">
        <f>IF('Avaliação Períodos'!B37=0,"",'Avaliação Períodos'!B37)</f>
        <v/>
      </c>
      <c r="C36" s="384"/>
      <c r="D36" s="384"/>
      <c r="E36" s="384"/>
      <c r="F36" s="384"/>
      <c r="G36" s="384"/>
      <c r="H36" s="504"/>
      <c r="I36" s="219"/>
      <c r="J36" s="219"/>
      <c r="K36" s="219"/>
      <c r="L36" s="219"/>
      <c r="M36" s="219"/>
      <c r="N36" s="219"/>
      <c r="O36" s="219"/>
      <c r="P36" s="226"/>
      <c r="Q36" s="237"/>
      <c r="R36" s="29" t="str">
        <f t="shared" si="0"/>
        <v/>
      </c>
      <c r="S36" s="239"/>
      <c r="T36" s="219"/>
      <c r="U36" s="219"/>
      <c r="V36" s="219"/>
      <c r="W36" s="219"/>
      <c r="X36" s="219"/>
      <c r="Y36" s="219"/>
      <c r="Z36" s="219"/>
      <c r="AA36" s="226"/>
      <c r="AB36" s="237"/>
      <c r="AC36" s="29" t="str">
        <f t="shared" si="1"/>
        <v/>
      </c>
      <c r="AD36" s="239"/>
      <c r="AE36" s="219"/>
      <c r="AF36" s="219"/>
      <c r="AG36" s="219"/>
      <c r="AH36" s="219"/>
      <c r="AI36" s="219"/>
      <c r="AJ36" s="219"/>
      <c r="AK36" s="219"/>
      <c r="AL36" s="226"/>
      <c r="AM36" s="237"/>
      <c r="AN36" s="29" t="str">
        <f t="shared" si="2"/>
        <v/>
      </c>
      <c r="AO36" s="239"/>
      <c r="AP36" s="219"/>
      <c r="AQ36" s="219"/>
      <c r="AR36" s="219"/>
      <c r="AS36" s="219"/>
      <c r="AT36" s="219"/>
      <c r="AU36" s="219"/>
      <c r="AV36" s="219"/>
      <c r="AW36" s="226"/>
      <c r="AX36" s="237"/>
      <c r="AY36" s="29" t="str">
        <f t="shared" si="12"/>
        <v/>
      </c>
      <c r="AZ36" s="522" t="str" cm="1">
        <f t="array" ref="AZ36">mediaComposicaoGramatica(AC36,R36,AY36,AN36,0.3,0.7)</f>
        <v/>
      </c>
      <c r="BA36" s="504"/>
      <c r="BB36" s="219"/>
      <c r="BC36" s="219"/>
      <c r="BD36" s="219"/>
      <c r="BE36" s="219"/>
      <c r="BF36" s="219"/>
      <c r="BG36" s="219"/>
      <c r="BH36" s="219"/>
      <c r="BI36" s="226"/>
      <c r="BJ36" s="237"/>
      <c r="BK36" s="29" t="str">
        <f t="shared" si="4"/>
        <v/>
      </c>
      <c r="BL36" s="239"/>
      <c r="BM36" s="219"/>
      <c r="BN36" s="219"/>
      <c r="BO36" s="219"/>
      <c r="BP36" s="219"/>
      <c r="BQ36" s="219"/>
      <c r="BR36" s="219"/>
      <c r="BS36" s="219"/>
      <c r="BT36" s="226"/>
      <c r="BU36" s="237"/>
      <c r="BV36" s="29" t="str">
        <f t="shared" si="5"/>
        <v/>
      </c>
      <c r="BW36" s="239"/>
      <c r="BX36" s="219"/>
      <c r="BY36" s="219"/>
      <c r="BZ36" s="219"/>
      <c r="CA36" s="219"/>
      <c r="CB36" s="219"/>
      <c r="CC36" s="219"/>
      <c r="CD36" s="219"/>
      <c r="CE36" s="226"/>
      <c r="CF36" s="237"/>
      <c r="CG36" s="29" t="str">
        <f t="shared" si="6"/>
        <v/>
      </c>
      <c r="CH36" s="229"/>
      <c r="CI36" s="226"/>
      <c r="CJ36" s="226"/>
      <c r="CK36" s="226"/>
      <c r="CL36" s="226"/>
      <c r="CM36" s="226"/>
      <c r="CN36" s="226"/>
      <c r="CO36" s="226"/>
      <c r="CP36" s="226"/>
      <c r="CQ36" s="226"/>
      <c r="CR36" s="25" t="str">
        <f t="shared" si="7"/>
        <v/>
      </c>
      <c r="CS36" s="476" t="str" cm="1">
        <f t="array" ref="CS36">mediaComposicaoGramatica(BK36,BV36,CR36,CG36,0.3,0.7)</f>
        <v/>
      </c>
      <c r="CT36" s="476" t="str">
        <f t="shared" si="8"/>
        <v/>
      </c>
      <c r="CU36" s="476" t="str">
        <f t="shared" si="9"/>
        <v/>
      </c>
      <c r="CV36" s="476" t="str">
        <f t="shared" si="10"/>
        <v/>
      </c>
      <c r="CW36" s="476" t="str">
        <f t="shared" si="11"/>
        <v/>
      </c>
    </row>
    <row r="37" spans="1:101" ht="15.75" thickBot="1" x14ac:dyDescent="0.3">
      <c r="A37" s="93" t="str">
        <f>IF('Avaliação Períodos'!A38=0,"",'Avaliação Períodos'!A38)</f>
        <v/>
      </c>
      <c r="B37" s="386" t="str">
        <f>IF('Avaliação Períodos'!B38=0,"",'Avaliação Períodos'!B38)</f>
        <v xml:space="preserve"> </v>
      </c>
      <c r="C37" s="387"/>
      <c r="D37" s="387"/>
      <c r="E37" s="387"/>
      <c r="F37" s="387"/>
      <c r="G37" s="387"/>
      <c r="H37" s="506"/>
      <c r="I37" s="507"/>
      <c r="J37" s="507"/>
      <c r="K37" s="507"/>
      <c r="L37" s="507"/>
      <c r="M37" s="507"/>
      <c r="N37" s="507"/>
      <c r="O37" s="507"/>
      <c r="P37" s="508"/>
      <c r="Q37" s="509"/>
      <c r="R37" s="510" t="str">
        <f t="shared" si="0"/>
        <v/>
      </c>
      <c r="S37" s="511"/>
      <c r="T37" s="507"/>
      <c r="U37" s="507"/>
      <c r="V37" s="507"/>
      <c r="W37" s="507"/>
      <c r="X37" s="507"/>
      <c r="Y37" s="507"/>
      <c r="Z37" s="507"/>
      <c r="AA37" s="508"/>
      <c r="AB37" s="509"/>
      <c r="AC37" s="510" t="str">
        <f t="shared" si="1"/>
        <v/>
      </c>
      <c r="AD37" s="511"/>
      <c r="AE37" s="507"/>
      <c r="AF37" s="507"/>
      <c r="AG37" s="507"/>
      <c r="AH37" s="507"/>
      <c r="AI37" s="507"/>
      <c r="AJ37" s="507"/>
      <c r="AK37" s="507"/>
      <c r="AL37" s="508"/>
      <c r="AM37" s="509"/>
      <c r="AN37" s="510" t="str">
        <f t="shared" si="2"/>
        <v/>
      </c>
      <c r="AO37" s="511"/>
      <c r="AP37" s="507"/>
      <c r="AQ37" s="507"/>
      <c r="AR37" s="507"/>
      <c r="AS37" s="507"/>
      <c r="AT37" s="507"/>
      <c r="AU37" s="507"/>
      <c r="AV37" s="507"/>
      <c r="AW37" s="508"/>
      <c r="AX37" s="509"/>
      <c r="AY37" s="510" t="str">
        <f t="shared" si="12"/>
        <v/>
      </c>
      <c r="AZ37" s="523" t="str" cm="1">
        <f t="array" ref="AZ37">mediaComposicaoGramatica(AC37,R37,AY37,AN37,0.3,0.7)</f>
        <v/>
      </c>
      <c r="BA37" s="506"/>
      <c r="BB37" s="507"/>
      <c r="BC37" s="507"/>
      <c r="BD37" s="507"/>
      <c r="BE37" s="507"/>
      <c r="BF37" s="507"/>
      <c r="BG37" s="507"/>
      <c r="BH37" s="507"/>
      <c r="BI37" s="508"/>
      <c r="BJ37" s="509"/>
      <c r="BK37" s="510" t="str">
        <f t="shared" si="4"/>
        <v/>
      </c>
      <c r="BL37" s="511"/>
      <c r="BM37" s="507"/>
      <c r="BN37" s="507"/>
      <c r="BO37" s="507"/>
      <c r="BP37" s="507"/>
      <c r="BQ37" s="507"/>
      <c r="BR37" s="507"/>
      <c r="BS37" s="507"/>
      <c r="BT37" s="508"/>
      <c r="BU37" s="509"/>
      <c r="BV37" s="510" t="str">
        <f t="shared" si="5"/>
        <v/>
      </c>
      <c r="BW37" s="511"/>
      <c r="BX37" s="507"/>
      <c r="BY37" s="507"/>
      <c r="BZ37" s="507"/>
      <c r="CA37" s="507"/>
      <c r="CB37" s="507"/>
      <c r="CC37" s="507"/>
      <c r="CD37" s="507"/>
      <c r="CE37" s="508"/>
      <c r="CF37" s="509"/>
      <c r="CG37" s="510" t="str">
        <f t="shared" si="6"/>
        <v/>
      </c>
      <c r="CH37" s="512"/>
      <c r="CI37" s="508"/>
      <c r="CJ37" s="508"/>
      <c r="CK37" s="508"/>
      <c r="CL37" s="508"/>
      <c r="CM37" s="508"/>
      <c r="CN37" s="508"/>
      <c r="CO37" s="508"/>
      <c r="CP37" s="508"/>
      <c r="CQ37" s="508"/>
      <c r="CR37" s="513" t="str">
        <f t="shared" si="7"/>
        <v/>
      </c>
      <c r="CS37" s="477" t="str" cm="1">
        <f t="array" ref="CS37">mediaComposicaoGramatica(BK37,BV37,CR37,CG37,0.3,0.7)</f>
        <v/>
      </c>
      <c r="CT37" s="477" t="str">
        <f t="shared" si="8"/>
        <v/>
      </c>
      <c r="CU37" s="477" t="str">
        <f t="shared" si="9"/>
        <v/>
      </c>
      <c r="CV37" s="477" t="str">
        <f t="shared" si="10"/>
        <v/>
      </c>
      <c r="CW37" s="477" t="str">
        <f t="shared" si="11"/>
        <v/>
      </c>
    </row>
    <row r="38" spans="1:10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518" t="s">
        <v>35</v>
      </c>
      <c r="O38" s="518"/>
      <c r="P38" s="518"/>
      <c r="Q38" s="518"/>
      <c r="R38" s="117">
        <f>IF(COUNT(R8:R37)=0,"",AVERAGE(R8:R37))</f>
        <v>30</v>
      </c>
      <c r="S38" s="30"/>
      <c r="T38" s="30"/>
      <c r="U38" s="35"/>
      <c r="V38" s="30"/>
      <c r="W38" s="30"/>
      <c r="X38" s="30"/>
      <c r="Y38" s="30"/>
      <c r="AW38" s="446" t="s">
        <v>35</v>
      </c>
      <c r="AX38" s="447"/>
      <c r="AY38" s="448"/>
      <c r="AZ38" s="117">
        <f>IF(COUNT(CR8:CR37)=0,"",AVERAGE(CR8:CR37))</f>
        <v>30</v>
      </c>
      <c r="CP38" s="446" t="s">
        <v>107</v>
      </c>
      <c r="CQ38" s="447"/>
      <c r="CR38" s="448"/>
      <c r="CS38" s="117">
        <f>IF(COUNT(CS8:CS37)=0,"",AVERAGE(CS8:CS37))</f>
        <v>30</v>
      </c>
    </row>
    <row r="39" spans="1:10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497" t="s">
        <v>36</v>
      </c>
      <c r="O39" s="497"/>
      <c r="P39" s="497"/>
      <c r="Q39" s="497"/>
      <c r="R39" s="118">
        <f>COUNTIF(R8:R37,"&lt;50")</f>
        <v>1</v>
      </c>
      <c r="S39" s="31"/>
      <c r="T39" s="31"/>
      <c r="U39" s="31"/>
      <c r="V39" s="31"/>
      <c r="W39" s="31"/>
      <c r="X39" s="31"/>
      <c r="Y39" s="31"/>
      <c r="AW39" s="380" t="s">
        <v>36</v>
      </c>
      <c r="AX39" s="381"/>
      <c r="AY39" s="382"/>
      <c r="AZ39" s="118">
        <f>COUNTIF(CR8:CR37,"&lt;50")</f>
        <v>1</v>
      </c>
      <c r="CP39" s="380" t="s">
        <v>36</v>
      </c>
      <c r="CQ39" s="381"/>
      <c r="CR39" s="382"/>
      <c r="CS39" s="118">
        <f>COUNTIF(EL8:EL37,"&lt;50")</f>
        <v>0</v>
      </c>
    </row>
    <row r="40" spans="1:10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497" t="s">
        <v>37</v>
      </c>
      <c r="O40" s="497"/>
      <c r="P40" s="497"/>
      <c r="Q40" s="497"/>
      <c r="R40" s="119">
        <f>IF(COUNT(R8:R37)=0,"",R39/(COUNT(R8:R37))*100)</f>
        <v>100</v>
      </c>
      <c r="S40" s="32"/>
      <c r="T40" s="32"/>
      <c r="U40" s="32"/>
      <c r="V40" s="32"/>
      <c r="W40" s="32"/>
      <c r="X40" s="32"/>
      <c r="Y40" s="32"/>
      <c r="AW40" s="380" t="s">
        <v>37</v>
      </c>
      <c r="AX40" s="381"/>
      <c r="AY40" s="382"/>
      <c r="AZ40" s="119">
        <f>IF(COUNT(CR8:CR37)=0,"",AZ39/(COUNT(CR8:CR37))*100)</f>
        <v>100</v>
      </c>
      <c r="CP40" s="380" t="s">
        <v>37</v>
      </c>
      <c r="CQ40" s="381"/>
      <c r="CR40" s="382"/>
      <c r="CS40" s="119" t="str">
        <f>IF(COUNT(EL8:EL37)=0,"",CS39/(COUNT(EL8:EL37))*100)</f>
        <v/>
      </c>
    </row>
  </sheetData>
  <sheetProtection algorithmName="SHA-512" hashValue="oiXTUKeU1lQ0LJPHFb86atPKGXnznEsbN9DTsYx7+AYrmTJbkwe/04c4I+pcG/ZCaz8lltf3F3e1tEMrovA4NA==" saltValue="D8yHo+aiCpiWqXNVeK1ZOw==" spinCount="100000" sheet="1" objects="1" scenarios="1"/>
  <mergeCells count="56">
    <mergeCell ref="CT6:CU6"/>
    <mergeCell ref="CV6:CW6"/>
    <mergeCell ref="CP38:CR38"/>
    <mergeCell ref="CP39:CR39"/>
    <mergeCell ref="CP40:CR40"/>
    <mergeCell ref="AZ6:AZ7"/>
    <mergeCell ref="H6:Q6"/>
    <mergeCell ref="S6:AB6"/>
    <mergeCell ref="H4:AZ5"/>
    <mergeCell ref="AD6:AM6"/>
    <mergeCell ref="AO6:AX6"/>
    <mergeCell ref="BA4:CS5"/>
    <mergeCell ref="H3:CS3"/>
    <mergeCell ref="BA6:BJ6"/>
    <mergeCell ref="BL6:BU6"/>
    <mergeCell ref="BW6:CF6"/>
    <mergeCell ref="CH6:CQ6"/>
    <mergeCell ref="B18:G18"/>
    <mergeCell ref="B7:G7"/>
    <mergeCell ref="A4:G5"/>
    <mergeCell ref="A6:G6"/>
    <mergeCell ref="B37:G37"/>
    <mergeCell ref="B8:G8"/>
    <mergeCell ref="B9:G9"/>
    <mergeCell ref="B10:G10"/>
    <mergeCell ref="B11:G11"/>
    <mergeCell ref="B12:G12"/>
    <mergeCell ref="B27:G27"/>
    <mergeCell ref="B28:G28"/>
    <mergeCell ref="B29:G29"/>
    <mergeCell ref="B13:G13"/>
    <mergeCell ref="B14:G14"/>
    <mergeCell ref="B15:G15"/>
    <mergeCell ref="B16:G16"/>
    <mergeCell ref="B17:G17"/>
    <mergeCell ref="B22:G22"/>
    <mergeCell ref="B23:G23"/>
    <mergeCell ref="B36:G36"/>
    <mergeCell ref="B30:G30"/>
    <mergeCell ref="B19:G19"/>
    <mergeCell ref="B20:G20"/>
    <mergeCell ref="B21:G21"/>
    <mergeCell ref="B31:G31"/>
    <mergeCell ref="B32:G32"/>
    <mergeCell ref="B33:G33"/>
    <mergeCell ref="B34:G34"/>
    <mergeCell ref="B35:G35"/>
    <mergeCell ref="B24:G24"/>
    <mergeCell ref="B25:G25"/>
    <mergeCell ref="B26:G26"/>
    <mergeCell ref="AW40:AY40"/>
    <mergeCell ref="AW38:AY38"/>
    <mergeCell ref="AW39:AY39"/>
    <mergeCell ref="N38:Q38"/>
    <mergeCell ref="N39:Q39"/>
    <mergeCell ref="N40:Q40"/>
  </mergeCells>
  <dataValidations count="6">
    <dataValidation type="decimal" operator="lessThanOrEqual" allowBlank="1" showErrorMessage="1" errorTitle="Erro." error="Ultrapassou cotação máxima." sqref="CH8:CQ37" xr:uid="{00000000-0002-0000-0100-000000000000}">
      <formula1>CH$7</formula1>
    </dataValidation>
    <dataValidation type="decimal" operator="lessThan" allowBlank="1" showInputMessage="1" showErrorMessage="1" sqref="CR8:CR37" xr:uid="{00000000-0002-0000-0100-000001000000}">
      <formula1>CR$7</formula1>
    </dataValidation>
    <dataValidation type="decimal" operator="lessThanOrEqual" allowBlank="1" showInputMessage="1" showErrorMessage="1" errorTitle="ERRO!" error="A pergunta não vale tanto!..." sqref="CG8:CG37 AN8:AN37 R8:R37 AC8:AC37 AY8:AY37 BV8:BV37 BK8:BK37" xr:uid="{00000000-0002-0000-0100-000002000000}">
      <formula1>R$7</formula1>
    </dataValidation>
    <dataValidation type="decimal" operator="lessThanOrEqual" allowBlank="1" showInputMessage="1" showErrorMessage="1" errorTitle="Erro." error="Ultrapassou cotação máxima." sqref="H8:Q37 AO8:AX37 BA8:BJ37 AD8:AM37 S8:AB37 BW8:CF37 BL8:BU37" xr:uid="{00000000-0002-0000-0100-000003000000}">
      <formula1>H$7</formula1>
    </dataValidation>
    <dataValidation type="whole" operator="lessThanOrEqual" allowBlank="1" showInputMessage="1" showErrorMessage="1" errorTitle="ERRO!" error="A pergunta não vale tanto!..." sqref="AZ8:AZ37" xr:uid="{090D62FE-0649-4465-A5A0-FC9197C2FE5E}">
      <formula1>AY7</formula1>
    </dataValidation>
    <dataValidation type="decimal" operator="lessThan" allowBlank="1" showInputMessage="1" showErrorMessage="1" sqref="CS8:CW37" xr:uid="{61746A58-4027-4B0A-9A70-F1785783F0AA}">
      <formula1>CS7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>
    <pageSetUpPr autoPageBreaks="0"/>
  </sheetPr>
  <dimension ref="A1:AN41"/>
  <sheetViews>
    <sheetView zoomScaleNormal="100" workbookViewId="0">
      <pane xSplit="7" ySplit="7" topLeftCell="H8" activePane="bottomRight" state="frozen"/>
      <selection activeCell="U42" sqref="U42"/>
      <selection pane="topRight" activeCell="U42" sqref="U42"/>
      <selection pane="bottomLeft" activeCell="U42" sqref="U42"/>
      <selection pane="bottomRight" activeCell="H4" sqref="H4:U5"/>
    </sheetView>
  </sheetViews>
  <sheetFormatPr defaultRowHeight="15" x14ac:dyDescent="0.25"/>
  <cols>
    <col min="1" max="1" width="7" style="51" customWidth="1"/>
    <col min="2" max="2" width="2.42578125" style="51" customWidth="1"/>
    <col min="3" max="3" width="9.140625" style="51" hidden="1" customWidth="1"/>
    <col min="4" max="4" width="1.5703125" style="51" customWidth="1"/>
    <col min="5" max="5" width="7.5703125" style="51" customWidth="1"/>
    <col min="6" max="6" width="5.140625" style="51" customWidth="1"/>
    <col min="7" max="7" width="5" style="51" customWidth="1"/>
    <col min="8" max="12" width="9.140625" style="51" customWidth="1"/>
    <col min="13" max="13" width="9.42578125" style="51" customWidth="1"/>
    <col min="14" max="15" width="9.85546875" style="51" customWidth="1"/>
    <col min="16" max="21" width="9.140625" style="51"/>
    <col min="22" max="23" width="10.28515625" style="51" customWidth="1"/>
    <col min="24" max="16384" width="9.140625" style="51"/>
  </cols>
  <sheetData>
    <row r="1" spans="1:40" ht="27" x14ac:dyDescent="0.25">
      <c r="A1" s="1" t="s">
        <v>17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40" ht="27" x14ac:dyDescent="0.25">
      <c r="A2" s="3" t="s">
        <v>1</v>
      </c>
      <c r="B2" s="1"/>
      <c r="C2" s="1"/>
      <c r="D2" s="1"/>
      <c r="E2" s="1"/>
      <c r="F2" s="1"/>
      <c r="G2" s="1"/>
      <c r="H2" s="1"/>
      <c r="I2" s="1"/>
      <c r="J2" s="1"/>
      <c r="K2" s="1" t="s">
        <v>72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40" ht="20.25" customHeight="1" x14ac:dyDescent="0.25">
      <c r="A3" s="402"/>
      <c r="B3" s="403"/>
      <c r="C3" s="403"/>
      <c r="D3" s="403"/>
      <c r="E3" s="403"/>
      <c r="F3" s="403"/>
      <c r="G3" s="403"/>
      <c r="H3" s="427" t="s">
        <v>65</v>
      </c>
      <c r="I3" s="428"/>
      <c r="J3" s="428"/>
      <c r="K3" s="428"/>
      <c r="L3" s="428"/>
      <c r="M3" s="428"/>
      <c r="N3" s="428"/>
      <c r="O3" s="428"/>
      <c r="P3" s="428"/>
      <c r="Q3" s="428"/>
      <c r="R3" s="428"/>
      <c r="S3" s="428"/>
      <c r="T3" s="428"/>
      <c r="U3" s="428"/>
      <c r="V3" s="428"/>
      <c r="W3" s="428"/>
      <c r="X3" s="428"/>
      <c r="Y3" s="428"/>
      <c r="Z3" s="428"/>
      <c r="AA3" s="428"/>
      <c r="AB3" s="428"/>
      <c r="AC3" s="428"/>
    </row>
    <row r="4" spans="1:40" ht="15.75" customHeight="1" x14ac:dyDescent="0.25">
      <c r="A4" s="4"/>
      <c r="B4" s="5"/>
      <c r="C4" s="5"/>
      <c r="D4" s="408"/>
      <c r="E4" s="408"/>
      <c r="F4" s="408"/>
      <c r="G4" s="393"/>
      <c r="H4" s="394" t="s">
        <v>56</v>
      </c>
      <c r="I4" s="395"/>
      <c r="J4" s="395"/>
      <c r="K4" s="395"/>
      <c r="L4" s="395"/>
      <c r="M4" s="395"/>
      <c r="N4" s="395"/>
      <c r="O4" s="395"/>
      <c r="P4" s="395"/>
      <c r="Q4" s="395"/>
      <c r="R4" s="395"/>
      <c r="S4" s="395"/>
      <c r="T4" s="395"/>
      <c r="U4" s="396"/>
      <c r="V4" s="394" t="s">
        <v>55</v>
      </c>
      <c r="W4" s="395"/>
      <c r="X4" s="395"/>
      <c r="Y4" s="395"/>
      <c r="Z4" s="395"/>
      <c r="AA4" s="395"/>
      <c r="AB4" s="395"/>
      <c r="AC4" s="395"/>
      <c r="AD4" s="395"/>
      <c r="AE4" s="395"/>
      <c r="AF4" s="395"/>
      <c r="AG4" s="395"/>
      <c r="AH4" s="395"/>
      <c r="AI4" s="396"/>
    </row>
    <row r="5" spans="1:40" ht="15.75" customHeight="1" x14ac:dyDescent="0.25">
      <c r="A5" s="4"/>
      <c r="B5" s="5"/>
      <c r="C5" s="5"/>
      <c r="D5" s="408"/>
      <c r="E5" s="408"/>
      <c r="F5" s="408"/>
      <c r="G5" s="393"/>
      <c r="H5" s="397"/>
      <c r="I5" s="398"/>
      <c r="J5" s="398"/>
      <c r="K5" s="398"/>
      <c r="L5" s="398"/>
      <c r="M5" s="398"/>
      <c r="N5" s="398"/>
      <c r="O5" s="398"/>
      <c r="P5" s="398"/>
      <c r="Q5" s="398"/>
      <c r="R5" s="398"/>
      <c r="S5" s="398"/>
      <c r="T5" s="398"/>
      <c r="U5" s="399"/>
      <c r="V5" s="397"/>
      <c r="W5" s="398"/>
      <c r="X5" s="398"/>
      <c r="Y5" s="398"/>
      <c r="Z5" s="398"/>
      <c r="AA5" s="398"/>
      <c r="AB5" s="398"/>
      <c r="AC5" s="398"/>
      <c r="AD5" s="398"/>
      <c r="AE5" s="398"/>
      <c r="AF5" s="398"/>
      <c r="AG5" s="398"/>
      <c r="AH5" s="398"/>
      <c r="AI5" s="399"/>
    </row>
    <row r="6" spans="1:40" ht="28.5" customHeight="1" x14ac:dyDescent="0.25">
      <c r="A6" s="6"/>
      <c r="B6" s="27"/>
      <c r="C6" s="27"/>
      <c r="D6" s="392" t="s">
        <v>20</v>
      </c>
      <c r="E6" s="392"/>
      <c r="F6" s="392"/>
      <c r="G6" s="393"/>
      <c r="H6" s="126">
        <v>1</v>
      </c>
      <c r="I6" s="127">
        <v>2</v>
      </c>
      <c r="J6" s="127">
        <v>3</v>
      </c>
      <c r="K6" s="127">
        <v>4</v>
      </c>
      <c r="L6" s="127"/>
      <c r="M6" s="128"/>
      <c r="N6" s="46" t="s">
        <v>53</v>
      </c>
      <c r="O6" s="126">
        <v>1</v>
      </c>
      <c r="P6" s="127">
        <v>2</v>
      </c>
      <c r="Q6" s="127">
        <v>3</v>
      </c>
      <c r="R6" s="127">
        <v>4</v>
      </c>
      <c r="S6" s="127"/>
      <c r="T6" s="128"/>
      <c r="U6" s="46" t="s">
        <v>66</v>
      </c>
      <c r="V6" s="47">
        <v>1</v>
      </c>
      <c r="W6" s="44"/>
      <c r="X6" s="44"/>
      <c r="Y6" s="44"/>
      <c r="Z6" s="44"/>
      <c r="AA6" s="45"/>
      <c r="AB6" s="46" t="s">
        <v>53</v>
      </c>
      <c r="AC6" s="47">
        <v>1</v>
      </c>
      <c r="AD6" s="44"/>
      <c r="AE6" s="44"/>
      <c r="AF6" s="44"/>
      <c r="AG6" s="44"/>
      <c r="AH6" s="45"/>
      <c r="AI6" s="46" t="s">
        <v>66</v>
      </c>
      <c r="AJ6" s="404"/>
      <c r="AK6" s="404"/>
      <c r="AL6" s="49"/>
      <c r="AM6" s="7"/>
      <c r="AN6" s="2"/>
    </row>
    <row r="7" spans="1:40" ht="28.5" customHeight="1" x14ac:dyDescent="0.25">
      <c r="A7" s="22" t="s">
        <v>4</v>
      </c>
      <c r="B7" s="405" t="s">
        <v>39</v>
      </c>
      <c r="C7" s="406"/>
      <c r="D7" s="406"/>
      <c r="E7" s="406"/>
      <c r="F7" s="406"/>
      <c r="G7" s="407"/>
      <c r="H7" s="40">
        <v>32</v>
      </c>
      <c r="I7" s="41">
        <v>18</v>
      </c>
      <c r="J7" s="41">
        <v>20</v>
      </c>
      <c r="K7" s="41">
        <v>30</v>
      </c>
      <c r="L7" s="41"/>
      <c r="M7" s="56"/>
      <c r="N7" s="57">
        <f>IF(OR(SUM(H7:M7)&gt;100,SUM(H7:M7)&lt;0),"",SUM(H7:M7))</f>
        <v>100</v>
      </c>
      <c r="O7" s="40">
        <v>32</v>
      </c>
      <c r="P7" s="41">
        <v>18</v>
      </c>
      <c r="Q7" s="41">
        <v>20</v>
      </c>
      <c r="R7" s="41">
        <v>30</v>
      </c>
      <c r="S7" s="41"/>
      <c r="T7" s="56"/>
      <c r="U7" s="55">
        <v>100</v>
      </c>
      <c r="V7" s="40">
        <v>100</v>
      </c>
      <c r="W7" s="41"/>
      <c r="X7" s="41"/>
      <c r="Y7" s="41"/>
      <c r="Z7" s="41"/>
      <c r="AA7" s="41"/>
      <c r="AB7" s="58">
        <f>IF(OR(SUM(V7:AA7)&gt;100,SUM(V7:AA7)&lt;0),"",SUM(V7:AA7))</f>
        <v>100</v>
      </c>
      <c r="AC7" s="40">
        <v>32</v>
      </c>
      <c r="AD7" s="41">
        <v>18</v>
      </c>
      <c r="AE7" s="41">
        <v>20</v>
      </c>
      <c r="AF7" s="41">
        <v>30</v>
      </c>
      <c r="AG7" s="41"/>
      <c r="AH7" s="56"/>
      <c r="AI7" s="42">
        <v>100</v>
      </c>
      <c r="AN7" s="2"/>
    </row>
    <row r="8" spans="1:40" ht="15" customHeight="1" x14ac:dyDescent="0.25">
      <c r="A8" s="90">
        <f>IF('Avaliação Períodos'!A9=0,"",'Avaliação Períodos'!A9)</f>
        <v>4</v>
      </c>
      <c r="B8" s="409" t="str">
        <f>IF('Avaliação Períodos'!B9=0,"",'Avaliação Períodos'!B9)</f>
        <v>Andji</v>
      </c>
      <c r="C8" s="410"/>
      <c r="D8" s="410"/>
      <c r="E8" s="410"/>
      <c r="F8" s="410"/>
      <c r="G8" s="411"/>
      <c r="H8" s="129">
        <v>32</v>
      </c>
      <c r="I8" s="94">
        <v>0</v>
      </c>
      <c r="J8" s="94">
        <v>20</v>
      </c>
      <c r="K8" s="94">
        <v>30</v>
      </c>
      <c r="L8" s="95"/>
      <c r="M8" s="95"/>
      <c r="N8" s="10">
        <f>IF(COUNT(H8:M8)=0,"",SUM(H8:M8))</f>
        <v>82</v>
      </c>
      <c r="O8" s="129">
        <v>32</v>
      </c>
      <c r="P8" s="94">
        <v>0</v>
      </c>
      <c r="Q8" s="94">
        <v>20</v>
      </c>
      <c r="R8" s="94">
        <v>30</v>
      </c>
      <c r="S8" s="95"/>
      <c r="T8" s="95"/>
      <c r="U8" s="426">
        <f>IF(COUNT(O8:T8)=0,"",SUM(O8:T8))</f>
        <v>82</v>
      </c>
      <c r="V8" s="114"/>
      <c r="W8" s="115"/>
      <c r="X8" s="115"/>
      <c r="Y8" s="115"/>
      <c r="Z8" s="115"/>
      <c r="AA8" s="115"/>
      <c r="AB8" s="10" t="str">
        <f>IF(COUNT(V8:AA8)=0,"",SUM(V8:AA8))</f>
        <v/>
      </c>
      <c r="AC8" s="114"/>
      <c r="AD8" s="115"/>
      <c r="AE8" s="115"/>
      <c r="AF8" s="115"/>
      <c r="AG8" s="115"/>
      <c r="AH8" s="115"/>
      <c r="AI8" s="10"/>
      <c r="AN8" s="2"/>
    </row>
    <row r="9" spans="1:40" ht="15" customHeight="1" x14ac:dyDescent="0.25">
      <c r="A9" s="91">
        <f>IF('Avaliação Períodos'!A10=0,"",'Avaliação Períodos'!A10)</f>
        <v>7</v>
      </c>
      <c r="B9" s="412" t="str">
        <f>IF('Avaliação Períodos'!B10=0,"",'Avaliação Períodos'!B10)</f>
        <v>Cecília</v>
      </c>
      <c r="C9" s="413"/>
      <c r="D9" s="413"/>
      <c r="E9" s="413"/>
      <c r="F9" s="413"/>
      <c r="G9" s="414"/>
      <c r="H9" s="96">
        <v>28</v>
      </c>
      <c r="I9" s="97">
        <v>0</v>
      </c>
      <c r="J9" s="97">
        <v>20</v>
      </c>
      <c r="K9" s="97">
        <v>30</v>
      </c>
      <c r="L9" s="98"/>
      <c r="M9" s="99"/>
      <c r="N9" s="10">
        <f>IF(COUNT(H9:M9)=0,"",SUM(H9:M9))</f>
        <v>78</v>
      </c>
      <c r="O9" s="96">
        <v>28</v>
      </c>
      <c r="P9" s="97">
        <v>0</v>
      </c>
      <c r="Q9" s="97">
        <v>20</v>
      </c>
      <c r="R9" s="97">
        <v>30</v>
      </c>
      <c r="S9" s="98"/>
      <c r="T9" s="99"/>
      <c r="U9" s="426">
        <f t="shared" ref="U9:U37" si="0">IF(COUNT(O9:T9)=0,"",SUM(O9:T9))</f>
        <v>78</v>
      </c>
      <c r="V9" s="96"/>
      <c r="W9" s="97"/>
      <c r="X9" s="97"/>
      <c r="Y9" s="97"/>
      <c r="Z9" s="97"/>
      <c r="AA9" s="97"/>
      <c r="AB9" s="10" t="str">
        <f>IF(COUNT(V9:AA9)=0,"",SUM(V9:AA9))</f>
        <v/>
      </c>
      <c r="AC9" s="96"/>
      <c r="AD9" s="97"/>
      <c r="AE9" s="97"/>
      <c r="AF9" s="97"/>
      <c r="AG9" s="97"/>
      <c r="AH9" s="97"/>
      <c r="AI9" s="10"/>
      <c r="AN9" s="2"/>
    </row>
    <row r="10" spans="1:40" ht="15" customHeight="1" x14ac:dyDescent="0.25">
      <c r="A10" s="90">
        <f>IF('Avaliação Períodos'!A11=0,"",'Avaliação Períodos'!A11)</f>
        <v>8</v>
      </c>
      <c r="B10" s="415" t="str">
        <f>IF('Avaliação Períodos'!B11=0,"",'Avaliação Períodos'!B11)</f>
        <v>Daniela</v>
      </c>
      <c r="C10" s="416"/>
      <c r="D10" s="416"/>
      <c r="E10" s="416"/>
      <c r="F10" s="416"/>
      <c r="G10" s="417"/>
      <c r="H10" s="100">
        <v>28</v>
      </c>
      <c r="I10" s="101">
        <v>9</v>
      </c>
      <c r="J10" s="101">
        <v>20</v>
      </c>
      <c r="K10" s="101">
        <v>30</v>
      </c>
      <c r="L10" s="102"/>
      <c r="M10" s="102"/>
      <c r="N10" s="10">
        <f>IF(COUNT(H10:M10)=0,"",SUM(H10:M10))</f>
        <v>87</v>
      </c>
      <c r="O10" s="100">
        <v>28</v>
      </c>
      <c r="P10" s="101">
        <v>9</v>
      </c>
      <c r="Q10" s="101">
        <v>20</v>
      </c>
      <c r="R10" s="101">
        <v>30</v>
      </c>
      <c r="S10" s="102"/>
      <c r="T10" s="102"/>
      <c r="U10" s="426">
        <f t="shared" si="0"/>
        <v>87</v>
      </c>
      <c r="V10" s="100"/>
      <c r="W10" s="101"/>
      <c r="X10" s="101"/>
      <c r="Y10" s="101"/>
      <c r="Z10" s="101"/>
      <c r="AA10" s="101"/>
      <c r="AB10" s="10" t="str">
        <f t="shared" ref="AB10:AB37" si="1">IF(COUNT(V10:AA10)=0,"",SUM(V10:AA10))</f>
        <v/>
      </c>
      <c r="AC10" s="114"/>
      <c r="AD10" s="115"/>
      <c r="AE10" s="115"/>
      <c r="AF10" s="115"/>
      <c r="AG10" s="115"/>
      <c r="AH10" s="115"/>
      <c r="AI10" s="10"/>
      <c r="AN10" s="2"/>
    </row>
    <row r="11" spans="1:40" ht="15" customHeight="1" x14ac:dyDescent="0.25">
      <c r="A11" s="91">
        <f>IF('Avaliação Períodos'!A12=0,"",'Avaliação Períodos'!A12)</f>
        <v>13</v>
      </c>
      <c r="B11" s="412" t="str">
        <f>IF('Avaliação Períodos'!B12=0,"",'Avaliação Períodos'!B12)</f>
        <v>Joana</v>
      </c>
      <c r="C11" s="413"/>
      <c r="D11" s="413"/>
      <c r="E11" s="413"/>
      <c r="F11" s="413"/>
      <c r="G11" s="414"/>
      <c r="H11" s="103">
        <v>28</v>
      </c>
      <c r="I11" s="104">
        <v>9</v>
      </c>
      <c r="J11" s="104">
        <v>20</v>
      </c>
      <c r="K11" s="104">
        <v>30</v>
      </c>
      <c r="L11" s="105"/>
      <c r="M11" s="105"/>
      <c r="N11" s="10">
        <f>IF(COUNT(H11:M11)=0,"",SUM(H11:M11))</f>
        <v>87</v>
      </c>
      <c r="O11" s="103">
        <v>28</v>
      </c>
      <c r="P11" s="104">
        <v>9</v>
      </c>
      <c r="Q11" s="104">
        <v>20</v>
      </c>
      <c r="R11" s="104">
        <v>30</v>
      </c>
      <c r="S11" s="105"/>
      <c r="T11" s="105"/>
      <c r="U11" s="426">
        <f t="shared" si="0"/>
        <v>87</v>
      </c>
      <c r="V11" s="103"/>
      <c r="W11" s="104"/>
      <c r="X11" s="104"/>
      <c r="Y11" s="104"/>
      <c r="Z11" s="104"/>
      <c r="AA11" s="104"/>
      <c r="AB11" s="10" t="str">
        <f t="shared" si="1"/>
        <v/>
      </c>
      <c r="AC11" s="96"/>
      <c r="AD11" s="97"/>
      <c r="AE11" s="97"/>
      <c r="AF11" s="97"/>
      <c r="AG11" s="97"/>
      <c r="AH11" s="97"/>
      <c r="AI11" s="10"/>
      <c r="AN11" s="2"/>
    </row>
    <row r="12" spans="1:40" ht="15" customHeight="1" x14ac:dyDescent="0.25">
      <c r="A12" s="90">
        <f>IF('Avaliação Períodos'!A13=0,"",'Avaliação Períodos'!A13)</f>
        <v>14</v>
      </c>
      <c r="B12" s="415" t="str">
        <f>IF('Avaliação Períodos'!B13=0,"",'Avaliação Períodos'!B13)</f>
        <v>José</v>
      </c>
      <c r="C12" s="416"/>
      <c r="D12" s="416"/>
      <c r="E12" s="416"/>
      <c r="F12" s="416"/>
      <c r="G12" s="417"/>
      <c r="H12" s="100">
        <v>28</v>
      </c>
      <c r="I12" s="101">
        <v>0</v>
      </c>
      <c r="J12" s="101">
        <v>20</v>
      </c>
      <c r="K12" s="101">
        <v>30</v>
      </c>
      <c r="L12" s="102"/>
      <c r="M12" s="102"/>
      <c r="N12" s="10">
        <f>IF(COUNT(H12:M12)=0,"",SUM(H12:M12))</f>
        <v>78</v>
      </c>
      <c r="O12" s="100">
        <v>28</v>
      </c>
      <c r="P12" s="101">
        <v>0</v>
      </c>
      <c r="Q12" s="101">
        <v>20</v>
      </c>
      <c r="R12" s="101">
        <v>30</v>
      </c>
      <c r="S12" s="102"/>
      <c r="T12" s="102"/>
      <c r="U12" s="426">
        <f t="shared" si="0"/>
        <v>78</v>
      </c>
      <c r="V12" s="100"/>
      <c r="W12" s="101"/>
      <c r="X12" s="101"/>
      <c r="Y12" s="101"/>
      <c r="Z12" s="101"/>
      <c r="AA12" s="101"/>
      <c r="AB12" s="10" t="str">
        <f t="shared" si="1"/>
        <v/>
      </c>
      <c r="AC12" s="114"/>
      <c r="AD12" s="115"/>
      <c r="AE12" s="115"/>
      <c r="AF12" s="115"/>
      <c r="AG12" s="115"/>
      <c r="AH12" s="115"/>
      <c r="AI12" s="10"/>
      <c r="AN12" s="2"/>
    </row>
    <row r="13" spans="1:40" ht="15" customHeight="1" x14ac:dyDescent="0.25">
      <c r="A13" s="91">
        <f>IF('Avaliação Períodos'!A14=0,"",'Avaliação Períodos'!A14)</f>
        <v>15</v>
      </c>
      <c r="B13" s="412" t="str">
        <f>IF('Avaliação Períodos'!B14=0,"",'Avaliação Períodos'!B14)</f>
        <v>Laura</v>
      </c>
      <c r="C13" s="413"/>
      <c r="D13" s="413"/>
      <c r="E13" s="413"/>
      <c r="F13" s="413"/>
      <c r="G13" s="414"/>
      <c r="H13" s="103">
        <v>28</v>
      </c>
      <c r="I13" s="104">
        <v>0</v>
      </c>
      <c r="J13" s="104">
        <v>20</v>
      </c>
      <c r="K13" s="104">
        <v>30</v>
      </c>
      <c r="L13" s="105"/>
      <c r="M13" s="105"/>
      <c r="N13" s="10">
        <f>IF(COUNT(H13:M13)=0,"",SUM(H13:M13))</f>
        <v>78</v>
      </c>
      <c r="O13" s="103">
        <v>28</v>
      </c>
      <c r="P13" s="104">
        <v>0</v>
      </c>
      <c r="Q13" s="104">
        <v>20</v>
      </c>
      <c r="R13" s="104">
        <v>30</v>
      </c>
      <c r="S13" s="105"/>
      <c r="T13" s="105"/>
      <c r="U13" s="426">
        <f t="shared" si="0"/>
        <v>78</v>
      </c>
      <c r="V13" s="103"/>
      <c r="W13" s="104"/>
      <c r="X13" s="104"/>
      <c r="Y13" s="104"/>
      <c r="Z13" s="104"/>
      <c r="AA13" s="104"/>
      <c r="AB13" s="10" t="str">
        <f t="shared" si="1"/>
        <v/>
      </c>
      <c r="AC13" s="96"/>
      <c r="AD13" s="97"/>
      <c r="AE13" s="97"/>
      <c r="AF13" s="97"/>
      <c r="AG13" s="97"/>
      <c r="AH13" s="97"/>
      <c r="AI13" s="10"/>
      <c r="AN13" s="2"/>
    </row>
    <row r="14" spans="1:40" ht="15" customHeight="1" x14ac:dyDescent="0.25">
      <c r="A14" s="90">
        <f>IF('Avaliação Períodos'!A15=0,"",'Avaliação Períodos'!A15)</f>
        <v>16</v>
      </c>
      <c r="B14" s="415" t="str">
        <f>IF('Avaliação Períodos'!B15=0,"",'Avaliação Períodos'!B15)</f>
        <v>Liliana</v>
      </c>
      <c r="C14" s="416"/>
      <c r="D14" s="416"/>
      <c r="E14" s="416"/>
      <c r="F14" s="416"/>
      <c r="G14" s="417"/>
      <c r="H14" s="100">
        <v>28</v>
      </c>
      <c r="I14" s="101">
        <v>0</v>
      </c>
      <c r="J14" s="101">
        <v>20</v>
      </c>
      <c r="K14" s="101">
        <v>30</v>
      </c>
      <c r="L14" s="102"/>
      <c r="M14" s="102"/>
      <c r="N14" s="10">
        <f>IF(COUNT(H14:M14)=0,"",SUM(H14:M14))</f>
        <v>78</v>
      </c>
      <c r="O14" s="100">
        <v>28</v>
      </c>
      <c r="P14" s="101">
        <v>0</v>
      </c>
      <c r="Q14" s="101">
        <v>20</v>
      </c>
      <c r="R14" s="101">
        <v>30</v>
      </c>
      <c r="S14" s="102"/>
      <c r="T14" s="102"/>
      <c r="U14" s="426">
        <f t="shared" si="0"/>
        <v>78</v>
      </c>
      <c r="V14" s="100"/>
      <c r="W14" s="101"/>
      <c r="X14" s="101"/>
      <c r="Y14" s="101"/>
      <c r="Z14" s="101"/>
      <c r="AA14" s="101"/>
      <c r="AB14" s="10" t="str">
        <f t="shared" si="1"/>
        <v/>
      </c>
      <c r="AC14" s="114"/>
      <c r="AD14" s="115"/>
      <c r="AE14" s="115"/>
      <c r="AF14" s="115"/>
      <c r="AG14" s="115"/>
      <c r="AH14" s="115"/>
      <c r="AI14" s="10"/>
      <c r="AN14" s="2"/>
    </row>
    <row r="15" spans="1:40" ht="15" customHeight="1" x14ac:dyDescent="0.25">
      <c r="A15" s="91">
        <f>IF('Avaliação Períodos'!A16=0,"",'Avaliação Períodos'!A16)</f>
        <v>17</v>
      </c>
      <c r="B15" s="386" t="str">
        <f>IF('Avaliação Períodos'!B16=0,"",'Avaliação Períodos'!B16)</f>
        <v>Luana</v>
      </c>
      <c r="C15" s="387"/>
      <c r="D15" s="387"/>
      <c r="E15" s="387"/>
      <c r="F15" s="387"/>
      <c r="G15" s="388"/>
      <c r="H15" s="103">
        <v>32</v>
      </c>
      <c r="I15" s="104">
        <v>0</v>
      </c>
      <c r="J15" s="106">
        <v>20</v>
      </c>
      <c r="K15" s="104">
        <v>30</v>
      </c>
      <c r="L15" s="105"/>
      <c r="M15" s="105"/>
      <c r="N15" s="10">
        <f>IF(COUNT(H15:M15)=0,"",SUM(H15:M15))</f>
        <v>82</v>
      </c>
      <c r="O15" s="103">
        <v>32</v>
      </c>
      <c r="P15" s="104">
        <v>0</v>
      </c>
      <c r="Q15" s="106">
        <v>20</v>
      </c>
      <c r="R15" s="104">
        <v>30</v>
      </c>
      <c r="S15" s="105"/>
      <c r="T15" s="105"/>
      <c r="U15" s="426">
        <f t="shared" si="0"/>
        <v>82</v>
      </c>
      <c r="V15" s="103"/>
      <c r="W15" s="104"/>
      <c r="X15" s="106"/>
      <c r="Y15" s="104"/>
      <c r="Z15" s="104"/>
      <c r="AA15" s="104"/>
      <c r="AB15" s="10" t="str">
        <f t="shared" si="1"/>
        <v/>
      </c>
      <c r="AC15" s="96"/>
      <c r="AD15" s="97"/>
      <c r="AE15" s="97"/>
      <c r="AF15" s="97"/>
      <c r="AG15" s="97"/>
      <c r="AH15" s="97"/>
      <c r="AI15" s="10"/>
      <c r="AN15" s="2"/>
    </row>
    <row r="16" spans="1:40" ht="15" customHeight="1" x14ac:dyDescent="0.25">
      <c r="A16" s="90">
        <f>IF('Avaliação Períodos'!A17=0,"",'Avaliação Períodos'!A17)</f>
        <v>18</v>
      </c>
      <c r="B16" s="383" t="str">
        <f>IF('Avaliação Períodos'!B17=0,"",'Avaliação Períodos'!B17)</f>
        <v>Madalena</v>
      </c>
      <c r="C16" s="384"/>
      <c r="D16" s="384"/>
      <c r="E16" s="384"/>
      <c r="F16" s="384"/>
      <c r="G16" s="385"/>
      <c r="H16" s="100">
        <v>32</v>
      </c>
      <c r="I16" s="101">
        <v>9</v>
      </c>
      <c r="J16" s="101">
        <v>20</v>
      </c>
      <c r="K16" s="101">
        <v>30</v>
      </c>
      <c r="L16" s="102"/>
      <c r="M16" s="102"/>
      <c r="N16" s="10">
        <f>IF(COUNT(H16:M16)=0,"",SUM(H16:M16))</f>
        <v>91</v>
      </c>
      <c r="O16" s="100">
        <v>32</v>
      </c>
      <c r="P16" s="101">
        <v>9</v>
      </c>
      <c r="Q16" s="101">
        <v>20</v>
      </c>
      <c r="R16" s="101">
        <v>30</v>
      </c>
      <c r="S16" s="102"/>
      <c r="T16" s="102"/>
      <c r="U16" s="426">
        <f t="shared" si="0"/>
        <v>91</v>
      </c>
      <c r="V16" s="100"/>
      <c r="W16" s="101"/>
      <c r="X16" s="101"/>
      <c r="Y16" s="101"/>
      <c r="Z16" s="101"/>
      <c r="AA16" s="101"/>
      <c r="AB16" s="10" t="str">
        <f t="shared" si="1"/>
        <v/>
      </c>
      <c r="AC16" s="114"/>
      <c r="AD16" s="115"/>
      <c r="AE16" s="115"/>
      <c r="AF16" s="115"/>
      <c r="AG16" s="115"/>
      <c r="AH16" s="115"/>
      <c r="AI16" s="10"/>
      <c r="AN16" s="2"/>
    </row>
    <row r="17" spans="1:40" ht="15" customHeight="1" x14ac:dyDescent="0.25">
      <c r="A17" s="91">
        <f>IF('Avaliação Períodos'!A18=0,"",'Avaliação Períodos'!A18)</f>
        <v>19</v>
      </c>
      <c r="B17" s="386" t="str">
        <f>IF('Avaliação Períodos'!B18=0,"",'Avaliação Períodos'!B18)</f>
        <v>Mª João</v>
      </c>
      <c r="C17" s="387"/>
      <c r="D17" s="387"/>
      <c r="E17" s="387"/>
      <c r="F17" s="387"/>
      <c r="G17" s="388"/>
      <c r="H17" s="103">
        <v>28</v>
      </c>
      <c r="I17" s="104">
        <v>9</v>
      </c>
      <c r="J17" s="104">
        <v>20</v>
      </c>
      <c r="K17" s="104">
        <v>30</v>
      </c>
      <c r="L17" s="105"/>
      <c r="M17" s="105"/>
      <c r="N17" s="10">
        <f>IF(COUNT(H17:M17)=0,"",SUM(H17:M17))</f>
        <v>87</v>
      </c>
      <c r="O17" s="103">
        <v>28</v>
      </c>
      <c r="P17" s="104">
        <v>9</v>
      </c>
      <c r="Q17" s="104">
        <v>20</v>
      </c>
      <c r="R17" s="104">
        <v>30</v>
      </c>
      <c r="S17" s="105"/>
      <c r="T17" s="105"/>
      <c r="U17" s="426">
        <f t="shared" si="0"/>
        <v>87</v>
      </c>
      <c r="V17" s="103"/>
      <c r="W17" s="104"/>
      <c r="X17" s="104"/>
      <c r="Y17" s="104"/>
      <c r="Z17" s="104"/>
      <c r="AA17" s="104"/>
      <c r="AB17" s="10" t="str">
        <f t="shared" si="1"/>
        <v/>
      </c>
      <c r="AC17" s="96"/>
      <c r="AD17" s="97"/>
      <c r="AE17" s="97"/>
      <c r="AF17" s="97"/>
      <c r="AG17" s="97"/>
      <c r="AH17" s="97"/>
      <c r="AI17" s="10"/>
      <c r="AJ17" s="2"/>
      <c r="AK17" s="2"/>
      <c r="AL17" s="2"/>
      <c r="AM17" s="2"/>
      <c r="AN17" s="2"/>
    </row>
    <row r="18" spans="1:40" ht="15" customHeight="1" x14ac:dyDescent="0.25">
      <c r="A18" s="90">
        <f>IF('Avaliação Períodos'!A19=0,"",'Avaliação Períodos'!A19)</f>
        <v>20</v>
      </c>
      <c r="B18" s="383" t="str">
        <f>IF('Avaliação Períodos'!B19=0,"",'Avaliação Períodos'!B19)</f>
        <v>Mª José</v>
      </c>
      <c r="C18" s="384"/>
      <c r="D18" s="384"/>
      <c r="E18" s="384"/>
      <c r="F18" s="384"/>
      <c r="G18" s="385"/>
      <c r="H18" s="107">
        <v>28</v>
      </c>
      <c r="I18" s="101">
        <v>0</v>
      </c>
      <c r="J18" s="101">
        <v>20</v>
      </c>
      <c r="K18" s="101">
        <v>30</v>
      </c>
      <c r="L18" s="102"/>
      <c r="M18" s="102"/>
      <c r="N18" s="10">
        <f>IF(COUNT(H18:M18)=0,"",SUM(H18:M18))</f>
        <v>78</v>
      </c>
      <c r="O18" s="107">
        <v>28</v>
      </c>
      <c r="P18" s="101">
        <v>0</v>
      </c>
      <c r="Q18" s="101">
        <v>20</v>
      </c>
      <c r="R18" s="101">
        <v>30</v>
      </c>
      <c r="S18" s="102"/>
      <c r="T18" s="102"/>
      <c r="U18" s="426">
        <f t="shared" si="0"/>
        <v>78</v>
      </c>
      <c r="V18" s="107"/>
      <c r="W18" s="101"/>
      <c r="X18" s="101"/>
      <c r="Y18" s="101"/>
      <c r="Z18" s="101"/>
      <c r="AA18" s="101"/>
      <c r="AB18" s="10" t="str">
        <f t="shared" si="1"/>
        <v/>
      </c>
      <c r="AC18" s="114"/>
      <c r="AD18" s="115"/>
      <c r="AE18" s="115"/>
      <c r="AF18" s="115"/>
      <c r="AG18" s="115"/>
      <c r="AH18" s="115"/>
      <c r="AI18" s="10"/>
      <c r="AN18" s="2"/>
    </row>
    <row r="19" spans="1:40" ht="15" customHeight="1" x14ac:dyDescent="0.25">
      <c r="A19" s="91">
        <f>IF('Avaliação Períodos'!A20=0,"",'Avaliação Períodos'!A20)</f>
        <v>21</v>
      </c>
      <c r="B19" s="386" t="str">
        <f>IF('Avaliação Períodos'!B20=0,"",'Avaliação Períodos'!B20)</f>
        <v>Mariana</v>
      </c>
      <c r="C19" s="387"/>
      <c r="D19" s="387"/>
      <c r="E19" s="387"/>
      <c r="F19" s="387"/>
      <c r="G19" s="388"/>
      <c r="H19" s="103">
        <v>32</v>
      </c>
      <c r="I19" s="104">
        <v>0</v>
      </c>
      <c r="J19" s="104">
        <v>20</v>
      </c>
      <c r="K19" s="104">
        <v>30</v>
      </c>
      <c r="L19" s="105"/>
      <c r="M19" s="105"/>
      <c r="N19" s="10">
        <f>IF(COUNT(H19:M19)=0,"",SUM(H19:M19))</f>
        <v>82</v>
      </c>
      <c r="O19" s="103">
        <v>32</v>
      </c>
      <c r="P19" s="104">
        <v>0</v>
      </c>
      <c r="Q19" s="104">
        <v>20</v>
      </c>
      <c r="R19" s="104">
        <v>30</v>
      </c>
      <c r="S19" s="105"/>
      <c r="T19" s="105"/>
      <c r="U19" s="426">
        <f t="shared" si="0"/>
        <v>82</v>
      </c>
      <c r="V19" s="103"/>
      <c r="W19" s="104"/>
      <c r="X19" s="104"/>
      <c r="Y19" s="104"/>
      <c r="Z19" s="104"/>
      <c r="AA19" s="104"/>
      <c r="AB19" s="10" t="str">
        <f t="shared" si="1"/>
        <v/>
      </c>
      <c r="AC19" s="96"/>
      <c r="AD19" s="97"/>
      <c r="AE19" s="97"/>
      <c r="AF19" s="97"/>
      <c r="AG19" s="97"/>
      <c r="AH19" s="97"/>
      <c r="AI19" s="10"/>
      <c r="AN19" s="2"/>
    </row>
    <row r="20" spans="1:40" ht="15" customHeight="1" x14ac:dyDescent="0.25">
      <c r="A20" s="90">
        <f>IF('Avaliação Períodos'!A21=0,"",'Avaliação Períodos'!A21)</f>
        <v>22</v>
      </c>
      <c r="B20" s="383" t="str">
        <f>IF('Avaliação Períodos'!B21=0,"",'Avaliação Períodos'!B21)</f>
        <v>Miguel</v>
      </c>
      <c r="C20" s="384"/>
      <c r="D20" s="384"/>
      <c r="E20" s="384"/>
      <c r="F20" s="384"/>
      <c r="G20" s="385"/>
      <c r="H20" s="107">
        <v>32</v>
      </c>
      <c r="I20" s="101">
        <v>9</v>
      </c>
      <c r="J20" s="101">
        <v>20</v>
      </c>
      <c r="K20" s="101">
        <v>30</v>
      </c>
      <c r="L20" s="102"/>
      <c r="M20" s="102"/>
      <c r="N20" s="10">
        <f>IF(COUNT(H20:M20)=0,"",SUM(H20:M20))</f>
        <v>91</v>
      </c>
      <c r="O20" s="107">
        <v>32</v>
      </c>
      <c r="P20" s="101">
        <v>9</v>
      </c>
      <c r="Q20" s="101">
        <v>20</v>
      </c>
      <c r="R20" s="101">
        <v>30</v>
      </c>
      <c r="S20" s="102"/>
      <c r="T20" s="102"/>
      <c r="U20" s="426">
        <f t="shared" si="0"/>
        <v>91</v>
      </c>
      <c r="V20" s="107"/>
      <c r="W20" s="101"/>
      <c r="X20" s="101"/>
      <c r="Y20" s="101"/>
      <c r="Z20" s="101"/>
      <c r="AA20" s="101"/>
      <c r="AB20" s="10" t="str">
        <f t="shared" si="1"/>
        <v/>
      </c>
      <c r="AC20" s="114"/>
      <c r="AD20" s="115"/>
      <c r="AE20" s="115"/>
      <c r="AF20" s="115"/>
      <c r="AG20" s="115"/>
      <c r="AH20" s="115"/>
      <c r="AI20" s="10"/>
      <c r="AN20" s="17"/>
    </row>
    <row r="21" spans="1:40" ht="15" customHeight="1" x14ac:dyDescent="0.25">
      <c r="A21" s="91">
        <f>IF('Avaliação Períodos'!A22=0,"",'Avaliação Períodos'!A22)</f>
        <v>23</v>
      </c>
      <c r="B21" s="386" t="str">
        <f>IF('Avaliação Períodos'!B22=0,"",'Avaliação Períodos'!B22)</f>
        <v>Sofia</v>
      </c>
      <c r="C21" s="387"/>
      <c r="D21" s="387"/>
      <c r="E21" s="387"/>
      <c r="F21" s="387"/>
      <c r="G21" s="388"/>
      <c r="H21" s="103">
        <v>32</v>
      </c>
      <c r="I21" s="104">
        <v>18</v>
      </c>
      <c r="J21" s="104">
        <v>20</v>
      </c>
      <c r="K21" s="104">
        <v>30</v>
      </c>
      <c r="L21" s="105"/>
      <c r="M21" s="105"/>
      <c r="N21" s="10">
        <f>IF(COUNT(H21:M21)=0,"",SUM(H21:M21))</f>
        <v>100</v>
      </c>
      <c r="O21" s="103">
        <v>32</v>
      </c>
      <c r="P21" s="104">
        <v>18</v>
      </c>
      <c r="Q21" s="104">
        <v>20</v>
      </c>
      <c r="R21" s="104">
        <v>30</v>
      </c>
      <c r="S21" s="105"/>
      <c r="T21" s="105"/>
      <c r="U21" s="426">
        <f t="shared" si="0"/>
        <v>100</v>
      </c>
      <c r="V21" s="103"/>
      <c r="W21" s="104"/>
      <c r="X21" s="104"/>
      <c r="Y21" s="104"/>
      <c r="Z21" s="104"/>
      <c r="AA21" s="104"/>
      <c r="AB21" s="10" t="str">
        <f t="shared" si="1"/>
        <v/>
      </c>
      <c r="AC21" s="96"/>
      <c r="AD21" s="97"/>
      <c r="AE21" s="97"/>
      <c r="AF21" s="97"/>
      <c r="AG21" s="97"/>
      <c r="AH21" s="97"/>
      <c r="AI21" s="10"/>
      <c r="AN21" s="17"/>
    </row>
    <row r="22" spans="1:40" ht="15" customHeight="1" x14ac:dyDescent="0.25">
      <c r="A22" s="90">
        <f>IF('Avaliação Períodos'!A23=0,"",'Avaliação Períodos'!A23)</f>
        <v>24</v>
      </c>
      <c r="B22" s="383" t="str">
        <f>IF('Avaliação Períodos'!B23=0,"",'Avaliação Períodos'!B23)</f>
        <v>Tiago Neves</v>
      </c>
      <c r="C22" s="384"/>
      <c r="D22" s="384"/>
      <c r="E22" s="384"/>
      <c r="F22" s="384"/>
      <c r="G22" s="385"/>
      <c r="H22" s="107">
        <v>24</v>
      </c>
      <c r="I22" s="101">
        <v>9</v>
      </c>
      <c r="J22" s="101">
        <v>20</v>
      </c>
      <c r="K22" s="101">
        <v>30</v>
      </c>
      <c r="L22" s="102"/>
      <c r="M22" s="102"/>
      <c r="N22" s="10">
        <f>IF(COUNT(H22:M22)=0,"",SUM(H22:M22))</f>
        <v>83</v>
      </c>
      <c r="O22" s="107">
        <v>24</v>
      </c>
      <c r="P22" s="101">
        <v>9</v>
      </c>
      <c r="Q22" s="101">
        <v>20</v>
      </c>
      <c r="R22" s="101">
        <v>30</v>
      </c>
      <c r="S22" s="102"/>
      <c r="T22" s="102"/>
      <c r="U22" s="426">
        <f t="shared" si="0"/>
        <v>83</v>
      </c>
      <c r="V22" s="107"/>
      <c r="W22" s="101"/>
      <c r="X22" s="101"/>
      <c r="Y22" s="101"/>
      <c r="Z22" s="101"/>
      <c r="AA22" s="101"/>
      <c r="AB22" s="10" t="str">
        <f t="shared" si="1"/>
        <v/>
      </c>
      <c r="AC22" s="114"/>
      <c r="AD22" s="115"/>
      <c r="AE22" s="115"/>
      <c r="AF22" s="115"/>
      <c r="AG22" s="115"/>
      <c r="AH22" s="115"/>
      <c r="AI22" s="10"/>
      <c r="AN22" s="2"/>
    </row>
    <row r="23" spans="1:40" ht="15" customHeight="1" x14ac:dyDescent="0.25">
      <c r="A23" s="91">
        <f>IF('Avaliação Períodos'!A24=0,"",'Avaliação Períodos'!A24)</f>
        <v>25</v>
      </c>
      <c r="B23" s="386" t="str">
        <f>IF('Avaliação Períodos'!B24=0,"",'Avaliação Períodos'!B24)</f>
        <v>Tiago Machado</v>
      </c>
      <c r="C23" s="387"/>
      <c r="D23" s="387"/>
      <c r="E23" s="387"/>
      <c r="F23" s="387"/>
      <c r="G23" s="388"/>
      <c r="H23" s="103">
        <v>24</v>
      </c>
      <c r="I23" s="104">
        <v>0</v>
      </c>
      <c r="J23" s="104">
        <v>20</v>
      </c>
      <c r="K23" s="104">
        <v>30</v>
      </c>
      <c r="L23" s="105"/>
      <c r="M23" s="105"/>
      <c r="N23" s="10">
        <f>IF(COUNT(H23:M23)=0,"",SUM(H23:M23))</f>
        <v>74</v>
      </c>
      <c r="O23" s="103">
        <v>24</v>
      </c>
      <c r="P23" s="104">
        <v>0</v>
      </c>
      <c r="Q23" s="104">
        <v>20</v>
      </c>
      <c r="R23" s="104">
        <v>30</v>
      </c>
      <c r="S23" s="105"/>
      <c r="T23" s="105"/>
      <c r="U23" s="426">
        <f t="shared" si="0"/>
        <v>74</v>
      </c>
      <c r="V23" s="103"/>
      <c r="W23" s="104"/>
      <c r="X23" s="104"/>
      <c r="Y23" s="104"/>
      <c r="Z23" s="104"/>
      <c r="AA23" s="104"/>
      <c r="AB23" s="10" t="str">
        <f t="shared" si="1"/>
        <v/>
      </c>
      <c r="AC23" s="96"/>
      <c r="AD23" s="97"/>
      <c r="AE23" s="97"/>
      <c r="AF23" s="97"/>
      <c r="AG23" s="97"/>
      <c r="AH23" s="97"/>
      <c r="AI23" s="10"/>
      <c r="AN23" s="2"/>
    </row>
    <row r="24" spans="1:40" ht="16.5" customHeight="1" x14ac:dyDescent="0.25">
      <c r="A24" s="90">
        <f>IF('Avaliação Períodos'!A25=0,"",'Avaliação Períodos'!A25)</f>
        <v>26</v>
      </c>
      <c r="B24" s="383" t="str">
        <f>IF('Avaliação Períodos'!B25=0,"",'Avaliação Períodos'!B25)</f>
        <v>Tomás Santos</v>
      </c>
      <c r="C24" s="384"/>
      <c r="D24" s="384"/>
      <c r="E24" s="384"/>
      <c r="F24" s="384"/>
      <c r="G24" s="385"/>
      <c r="H24" s="107">
        <v>32</v>
      </c>
      <c r="I24" s="101">
        <v>9</v>
      </c>
      <c r="J24" s="101">
        <v>20</v>
      </c>
      <c r="K24" s="101">
        <v>30</v>
      </c>
      <c r="L24" s="102"/>
      <c r="M24" s="102"/>
      <c r="N24" s="10">
        <f>IF(COUNT(H24:M24)=0,"",SUM(H24:M24))</f>
        <v>91</v>
      </c>
      <c r="O24" s="107">
        <v>32</v>
      </c>
      <c r="P24" s="101">
        <v>9</v>
      </c>
      <c r="Q24" s="101">
        <v>20</v>
      </c>
      <c r="R24" s="101">
        <v>30</v>
      </c>
      <c r="S24" s="102"/>
      <c r="T24" s="102"/>
      <c r="U24" s="426">
        <f t="shared" si="0"/>
        <v>91</v>
      </c>
      <c r="V24" s="107"/>
      <c r="W24" s="101"/>
      <c r="X24" s="101"/>
      <c r="Y24" s="101"/>
      <c r="Z24" s="101"/>
      <c r="AA24" s="101"/>
      <c r="AB24" s="10" t="str">
        <f t="shared" si="1"/>
        <v/>
      </c>
      <c r="AC24" s="114"/>
      <c r="AD24" s="115"/>
      <c r="AE24" s="115"/>
      <c r="AF24" s="115"/>
      <c r="AG24" s="115"/>
      <c r="AH24" s="115"/>
      <c r="AI24" s="10"/>
      <c r="AN24" s="2"/>
    </row>
    <row r="25" spans="1:40" ht="15" customHeight="1" x14ac:dyDescent="0.25">
      <c r="A25" s="91">
        <f>IF('Avaliação Períodos'!A26=0,"",'Avaliação Períodos'!A26)</f>
        <v>27</v>
      </c>
      <c r="B25" s="386" t="str">
        <f>IF('Avaliação Períodos'!B26=0,"",'Avaliação Períodos'!B26)</f>
        <v>Tomás António</v>
      </c>
      <c r="C25" s="387"/>
      <c r="D25" s="387"/>
      <c r="E25" s="387"/>
      <c r="F25" s="387"/>
      <c r="G25" s="388"/>
      <c r="H25" s="103">
        <v>32</v>
      </c>
      <c r="I25" s="104">
        <v>0</v>
      </c>
      <c r="J25" s="104">
        <v>20</v>
      </c>
      <c r="K25" s="104">
        <v>30</v>
      </c>
      <c r="L25" s="105"/>
      <c r="M25" s="105"/>
      <c r="N25" s="10">
        <f>IF(COUNT(H25:M25)=0,"",SUM(H25:M25))</f>
        <v>82</v>
      </c>
      <c r="O25" s="103">
        <v>32</v>
      </c>
      <c r="P25" s="104">
        <v>0</v>
      </c>
      <c r="Q25" s="104">
        <v>20</v>
      </c>
      <c r="R25" s="104">
        <v>30</v>
      </c>
      <c r="S25" s="105"/>
      <c r="T25" s="105"/>
      <c r="U25" s="426">
        <f t="shared" si="0"/>
        <v>82</v>
      </c>
      <c r="V25" s="103"/>
      <c r="W25" s="104"/>
      <c r="X25" s="104"/>
      <c r="Y25" s="104"/>
      <c r="Z25" s="104"/>
      <c r="AA25" s="104"/>
      <c r="AB25" s="10" t="str">
        <f t="shared" si="1"/>
        <v/>
      </c>
      <c r="AC25" s="96"/>
      <c r="AD25" s="97"/>
      <c r="AE25" s="97"/>
      <c r="AF25" s="97"/>
      <c r="AG25" s="97"/>
      <c r="AH25" s="97"/>
      <c r="AI25" s="10"/>
      <c r="AN25" s="2"/>
    </row>
    <row r="26" spans="1:40" ht="15" customHeight="1" x14ac:dyDescent="0.25">
      <c r="A26" s="90">
        <f>IF('Avaliação Períodos'!A27=0,"",'Avaliação Períodos'!A27)</f>
        <v>28</v>
      </c>
      <c r="B26" s="383" t="str">
        <f>IF('Avaliação Períodos'!B27=0,"",'Avaliação Períodos'!B27)</f>
        <v>Sony</v>
      </c>
      <c r="C26" s="384"/>
      <c r="D26" s="384"/>
      <c r="E26" s="384"/>
      <c r="F26" s="384"/>
      <c r="G26" s="385"/>
      <c r="H26" s="107">
        <v>32</v>
      </c>
      <c r="I26" s="101">
        <v>18</v>
      </c>
      <c r="J26" s="101">
        <v>20</v>
      </c>
      <c r="K26" s="101">
        <v>30</v>
      </c>
      <c r="L26" s="102"/>
      <c r="M26" s="102"/>
      <c r="N26" s="10">
        <f>IF(COUNT(H26:M26)=0,"",SUM(H26:M26))</f>
        <v>100</v>
      </c>
      <c r="O26" s="107">
        <v>32</v>
      </c>
      <c r="P26" s="101">
        <v>18</v>
      </c>
      <c r="Q26" s="101">
        <v>20</v>
      </c>
      <c r="R26" s="101">
        <v>30</v>
      </c>
      <c r="S26" s="102"/>
      <c r="T26" s="102"/>
      <c r="U26" s="426">
        <f t="shared" si="0"/>
        <v>100</v>
      </c>
      <c r="V26" s="107"/>
      <c r="W26" s="101"/>
      <c r="X26" s="101"/>
      <c r="Y26" s="101"/>
      <c r="Z26" s="101"/>
      <c r="AA26" s="101"/>
      <c r="AB26" s="10" t="str">
        <f t="shared" si="1"/>
        <v/>
      </c>
      <c r="AC26" s="114"/>
      <c r="AD26" s="115"/>
      <c r="AE26" s="115"/>
      <c r="AF26" s="115"/>
      <c r="AG26" s="115"/>
      <c r="AH26" s="115"/>
      <c r="AI26" s="10"/>
      <c r="AN26" s="2"/>
    </row>
    <row r="27" spans="1:40" ht="15" customHeight="1" x14ac:dyDescent="0.25">
      <c r="A27" s="91">
        <f>IF('Avaliação Períodos'!A28=0,"",'Avaliação Períodos'!A28)</f>
        <v>20</v>
      </c>
      <c r="B27" s="386" t="str">
        <f>IF('Avaliação Períodos'!B28=0,"",'Avaliação Períodos'!B28)</f>
        <v/>
      </c>
      <c r="C27" s="387"/>
      <c r="D27" s="387"/>
      <c r="E27" s="387"/>
      <c r="F27" s="387"/>
      <c r="G27" s="388"/>
      <c r="H27" s="103"/>
      <c r="I27" s="104"/>
      <c r="J27" s="104"/>
      <c r="K27" s="104"/>
      <c r="L27" s="105"/>
      <c r="M27" s="105"/>
      <c r="N27" s="10" t="str">
        <f>IF(COUNT(H27:M27)=0,"",SUM(H27:M27))</f>
        <v/>
      </c>
      <c r="O27" s="103"/>
      <c r="P27" s="104"/>
      <c r="Q27" s="104"/>
      <c r="R27" s="104"/>
      <c r="S27" s="105"/>
      <c r="T27" s="105"/>
      <c r="U27" s="426" t="str">
        <f t="shared" si="0"/>
        <v/>
      </c>
      <c r="V27" s="103"/>
      <c r="W27" s="104"/>
      <c r="X27" s="104"/>
      <c r="Y27" s="104"/>
      <c r="Z27" s="104"/>
      <c r="AA27" s="104"/>
      <c r="AB27" s="10" t="str">
        <f t="shared" si="1"/>
        <v/>
      </c>
      <c r="AC27" s="96"/>
      <c r="AD27" s="97"/>
      <c r="AE27" s="97"/>
      <c r="AF27" s="97"/>
      <c r="AG27" s="97"/>
      <c r="AH27" s="97"/>
      <c r="AI27" s="10"/>
      <c r="AN27" s="2"/>
    </row>
    <row r="28" spans="1:40" ht="15" customHeight="1" x14ac:dyDescent="0.25">
      <c r="A28" s="90">
        <f>IF('Avaliação Períodos'!A29=0,"",'Avaliação Períodos'!A29)</f>
        <v>21</v>
      </c>
      <c r="B28" s="383" t="str">
        <f>IF('Avaliação Períodos'!B29=0,"",'Avaliação Períodos'!B29)</f>
        <v/>
      </c>
      <c r="C28" s="384"/>
      <c r="D28" s="384"/>
      <c r="E28" s="384"/>
      <c r="F28" s="384"/>
      <c r="G28" s="385"/>
      <c r="H28" s="107"/>
      <c r="I28" s="101"/>
      <c r="J28" s="101"/>
      <c r="K28" s="101"/>
      <c r="L28" s="102"/>
      <c r="M28" s="102"/>
      <c r="N28" s="10" t="str">
        <f>IF(COUNT(H28:M28)=0,"",SUM(H28:M28))</f>
        <v/>
      </c>
      <c r="O28" s="107"/>
      <c r="P28" s="101"/>
      <c r="Q28" s="101"/>
      <c r="R28" s="101"/>
      <c r="S28" s="102"/>
      <c r="T28" s="102"/>
      <c r="U28" s="426" t="str">
        <f t="shared" si="0"/>
        <v/>
      </c>
      <c r="V28" s="107"/>
      <c r="W28" s="101"/>
      <c r="X28" s="101"/>
      <c r="Y28" s="101"/>
      <c r="Z28" s="101"/>
      <c r="AA28" s="101"/>
      <c r="AB28" s="10" t="str">
        <f t="shared" si="1"/>
        <v/>
      </c>
      <c r="AC28" s="114"/>
      <c r="AD28" s="115"/>
      <c r="AE28" s="115"/>
      <c r="AF28" s="115"/>
      <c r="AG28" s="115"/>
      <c r="AH28" s="115"/>
      <c r="AI28" s="10"/>
      <c r="AN28" s="2"/>
    </row>
    <row r="29" spans="1:40" ht="15" customHeight="1" x14ac:dyDescent="0.25">
      <c r="A29" s="91">
        <f>IF('Avaliação Períodos'!A30=0,"",'Avaliação Períodos'!A30)</f>
        <v>22</v>
      </c>
      <c r="B29" s="386" t="str">
        <f>IF('Avaliação Períodos'!B30=0,"",'Avaliação Períodos'!B30)</f>
        <v/>
      </c>
      <c r="C29" s="387"/>
      <c r="D29" s="387"/>
      <c r="E29" s="387"/>
      <c r="F29" s="387"/>
      <c r="G29" s="388"/>
      <c r="H29" s="108"/>
      <c r="I29" s="109"/>
      <c r="J29" s="109"/>
      <c r="K29" s="109"/>
      <c r="L29" s="110"/>
      <c r="M29" s="110"/>
      <c r="N29" s="10" t="str">
        <f>IF(COUNT(H29:M29)=0,"",SUM(H29:M29))</f>
        <v/>
      </c>
      <c r="O29" s="108"/>
      <c r="P29" s="109"/>
      <c r="Q29" s="109"/>
      <c r="R29" s="109"/>
      <c r="S29" s="110"/>
      <c r="T29" s="110"/>
      <c r="U29" s="426" t="str">
        <f t="shared" si="0"/>
        <v/>
      </c>
      <c r="V29" s="108"/>
      <c r="W29" s="109"/>
      <c r="X29" s="109"/>
      <c r="Y29" s="109"/>
      <c r="Z29" s="109"/>
      <c r="AA29" s="109"/>
      <c r="AB29" s="10" t="str">
        <f t="shared" si="1"/>
        <v/>
      </c>
      <c r="AC29" s="96"/>
      <c r="AD29" s="97"/>
      <c r="AE29" s="97"/>
      <c r="AF29" s="97"/>
      <c r="AG29" s="97"/>
      <c r="AH29" s="97"/>
      <c r="AI29" s="10"/>
      <c r="AN29" s="2"/>
    </row>
    <row r="30" spans="1:40" ht="15" customHeight="1" x14ac:dyDescent="0.25">
      <c r="A30" s="90">
        <f>IF('Avaliação Períodos'!A31=0,"",'Avaliação Períodos'!A31)</f>
        <v>23</v>
      </c>
      <c r="B30" s="383" t="str">
        <f>IF('Avaliação Períodos'!B31=0,"",'Avaliação Períodos'!B31)</f>
        <v/>
      </c>
      <c r="C30" s="384"/>
      <c r="D30" s="384"/>
      <c r="E30" s="384"/>
      <c r="F30" s="384"/>
      <c r="G30" s="385"/>
      <c r="H30" s="107"/>
      <c r="I30" s="101"/>
      <c r="J30" s="101"/>
      <c r="K30" s="101"/>
      <c r="L30" s="102"/>
      <c r="M30" s="102"/>
      <c r="N30" s="10" t="str">
        <f>IF(COUNT(H30:M30)=0,"",SUM(H30:M30))</f>
        <v/>
      </c>
      <c r="O30" s="107"/>
      <c r="P30" s="101"/>
      <c r="Q30" s="101"/>
      <c r="R30" s="101"/>
      <c r="S30" s="102"/>
      <c r="T30" s="102"/>
      <c r="U30" s="426" t="str">
        <f t="shared" si="0"/>
        <v/>
      </c>
      <c r="V30" s="107"/>
      <c r="W30" s="101"/>
      <c r="X30" s="101"/>
      <c r="Y30" s="101"/>
      <c r="Z30" s="101"/>
      <c r="AA30" s="101"/>
      <c r="AB30" s="10" t="str">
        <f t="shared" si="1"/>
        <v/>
      </c>
      <c r="AC30" s="114"/>
      <c r="AD30" s="115"/>
      <c r="AE30" s="115"/>
      <c r="AF30" s="115"/>
      <c r="AG30" s="115"/>
      <c r="AH30" s="115"/>
      <c r="AI30" s="10"/>
      <c r="AN30" s="2"/>
    </row>
    <row r="31" spans="1:40" ht="15" customHeight="1" x14ac:dyDescent="0.25">
      <c r="A31" s="91" t="str">
        <f>IF('Avaliação Períodos'!A32=0,"",'Avaliação Períodos'!A32)</f>
        <v/>
      </c>
      <c r="B31" s="386" t="str">
        <f>IF('Avaliação Períodos'!B32=0,"",'Avaliação Períodos'!B32)</f>
        <v/>
      </c>
      <c r="C31" s="387"/>
      <c r="D31" s="387"/>
      <c r="E31" s="387"/>
      <c r="F31" s="387"/>
      <c r="G31" s="388"/>
      <c r="H31" s="103"/>
      <c r="I31" s="104"/>
      <c r="J31" s="104"/>
      <c r="K31" s="104"/>
      <c r="L31" s="105"/>
      <c r="M31" s="105"/>
      <c r="N31" s="10" t="str">
        <f>IF(COUNT(H31:M31)=0,"",SUM(H31:M31))</f>
        <v/>
      </c>
      <c r="O31" s="103"/>
      <c r="P31" s="104"/>
      <c r="Q31" s="104"/>
      <c r="R31" s="104"/>
      <c r="S31" s="105"/>
      <c r="T31" s="105"/>
      <c r="U31" s="426" t="str">
        <f t="shared" si="0"/>
        <v/>
      </c>
      <c r="V31" s="103"/>
      <c r="W31" s="104"/>
      <c r="X31" s="104"/>
      <c r="Y31" s="104"/>
      <c r="Z31" s="104"/>
      <c r="AA31" s="104"/>
      <c r="AB31" s="10" t="str">
        <f t="shared" si="1"/>
        <v/>
      </c>
      <c r="AC31" s="96"/>
      <c r="AD31" s="97"/>
      <c r="AE31" s="97"/>
      <c r="AF31" s="97"/>
      <c r="AG31" s="97"/>
      <c r="AH31" s="97"/>
      <c r="AI31" s="10"/>
      <c r="AN31" s="2"/>
    </row>
    <row r="32" spans="1:40" ht="15" customHeight="1" x14ac:dyDescent="0.25">
      <c r="A32" s="90" t="str">
        <f>IF('Avaliação Períodos'!A33=0,"",'Avaliação Períodos'!A33)</f>
        <v/>
      </c>
      <c r="B32" s="383" t="str">
        <f>IF('Avaliação Períodos'!B33=0,"",'Avaliação Períodos'!B33)</f>
        <v/>
      </c>
      <c r="C32" s="384"/>
      <c r="D32" s="384"/>
      <c r="E32" s="384"/>
      <c r="F32" s="384"/>
      <c r="G32" s="385"/>
      <c r="H32" s="107"/>
      <c r="I32" s="101"/>
      <c r="J32" s="101"/>
      <c r="K32" s="101"/>
      <c r="L32" s="102"/>
      <c r="M32" s="102"/>
      <c r="N32" s="10" t="str">
        <f>IF(COUNT(H32:M32)=0,"",SUM(H32:M32))</f>
        <v/>
      </c>
      <c r="O32" s="107"/>
      <c r="P32" s="101"/>
      <c r="Q32" s="101"/>
      <c r="R32" s="101"/>
      <c r="S32" s="102"/>
      <c r="T32" s="102"/>
      <c r="U32" s="426" t="str">
        <f t="shared" si="0"/>
        <v/>
      </c>
      <c r="V32" s="107"/>
      <c r="W32" s="101"/>
      <c r="X32" s="101"/>
      <c r="Y32" s="101"/>
      <c r="Z32" s="101"/>
      <c r="AA32" s="101"/>
      <c r="AB32" s="10" t="str">
        <f t="shared" si="1"/>
        <v/>
      </c>
      <c r="AC32" s="114"/>
      <c r="AD32" s="115"/>
      <c r="AE32" s="115"/>
      <c r="AF32" s="115"/>
      <c r="AG32" s="115"/>
      <c r="AH32" s="115"/>
      <c r="AI32" s="10"/>
      <c r="AJ32" s="18"/>
      <c r="AK32" s="18"/>
      <c r="AL32" s="18"/>
      <c r="AM32" s="18"/>
      <c r="AN32" s="2"/>
    </row>
    <row r="33" spans="1:40" ht="15" customHeight="1" x14ac:dyDescent="0.25">
      <c r="A33" s="91" t="str">
        <f>IF('Avaliação Períodos'!A34=0,"",'Avaliação Períodos'!A34)</f>
        <v/>
      </c>
      <c r="B33" s="386" t="str">
        <f>IF('Avaliação Períodos'!B34=0,"",'Avaliação Períodos'!B34)</f>
        <v/>
      </c>
      <c r="C33" s="387"/>
      <c r="D33" s="387"/>
      <c r="E33" s="387"/>
      <c r="F33" s="387"/>
      <c r="G33" s="388"/>
      <c r="H33" s="103"/>
      <c r="I33" s="104"/>
      <c r="J33" s="104"/>
      <c r="K33" s="104"/>
      <c r="L33" s="105"/>
      <c r="M33" s="105"/>
      <c r="N33" s="10" t="str">
        <f>IF(COUNT(H33:M33)=0,"",SUM(H33:M33))</f>
        <v/>
      </c>
      <c r="O33" s="103"/>
      <c r="P33" s="104"/>
      <c r="Q33" s="104"/>
      <c r="R33" s="104"/>
      <c r="S33" s="105"/>
      <c r="T33" s="105"/>
      <c r="U33" s="426" t="str">
        <f t="shared" si="0"/>
        <v/>
      </c>
      <c r="V33" s="103"/>
      <c r="W33" s="104"/>
      <c r="X33" s="104"/>
      <c r="Y33" s="104"/>
      <c r="Z33" s="104"/>
      <c r="AA33" s="104"/>
      <c r="AB33" s="10" t="str">
        <f t="shared" si="1"/>
        <v/>
      </c>
      <c r="AC33" s="96"/>
      <c r="AD33" s="97"/>
      <c r="AE33" s="97"/>
      <c r="AF33" s="97"/>
      <c r="AG33" s="97"/>
      <c r="AH33" s="97"/>
      <c r="AI33" s="10"/>
      <c r="AJ33" s="18"/>
      <c r="AK33" s="18"/>
      <c r="AL33" s="18"/>
      <c r="AM33" s="18"/>
      <c r="AN33" s="2"/>
    </row>
    <row r="34" spans="1:40" ht="15" customHeight="1" x14ac:dyDescent="0.25">
      <c r="A34" s="90" t="str">
        <f>IF('Avaliação Períodos'!A35=0,"",'Avaliação Períodos'!A35)</f>
        <v/>
      </c>
      <c r="B34" s="383" t="str">
        <f>IF('Avaliação Períodos'!B35=0,"",'Avaliação Períodos'!B35)</f>
        <v/>
      </c>
      <c r="C34" s="384"/>
      <c r="D34" s="384"/>
      <c r="E34" s="384"/>
      <c r="F34" s="384"/>
      <c r="G34" s="385"/>
      <c r="H34" s="107"/>
      <c r="I34" s="101"/>
      <c r="J34" s="101"/>
      <c r="K34" s="101"/>
      <c r="L34" s="102"/>
      <c r="M34" s="102"/>
      <c r="N34" s="10" t="str">
        <f>IF(COUNT(H34:M34)=0,"",SUM(H34:M34))</f>
        <v/>
      </c>
      <c r="O34" s="107"/>
      <c r="P34" s="101"/>
      <c r="Q34" s="101"/>
      <c r="R34" s="101"/>
      <c r="S34" s="102"/>
      <c r="T34" s="102"/>
      <c r="U34" s="426" t="str">
        <f t="shared" si="0"/>
        <v/>
      </c>
      <c r="V34" s="107"/>
      <c r="W34" s="101"/>
      <c r="X34" s="101"/>
      <c r="Y34" s="101"/>
      <c r="Z34" s="101"/>
      <c r="AA34" s="101"/>
      <c r="AB34" s="10" t="str">
        <f t="shared" si="1"/>
        <v/>
      </c>
      <c r="AC34" s="114"/>
      <c r="AD34" s="115"/>
      <c r="AE34" s="115"/>
      <c r="AF34" s="115"/>
      <c r="AG34" s="115"/>
      <c r="AH34" s="115"/>
      <c r="AI34" s="10"/>
      <c r="AJ34" s="18"/>
      <c r="AK34" s="18"/>
      <c r="AL34" s="18"/>
      <c r="AM34" s="18"/>
      <c r="AN34" s="2"/>
    </row>
    <row r="35" spans="1:40" ht="15" customHeight="1" x14ac:dyDescent="0.25">
      <c r="A35" s="91" t="str">
        <f>IF('Avaliação Períodos'!A36=0,"",'Avaliação Períodos'!A36)</f>
        <v/>
      </c>
      <c r="B35" s="386" t="str">
        <f>IF('Avaliação Períodos'!B36=0,"",'Avaliação Períodos'!B36)</f>
        <v/>
      </c>
      <c r="C35" s="387"/>
      <c r="D35" s="387"/>
      <c r="E35" s="387"/>
      <c r="F35" s="387"/>
      <c r="G35" s="388"/>
      <c r="H35" s="103"/>
      <c r="I35" s="104"/>
      <c r="J35" s="104"/>
      <c r="K35" s="104"/>
      <c r="L35" s="105"/>
      <c r="M35" s="105"/>
      <c r="N35" s="10" t="str">
        <f>IF(COUNT(H35:M35)=0,"",SUM(H35:M35))</f>
        <v/>
      </c>
      <c r="O35" s="103"/>
      <c r="P35" s="104"/>
      <c r="Q35" s="104"/>
      <c r="R35" s="104"/>
      <c r="S35" s="105"/>
      <c r="T35" s="105"/>
      <c r="U35" s="426" t="str">
        <f t="shared" si="0"/>
        <v/>
      </c>
      <c r="V35" s="103"/>
      <c r="W35" s="104"/>
      <c r="X35" s="104"/>
      <c r="Y35" s="104"/>
      <c r="Z35" s="104"/>
      <c r="AA35" s="104"/>
      <c r="AB35" s="10" t="str">
        <f t="shared" si="1"/>
        <v/>
      </c>
      <c r="AC35" s="96"/>
      <c r="AD35" s="97"/>
      <c r="AE35" s="97"/>
      <c r="AF35" s="97"/>
      <c r="AG35" s="97"/>
      <c r="AH35" s="97"/>
      <c r="AI35" s="10"/>
      <c r="AJ35" s="18"/>
      <c r="AK35" s="18"/>
      <c r="AL35" s="18"/>
      <c r="AM35" s="18"/>
      <c r="AN35" s="2"/>
    </row>
    <row r="36" spans="1:40" ht="15" customHeight="1" x14ac:dyDescent="0.25">
      <c r="A36" s="92" t="str">
        <f>IF('Avaliação Períodos'!A37=0,"",'Avaliação Períodos'!A37)</f>
        <v/>
      </c>
      <c r="B36" s="383" t="str">
        <f>IF('Avaliação Períodos'!B37=0,"",'Avaliação Períodos'!B37)</f>
        <v/>
      </c>
      <c r="C36" s="384"/>
      <c r="D36" s="384"/>
      <c r="E36" s="384"/>
      <c r="F36" s="384"/>
      <c r="G36" s="385"/>
      <c r="H36" s="111"/>
      <c r="I36" s="112"/>
      <c r="J36" s="112"/>
      <c r="K36" s="112"/>
      <c r="L36" s="112"/>
      <c r="M36" s="113"/>
      <c r="N36" s="10" t="str">
        <f>IF(COUNT(H36:M36)=0,"",SUM(H36:M36))</f>
        <v/>
      </c>
      <c r="O36" s="111"/>
      <c r="P36" s="112"/>
      <c r="Q36" s="112"/>
      <c r="R36" s="112"/>
      <c r="S36" s="112"/>
      <c r="T36" s="113"/>
      <c r="U36" s="426" t="str">
        <f t="shared" si="0"/>
        <v/>
      </c>
      <c r="V36" s="111"/>
      <c r="W36" s="112"/>
      <c r="X36" s="112"/>
      <c r="Y36" s="112"/>
      <c r="Z36" s="112"/>
      <c r="AA36" s="112"/>
      <c r="AB36" s="10" t="str">
        <f t="shared" si="1"/>
        <v/>
      </c>
      <c r="AC36" s="114"/>
      <c r="AD36" s="115"/>
      <c r="AE36" s="115"/>
      <c r="AF36" s="115"/>
      <c r="AG36" s="115"/>
      <c r="AH36" s="115"/>
      <c r="AI36" s="432"/>
      <c r="AJ36" s="18"/>
      <c r="AK36" s="18"/>
      <c r="AL36" s="18"/>
      <c r="AM36" s="18"/>
      <c r="AN36" s="2"/>
    </row>
    <row r="37" spans="1:40" ht="15" customHeight="1" x14ac:dyDescent="0.25">
      <c r="A37" s="93" t="str">
        <f>IF('Avaliação Períodos'!A38=0,"",'Avaliação Períodos'!A38)</f>
        <v/>
      </c>
      <c r="B37" s="386" t="str">
        <f>IF('Avaliação Períodos'!B38=0,"",'Avaliação Períodos'!B38)</f>
        <v xml:space="preserve"> </v>
      </c>
      <c r="C37" s="387"/>
      <c r="D37" s="387"/>
      <c r="E37" s="387"/>
      <c r="F37" s="387"/>
      <c r="G37" s="388"/>
      <c r="H37" s="120"/>
      <c r="I37" s="116"/>
      <c r="J37" s="116"/>
      <c r="K37" s="116"/>
      <c r="L37" s="116"/>
      <c r="M37" s="121"/>
      <c r="N37" s="20" t="str">
        <f>IF(COUNT(H37:M37)=0,"",SUM(H37:M37))</f>
        <v/>
      </c>
      <c r="O37" s="120"/>
      <c r="P37" s="116"/>
      <c r="Q37" s="116"/>
      <c r="R37" s="116"/>
      <c r="S37" s="116"/>
      <c r="T37" s="121"/>
      <c r="U37" s="20" t="str">
        <f t="shared" si="0"/>
        <v/>
      </c>
      <c r="V37" s="120"/>
      <c r="W37" s="116"/>
      <c r="X37" s="116"/>
      <c r="Y37" s="116"/>
      <c r="Z37" s="116"/>
      <c r="AA37" s="116"/>
      <c r="AB37" s="20" t="str">
        <f t="shared" si="1"/>
        <v/>
      </c>
      <c r="AC37" s="429"/>
      <c r="AD37" s="430"/>
      <c r="AE37" s="430"/>
      <c r="AF37" s="430"/>
      <c r="AG37" s="430"/>
      <c r="AH37" s="431"/>
      <c r="AI37" s="20"/>
    </row>
    <row r="38" spans="1:40" x14ac:dyDescent="0.25">
      <c r="A38" s="2"/>
      <c r="B38" s="2"/>
      <c r="C38" s="2"/>
      <c r="D38" s="2"/>
      <c r="E38" s="2"/>
      <c r="F38" s="2"/>
      <c r="G38" s="2"/>
      <c r="I38" s="380" t="s">
        <v>35</v>
      </c>
      <c r="J38" s="381"/>
      <c r="K38" s="381"/>
      <c r="L38" s="381"/>
      <c r="M38" s="382"/>
      <c r="N38" s="117">
        <f>IF(COUNT(N8:N37)=0,"",AVERAGE(N8:N37))</f>
        <v>84.684210526315795</v>
      </c>
      <c r="O38" s="117">
        <f>IF(COUNT(U8:U37)=0,"",AVERAGE(U8:U37))</f>
        <v>84.684210526315795</v>
      </c>
      <c r="P38" s="2"/>
      <c r="Q38" s="2"/>
      <c r="R38" s="2"/>
      <c r="S38" s="2"/>
      <c r="T38" s="2"/>
      <c r="U38" s="2"/>
      <c r="V38" s="2"/>
      <c r="W38" s="2"/>
      <c r="AC38" s="380" t="s">
        <v>35</v>
      </c>
      <c r="AD38" s="381"/>
      <c r="AE38" s="381"/>
      <c r="AF38" s="381"/>
      <c r="AG38" s="382"/>
      <c r="AH38" s="117" t="str">
        <f>IF(COUNT(AB8:AB37)=0,"",AVERAGE(AB8:AB37))</f>
        <v/>
      </c>
      <c r="AI38" s="433" t="str">
        <f>IF(COUNT(AI8:AI37)=0,"",AVERAGE(AI8:AI37))</f>
        <v/>
      </c>
    </row>
    <row r="39" spans="1:40" x14ac:dyDescent="0.25">
      <c r="A39" s="2"/>
      <c r="B39" s="2"/>
      <c r="C39" s="2"/>
      <c r="D39" s="2"/>
      <c r="E39" s="2"/>
      <c r="F39" s="2"/>
      <c r="G39" s="2"/>
      <c r="I39" s="380" t="s">
        <v>36</v>
      </c>
      <c r="J39" s="381"/>
      <c r="K39" s="381"/>
      <c r="L39" s="381"/>
      <c r="M39" s="382"/>
      <c r="N39" s="118">
        <f>COUNTIF(N8:N37,"&lt;50")</f>
        <v>0</v>
      </c>
      <c r="O39" s="118">
        <f>COUNTIF(U8:U37,"&lt;50")</f>
        <v>0</v>
      </c>
      <c r="AC39" s="380" t="s">
        <v>36</v>
      </c>
      <c r="AD39" s="381"/>
      <c r="AE39" s="381"/>
      <c r="AF39" s="381"/>
      <c r="AG39" s="382"/>
      <c r="AH39" s="118">
        <f>COUNTIF(AB8:AB37,"&lt;50")</f>
        <v>0</v>
      </c>
      <c r="AI39" s="434">
        <f>COUNTIF(AI8:AI37,"&lt;50")</f>
        <v>0</v>
      </c>
    </row>
    <row r="40" spans="1:40" x14ac:dyDescent="0.25">
      <c r="A40" s="2"/>
      <c r="B40" s="2"/>
      <c r="C40" s="2"/>
      <c r="D40" s="2"/>
      <c r="E40" s="2"/>
      <c r="F40" s="2"/>
      <c r="G40" s="2"/>
      <c r="I40" s="380" t="s">
        <v>37</v>
      </c>
      <c r="J40" s="381"/>
      <c r="K40" s="381"/>
      <c r="L40" s="381"/>
      <c r="M40" s="382"/>
      <c r="N40" s="119">
        <f>IF(COUNT(N8:N37)=0,"",N39/(COUNT(N8:N37))*100)</f>
        <v>0</v>
      </c>
      <c r="O40" s="119">
        <f>IF(COUNT(U8:U37)=0,"",O39/(COUNT(U8:U37))*100)</f>
        <v>0</v>
      </c>
      <c r="AC40" s="380" t="s">
        <v>37</v>
      </c>
      <c r="AD40" s="381"/>
      <c r="AE40" s="381"/>
      <c r="AF40" s="381"/>
      <c r="AG40" s="382"/>
      <c r="AH40" s="119" t="str">
        <f>IF(COUNT(AB8:AB37)=0,"",AH39/(COUNT(AB8:AB37))*100)</f>
        <v/>
      </c>
      <c r="AI40" s="435" t="str">
        <f>IF(COUNT(AI8:AI37)=0,"",AI39/(COUNT(AI8:AI37))*100)</f>
        <v/>
      </c>
    </row>
    <row r="41" spans="1:40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</sheetData>
  <sheetProtection algorithmName="SHA-512" hashValue="Lga8lqK1EtqvBLOE4qps2+fhuIZaaUDfhKfnaH+ZPItm/5Ko2+TwC3Vpop8z6k3S4Vn+GXJ1zMBuv4xPsi4wWg==" saltValue="5C/hp41MoIo3ylsXcVw2Jw==" spinCount="100000" sheet="1" objects="1" scenarios="1"/>
  <dataConsolidate link="1"/>
  <mergeCells count="44">
    <mergeCell ref="AC39:AG39"/>
    <mergeCell ref="AC40:AG40"/>
    <mergeCell ref="AC38:AG38"/>
    <mergeCell ref="I38:M38"/>
    <mergeCell ref="I39:M39"/>
    <mergeCell ref="I40:M40"/>
    <mergeCell ref="B37:G37"/>
    <mergeCell ref="B35:G35"/>
    <mergeCell ref="B34:G34"/>
    <mergeCell ref="B33:G33"/>
    <mergeCell ref="B25:G25"/>
    <mergeCell ref="B26:G26"/>
    <mergeCell ref="B27:G27"/>
    <mergeCell ref="B28:G28"/>
    <mergeCell ref="B32:G32"/>
    <mergeCell ref="B31:G31"/>
    <mergeCell ref="B29:G29"/>
    <mergeCell ref="B30:G30"/>
    <mergeCell ref="B36:G36"/>
    <mergeCell ref="B22:G22"/>
    <mergeCell ref="B23:G23"/>
    <mergeCell ref="B24:G24"/>
    <mergeCell ref="B20:G20"/>
    <mergeCell ref="B21:G21"/>
    <mergeCell ref="AJ6:AK6"/>
    <mergeCell ref="B7:G7"/>
    <mergeCell ref="D4:G5"/>
    <mergeCell ref="B19:G19"/>
    <mergeCell ref="B8:G8"/>
    <mergeCell ref="B9:G9"/>
    <mergeCell ref="B10:G10"/>
    <mergeCell ref="B11:G11"/>
    <mergeCell ref="B12:G12"/>
    <mergeCell ref="B13:G13"/>
    <mergeCell ref="B14:G14"/>
    <mergeCell ref="B15:G15"/>
    <mergeCell ref="B16:G16"/>
    <mergeCell ref="B17:G17"/>
    <mergeCell ref="B18:G18"/>
    <mergeCell ref="H4:U5"/>
    <mergeCell ref="A3:G3"/>
    <mergeCell ref="D6:G6"/>
    <mergeCell ref="H3:AC3"/>
    <mergeCell ref="V4:AI5"/>
  </mergeCells>
  <dataValidations count="6">
    <dataValidation type="decimal" operator="lessThanOrEqual" allowBlank="1" showErrorMessage="1" errorTitle="Erro." error="Ultrapassou cotação máxima." sqref="H8:M37 V8:AA36 O8:T37 AC8:AH37" xr:uid="{50D053E5-90AC-4868-B783-8A0E0B6F1BB6}">
      <formula1>H$7</formula1>
    </dataValidation>
    <dataValidation type="decimal" operator="lessThanOrEqual" allowBlank="1" showErrorMessage="1" errorTitle="ERRO!" error="A pergunta não vale tanto!" sqref="V37" xr:uid="{D448FBD4-2DA6-4E87-BA31-EBA0F4E03DFE}">
      <formula1>V$7</formula1>
    </dataValidation>
    <dataValidation type="decimal" operator="lessThanOrEqual" allowBlank="1" showInputMessage="1" showErrorMessage="1" errorTitle="ERRO!" error="A pergunta não vale tanto!..." sqref="W37:AA37 N8:N37" xr:uid="{DBFB0B4C-E612-4404-A1E6-0F88AF1AC07E}">
      <formula1>N$7</formula1>
    </dataValidation>
    <dataValidation type="decimal" operator="lessThanOrEqual" showInputMessage="1" showErrorMessage="1" sqref="AB8:AB37" xr:uid="{BA4B9784-274A-4A84-A6FA-0989CD3361F2}">
      <formula1>AB$7</formula1>
    </dataValidation>
    <dataValidation type="decimal" operator="lessThanOrEqual" allowBlank="1" showInputMessage="1" showErrorMessage="1" errorTitle="Erro." error="Ultrapassou cotação máxima." sqref="U8:U37" xr:uid="{6136FF42-B753-4862-8CAB-4F7F87A990ED}">
      <formula1>U$7</formula1>
    </dataValidation>
    <dataValidation type="decimal" operator="lessThanOrEqual" showInputMessage="1" showErrorMessage="1" errorTitle="Erro" error="Ultrapassou cotação máxima." sqref="AI8:AI37" xr:uid="{FC1C3671-DE0D-409A-99CD-1FA88490E856}">
      <formula1>AI$7</formula1>
    </dataValidation>
  </dataValidations>
  <pageMargins left="0.7" right="0.7" top="0.75" bottom="0.75" header="0.3" footer="0.3"/>
  <pageSetup paperSize="9" orientation="portrait" horizontalDpi="4294967292" r:id="rId1"/>
  <ignoredErrors>
    <ignoredError sqref="B8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lha6">
    <pageSetUpPr fitToPage="1"/>
  </sheetPr>
  <dimension ref="A1:BQ54"/>
  <sheetViews>
    <sheetView zoomScale="85" zoomScaleNormal="85" workbookViewId="0">
      <pane xSplit="7" ySplit="7" topLeftCell="AB8" activePane="bottomRight" state="frozen"/>
      <selection activeCell="U42" sqref="U42"/>
      <selection pane="topRight" activeCell="U42" sqref="U42"/>
      <selection pane="bottomLeft" activeCell="U42" sqref="U42"/>
      <selection pane="bottomRight" activeCell="AA8" sqref="AA8"/>
    </sheetView>
  </sheetViews>
  <sheetFormatPr defaultRowHeight="15" x14ac:dyDescent="0.25"/>
  <cols>
    <col min="1" max="2" width="9.140625" style="51"/>
    <col min="3" max="3" width="8.5703125" style="51" customWidth="1"/>
    <col min="4" max="4" width="9.140625" style="51" hidden="1" customWidth="1"/>
    <col min="5" max="5" width="0.28515625" style="51" customWidth="1"/>
    <col min="6" max="6" width="9.140625" style="51" hidden="1" customWidth="1"/>
    <col min="7" max="7" width="2.7109375" style="51" customWidth="1"/>
    <col min="8" max="8" width="20.42578125" style="51" customWidth="1"/>
    <col min="9" max="9" width="30.5703125" style="51" customWidth="1"/>
    <col min="10" max="10" width="18.5703125" style="51" customWidth="1"/>
    <col min="11" max="11" width="26.28515625" style="51" customWidth="1"/>
    <col min="12" max="13" width="9.140625" style="51"/>
    <col min="14" max="14" width="13" style="51" customWidth="1"/>
    <col min="15" max="15" width="11.28515625" style="51" customWidth="1"/>
    <col min="16" max="16" width="10" style="51" customWidth="1"/>
    <col min="17" max="22" width="9.140625" style="51" customWidth="1"/>
    <col min="23" max="23" width="20.140625" style="51" customWidth="1"/>
    <col min="24" max="24" width="24.85546875" style="51" customWidth="1"/>
    <col min="25" max="25" width="24.42578125" style="51" customWidth="1"/>
    <col min="26" max="26" width="26.5703125" style="51" customWidth="1"/>
    <col min="27" max="27" width="9.140625" style="51"/>
    <col min="28" max="28" width="7.7109375" style="51" customWidth="1"/>
    <col min="29" max="29" width="11" style="51" customWidth="1"/>
    <col min="30" max="30" width="8" style="51" customWidth="1"/>
    <col min="31" max="31" width="9.42578125" style="51" customWidth="1"/>
    <col min="32" max="32" width="10.85546875" style="51" customWidth="1"/>
    <col min="33" max="38" width="9.140625" style="51"/>
    <col min="39" max="39" width="21.42578125" style="51" customWidth="1"/>
    <col min="40" max="40" width="28.28515625" style="51" customWidth="1"/>
    <col min="41" max="41" width="20.5703125" style="51" customWidth="1"/>
    <col min="42" max="42" width="23.85546875" style="51" customWidth="1"/>
    <col min="43" max="43" width="9.140625" style="51"/>
    <col min="44" max="44" width="10.85546875" style="51" customWidth="1"/>
    <col min="45" max="53" width="9.140625" style="51"/>
    <col min="54" max="54" width="21.85546875" style="51" customWidth="1"/>
    <col min="55" max="55" width="28.85546875" style="51" customWidth="1"/>
    <col min="56" max="56" width="20.85546875" style="51" customWidth="1"/>
    <col min="57" max="57" width="25.5703125" style="51" customWidth="1"/>
    <col min="58" max="58" width="9.140625" style="51"/>
    <col min="59" max="59" width="11" style="51" customWidth="1"/>
    <col min="60" max="67" width="9.140625" style="51"/>
    <col min="68" max="68" width="10.7109375" style="51" customWidth="1"/>
    <col min="69" max="69" width="9.85546875" style="51" bestFit="1" customWidth="1"/>
    <col min="70" max="16384" width="9.140625" style="51"/>
  </cols>
  <sheetData>
    <row r="1" spans="1:69" ht="27" x14ac:dyDescent="0.25">
      <c r="A1" s="1" t="s">
        <v>17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</row>
    <row r="2" spans="1:69" ht="27" x14ac:dyDescent="0.25">
      <c r="A2" s="3" t="s">
        <v>2</v>
      </c>
      <c r="B2" s="1"/>
      <c r="C2" s="1"/>
      <c r="D2" s="1"/>
      <c r="E2" s="1"/>
      <c r="F2" s="1"/>
      <c r="G2" s="1"/>
      <c r="H2" s="1"/>
      <c r="I2" s="1"/>
      <c r="J2" s="1"/>
      <c r="K2" s="215" t="s">
        <v>68</v>
      </c>
      <c r="L2" s="1"/>
      <c r="M2" s="1"/>
      <c r="N2" s="1"/>
      <c r="O2" s="1"/>
      <c r="P2" s="1"/>
      <c r="Q2" s="1"/>
      <c r="R2" s="1"/>
      <c r="S2" s="1"/>
      <c r="T2" s="48"/>
      <c r="U2" s="1"/>
      <c r="V2" s="1"/>
      <c r="W2" s="1"/>
      <c r="X2" s="1"/>
      <c r="Y2" s="1"/>
    </row>
    <row r="3" spans="1:69" ht="21" thickBot="1" x14ac:dyDescent="0.3">
      <c r="A3" s="402"/>
      <c r="B3" s="403"/>
      <c r="C3" s="403"/>
      <c r="D3" s="403"/>
      <c r="E3" s="403"/>
      <c r="F3" s="403"/>
      <c r="G3" s="419"/>
      <c r="H3" s="427" t="s">
        <v>92</v>
      </c>
      <c r="I3" s="428"/>
      <c r="J3" s="428"/>
      <c r="K3" s="428"/>
      <c r="L3" s="428"/>
      <c r="M3" s="428"/>
      <c r="N3" s="428"/>
      <c r="O3" s="428"/>
      <c r="P3" s="428"/>
      <c r="Q3" s="428"/>
      <c r="R3" s="428"/>
      <c r="S3" s="428"/>
      <c r="T3" s="428"/>
      <c r="U3" s="428"/>
      <c r="V3" s="428"/>
      <c r="W3" s="428"/>
      <c r="X3" s="428"/>
      <c r="Y3" s="428"/>
      <c r="Z3" s="428"/>
      <c r="AA3" s="428"/>
      <c r="AB3" s="428"/>
      <c r="AC3" s="428"/>
      <c r="AD3" s="428"/>
      <c r="AE3" s="428"/>
      <c r="AF3" s="428"/>
      <c r="AG3" s="428"/>
      <c r="AH3" s="428"/>
      <c r="AI3" s="428"/>
      <c r="AJ3" s="428"/>
      <c r="AK3" s="428"/>
      <c r="AL3" s="428"/>
      <c r="AM3" s="428"/>
      <c r="AN3" s="428"/>
      <c r="AO3" s="428"/>
      <c r="AP3" s="428"/>
      <c r="AQ3" s="428"/>
      <c r="AR3" s="428"/>
      <c r="AS3" s="428"/>
      <c r="AT3" s="428"/>
      <c r="AU3" s="428"/>
      <c r="AV3" s="428"/>
      <c r="AW3" s="428"/>
      <c r="AX3" s="428"/>
      <c r="AY3" s="428"/>
      <c r="AZ3" s="428"/>
    </row>
    <row r="4" spans="1:69" ht="15.75" thickBot="1" x14ac:dyDescent="0.3">
      <c r="A4" s="4"/>
      <c r="B4" s="5"/>
      <c r="C4" s="5"/>
      <c r="D4" s="408"/>
      <c r="E4" s="408"/>
      <c r="F4" s="408"/>
      <c r="G4" s="392"/>
      <c r="H4" s="449" t="s">
        <v>56</v>
      </c>
      <c r="I4" s="450"/>
      <c r="J4" s="450"/>
      <c r="K4" s="450"/>
      <c r="L4" s="450"/>
      <c r="M4" s="450"/>
      <c r="N4" s="450"/>
      <c r="O4" s="450"/>
      <c r="P4" s="450"/>
      <c r="Q4" s="450"/>
      <c r="R4" s="450"/>
      <c r="S4" s="450"/>
      <c r="T4" s="450"/>
      <c r="U4" s="450"/>
      <c r="V4" s="450"/>
      <c r="W4" s="450"/>
      <c r="X4" s="450"/>
      <c r="Y4" s="450"/>
      <c r="Z4" s="450"/>
      <c r="AA4" s="450"/>
      <c r="AB4" s="450"/>
      <c r="AC4" s="450"/>
      <c r="AD4" s="450"/>
      <c r="AE4" s="450"/>
      <c r="AF4" s="450"/>
      <c r="AG4" s="450"/>
      <c r="AH4" s="450"/>
      <c r="AI4" s="450"/>
      <c r="AJ4" s="450"/>
      <c r="AK4" s="450"/>
      <c r="AL4" s="451"/>
      <c r="AM4" s="481" t="s">
        <v>55</v>
      </c>
      <c r="AN4" s="482"/>
      <c r="AO4" s="482"/>
      <c r="AP4" s="482"/>
      <c r="AQ4" s="482"/>
      <c r="AR4" s="482"/>
      <c r="AS4" s="482"/>
      <c r="AT4" s="482"/>
      <c r="AU4" s="482"/>
      <c r="AV4" s="482"/>
      <c r="AW4" s="482"/>
      <c r="AX4" s="482"/>
      <c r="AY4" s="482"/>
      <c r="AZ4" s="482"/>
      <c r="BA4" s="482"/>
      <c r="BB4" s="482"/>
      <c r="BC4" s="482"/>
      <c r="BD4" s="482"/>
      <c r="BE4" s="482"/>
      <c r="BF4" s="482"/>
      <c r="BG4" s="482"/>
      <c r="BH4" s="482"/>
      <c r="BI4" s="482"/>
      <c r="BJ4" s="482"/>
      <c r="BK4" s="482"/>
      <c r="BL4" s="482"/>
      <c r="BM4" s="482"/>
      <c r="BN4" s="482"/>
      <c r="BO4" s="482"/>
      <c r="BP4" s="482"/>
      <c r="BQ4" s="483"/>
    </row>
    <row r="5" spans="1:69" x14ac:dyDescent="0.25">
      <c r="A5" s="4"/>
      <c r="B5" s="5"/>
      <c r="C5" s="5"/>
      <c r="D5" s="408"/>
      <c r="E5" s="408"/>
      <c r="F5" s="408"/>
      <c r="G5" s="392"/>
      <c r="H5" s="452" t="s">
        <v>95</v>
      </c>
      <c r="I5" s="437"/>
      <c r="J5" s="437"/>
      <c r="K5" s="437"/>
      <c r="L5" s="437"/>
      <c r="M5" s="437"/>
      <c r="N5" s="437"/>
      <c r="O5" s="437"/>
      <c r="P5" s="438"/>
      <c r="Q5" s="397" t="s">
        <v>93</v>
      </c>
      <c r="R5" s="398"/>
      <c r="S5" s="398"/>
      <c r="T5" s="398"/>
      <c r="U5" s="398"/>
      <c r="V5" s="399"/>
      <c r="W5" s="436" t="s">
        <v>94</v>
      </c>
      <c r="X5" s="437"/>
      <c r="Y5" s="437"/>
      <c r="Z5" s="437"/>
      <c r="AA5" s="437"/>
      <c r="AB5" s="437"/>
      <c r="AC5" s="437"/>
      <c r="AD5" s="437"/>
      <c r="AE5" s="438"/>
      <c r="AF5" s="436" t="s">
        <v>96</v>
      </c>
      <c r="AG5" s="437"/>
      <c r="AH5" s="437"/>
      <c r="AI5" s="437"/>
      <c r="AJ5" s="437"/>
      <c r="AK5" s="453"/>
      <c r="AL5" s="480" t="s">
        <v>19</v>
      </c>
      <c r="AM5" s="449" t="s">
        <v>95</v>
      </c>
      <c r="AN5" s="450"/>
      <c r="AO5" s="450"/>
      <c r="AP5" s="450"/>
      <c r="AQ5" s="450"/>
      <c r="AR5" s="450"/>
      <c r="AS5" s="450"/>
      <c r="AT5" s="489"/>
      <c r="AU5" s="397" t="s">
        <v>93</v>
      </c>
      <c r="AV5" s="398"/>
      <c r="AW5" s="398"/>
      <c r="AX5" s="398"/>
      <c r="AY5" s="398"/>
      <c r="AZ5" s="399"/>
      <c r="BA5" s="397" t="s">
        <v>94</v>
      </c>
      <c r="BB5" s="398"/>
      <c r="BC5" s="398"/>
      <c r="BD5" s="398"/>
      <c r="BE5" s="398"/>
      <c r="BF5" s="398"/>
      <c r="BG5" s="398"/>
      <c r="BH5" s="398"/>
      <c r="BI5" s="398"/>
      <c r="BJ5" s="397" t="s">
        <v>96</v>
      </c>
      <c r="BK5" s="398"/>
      <c r="BL5" s="398"/>
      <c r="BM5" s="398"/>
      <c r="BN5" s="398"/>
      <c r="BO5" s="398"/>
      <c r="BP5" s="398"/>
      <c r="BQ5" s="542" t="s">
        <v>19</v>
      </c>
    </row>
    <row r="6" spans="1:69" ht="29.25" customHeight="1" x14ac:dyDescent="0.25">
      <c r="A6" s="6"/>
      <c r="B6" s="27"/>
      <c r="C6" s="422" t="s">
        <v>20</v>
      </c>
      <c r="D6" s="423"/>
      <c r="E6" s="423"/>
      <c r="F6" s="423"/>
      <c r="G6" s="423"/>
      <c r="H6" s="454" t="s">
        <v>109</v>
      </c>
      <c r="I6" s="43" t="s">
        <v>110</v>
      </c>
      <c r="J6" s="43" t="s">
        <v>111</v>
      </c>
      <c r="K6" s="43" t="s">
        <v>112</v>
      </c>
      <c r="L6" s="43"/>
      <c r="M6" s="192" t="s">
        <v>50</v>
      </c>
      <c r="N6" s="205" t="s">
        <v>51</v>
      </c>
      <c r="O6" s="188" t="s">
        <v>48</v>
      </c>
      <c r="P6" s="23" t="s">
        <v>18</v>
      </c>
      <c r="Q6" s="185" t="s">
        <v>16</v>
      </c>
      <c r="R6" s="186" t="s">
        <v>34</v>
      </c>
      <c r="S6" s="186" t="s">
        <v>42</v>
      </c>
      <c r="T6" s="186" t="s">
        <v>43</v>
      </c>
      <c r="U6" s="186" t="s">
        <v>44</v>
      </c>
      <c r="V6" s="26" t="s">
        <v>18</v>
      </c>
      <c r="W6" s="454" t="s">
        <v>109</v>
      </c>
      <c r="X6" s="43" t="s">
        <v>110</v>
      </c>
      <c r="Y6" s="43" t="s">
        <v>111</v>
      </c>
      <c r="Z6" s="43" t="s">
        <v>112</v>
      </c>
      <c r="AA6" s="43" t="s">
        <v>31</v>
      </c>
      <c r="AB6" s="192" t="s">
        <v>50</v>
      </c>
      <c r="AC6" s="205" t="s">
        <v>51</v>
      </c>
      <c r="AD6" s="188" t="s">
        <v>48</v>
      </c>
      <c r="AE6" s="23" t="s">
        <v>18</v>
      </c>
      <c r="AF6" s="185" t="s">
        <v>16</v>
      </c>
      <c r="AG6" s="186" t="s">
        <v>34</v>
      </c>
      <c r="AH6" s="186" t="s">
        <v>42</v>
      </c>
      <c r="AI6" s="186" t="s">
        <v>43</v>
      </c>
      <c r="AJ6" s="186" t="s">
        <v>44</v>
      </c>
      <c r="AK6" s="455" t="s">
        <v>18</v>
      </c>
      <c r="AL6" s="479"/>
      <c r="AM6" s="454" t="s">
        <v>109</v>
      </c>
      <c r="AN6" s="43" t="s">
        <v>110</v>
      </c>
      <c r="AO6" s="43" t="s">
        <v>111</v>
      </c>
      <c r="AP6" s="43" t="s">
        <v>112</v>
      </c>
      <c r="AQ6" s="186"/>
      <c r="AR6" s="24" t="s">
        <v>41</v>
      </c>
      <c r="AS6" s="205" t="s">
        <v>51</v>
      </c>
      <c r="AT6" s="188" t="s">
        <v>48</v>
      </c>
      <c r="AU6" s="26" t="s">
        <v>18</v>
      </c>
      <c r="AV6" s="185" t="s">
        <v>16</v>
      </c>
      <c r="AW6" s="186" t="s">
        <v>34</v>
      </c>
      <c r="AX6" s="186" t="s">
        <v>42</v>
      </c>
      <c r="AY6" s="186" t="s">
        <v>43</v>
      </c>
      <c r="AZ6" s="186" t="s">
        <v>44</v>
      </c>
      <c r="BA6" s="26" t="s">
        <v>18</v>
      </c>
      <c r="BB6" s="454" t="s">
        <v>109</v>
      </c>
      <c r="BC6" s="43" t="s">
        <v>110</v>
      </c>
      <c r="BD6" s="43" t="s">
        <v>111</v>
      </c>
      <c r="BE6" s="43" t="s">
        <v>112</v>
      </c>
      <c r="BF6" s="186" t="s">
        <v>44</v>
      </c>
      <c r="BG6" s="24" t="s">
        <v>41</v>
      </c>
      <c r="BH6" s="205" t="s">
        <v>51</v>
      </c>
      <c r="BI6" s="188" t="s">
        <v>48</v>
      </c>
      <c r="BJ6" s="484"/>
      <c r="BK6" s="485" t="s">
        <v>16</v>
      </c>
      <c r="BL6" s="486" t="s">
        <v>34</v>
      </c>
      <c r="BM6" s="486" t="s">
        <v>42</v>
      </c>
      <c r="BN6" s="486" t="s">
        <v>43</v>
      </c>
      <c r="BO6" s="486" t="s">
        <v>44</v>
      </c>
      <c r="BP6" s="487" t="s">
        <v>18</v>
      </c>
      <c r="BQ6" s="543"/>
    </row>
    <row r="7" spans="1:69" ht="30.75" customHeight="1" x14ac:dyDescent="0.25">
      <c r="A7" s="22" t="s">
        <v>4</v>
      </c>
      <c r="B7" s="405" t="s">
        <v>39</v>
      </c>
      <c r="C7" s="406"/>
      <c r="D7" s="406"/>
      <c r="E7" s="406"/>
      <c r="F7" s="406"/>
      <c r="G7" s="407"/>
      <c r="H7" s="456">
        <v>25</v>
      </c>
      <c r="I7" s="41">
        <v>25</v>
      </c>
      <c r="J7" s="41">
        <v>25</v>
      </c>
      <c r="K7" s="41">
        <v>25</v>
      </c>
      <c r="L7" s="41"/>
      <c r="M7" s="193"/>
      <c r="N7" s="57">
        <f>SUM(H7:L7)</f>
        <v>100</v>
      </c>
      <c r="O7" s="57">
        <v>100</v>
      </c>
      <c r="P7" s="57">
        <f>100</f>
        <v>100</v>
      </c>
      <c r="Q7" s="40">
        <v>100</v>
      </c>
      <c r="R7" s="41"/>
      <c r="S7" s="41"/>
      <c r="T7" s="41"/>
      <c r="U7" s="41"/>
      <c r="V7" s="58">
        <f>100</f>
        <v>100</v>
      </c>
      <c r="W7" s="42">
        <v>25</v>
      </c>
      <c r="X7" s="41">
        <v>25</v>
      </c>
      <c r="Y7" s="41">
        <v>25</v>
      </c>
      <c r="Z7" s="41">
        <v>25</v>
      </c>
      <c r="AA7" s="41"/>
      <c r="AB7" s="193"/>
      <c r="AC7" s="57">
        <f>SUM(W7:AA7)</f>
        <v>100</v>
      </c>
      <c r="AD7" s="57">
        <v>100</v>
      </c>
      <c r="AE7" s="57">
        <f>100</f>
        <v>100</v>
      </c>
      <c r="AF7" s="40">
        <v>100</v>
      </c>
      <c r="AG7" s="41"/>
      <c r="AH7" s="41"/>
      <c r="AI7" s="41"/>
      <c r="AJ7" s="41"/>
      <c r="AK7" s="457">
        <f>100</f>
        <v>100</v>
      </c>
      <c r="AL7" s="457">
        <f>100</f>
        <v>100</v>
      </c>
      <c r="AM7" s="41">
        <v>25</v>
      </c>
      <c r="AN7" s="41">
        <v>25</v>
      </c>
      <c r="AO7" s="41">
        <v>25</v>
      </c>
      <c r="AP7" s="41">
        <v>25</v>
      </c>
      <c r="AQ7" s="41"/>
      <c r="AR7" s="41"/>
      <c r="AS7" s="59">
        <f>SUM(AM7:AQ7)</f>
        <v>100</v>
      </c>
      <c r="AT7" s="57">
        <v>100</v>
      </c>
      <c r="AU7" s="58">
        <f>100</f>
        <v>100</v>
      </c>
      <c r="AV7" s="40">
        <v>100</v>
      </c>
      <c r="AW7" s="41"/>
      <c r="AX7" s="41"/>
      <c r="AY7" s="41"/>
      <c r="AZ7" s="41"/>
      <c r="BA7" s="58">
        <f>100</f>
        <v>100</v>
      </c>
      <c r="BB7" s="40">
        <v>25</v>
      </c>
      <c r="BC7" s="41">
        <v>25</v>
      </c>
      <c r="BD7" s="41">
        <v>25</v>
      </c>
      <c r="BE7" s="41">
        <v>25</v>
      </c>
      <c r="BF7" s="41"/>
      <c r="BG7" s="41"/>
      <c r="BH7" s="59">
        <f>SUM(BB7:BF7)</f>
        <v>100</v>
      </c>
      <c r="BI7" s="57">
        <v>100</v>
      </c>
      <c r="BJ7" s="58">
        <f>100</f>
        <v>100</v>
      </c>
      <c r="BK7" s="40">
        <v>100</v>
      </c>
      <c r="BL7" s="41"/>
      <c r="BM7" s="41"/>
      <c r="BN7" s="41"/>
      <c r="BO7" s="41"/>
      <c r="BP7" s="457">
        <f>100</f>
        <v>100</v>
      </c>
      <c r="BQ7" s="457">
        <f>100</f>
        <v>100</v>
      </c>
    </row>
    <row r="8" spans="1:69" x14ac:dyDescent="0.25">
      <c r="A8" s="90">
        <f>IF('Avaliação Períodos'!A9=0,"",'Avaliação Períodos'!A9)</f>
        <v>4</v>
      </c>
      <c r="B8" s="409" t="str">
        <f>IF('Avaliação Períodos'!B9=0,"",'Avaliação Períodos'!B9)</f>
        <v>Andji</v>
      </c>
      <c r="C8" s="410"/>
      <c r="D8" s="410"/>
      <c r="E8" s="410"/>
      <c r="F8" s="410"/>
      <c r="G8" s="410"/>
      <c r="H8" s="458"/>
      <c r="I8" s="94"/>
      <c r="J8" s="94"/>
      <c r="K8" s="94">
        <v>20</v>
      </c>
      <c r="L8" s="95"/>
      <c r="M8" s="122"/>
      <c r="N8" s="199">
        <f>IF(COUNT(H8:M8)=0,"",IF(SUM(H8:L8) - ABS(M8)&lt;0,"0",SUM(H8:L8) - ABS(M8)))</f>
        <v>20</v>
      </c>
      <c r="O8" s="189"/>
      <c r="P8" s="10" cm="1">
        <f t="array" ref="P8">composicaoValor(H8:L8,O8,M8)</f>
        <v>20</v>
      </c>
      <c r="Q8" s="114">
        <v>100</v>
      </c>
      <c r="R8" s="115"/>
      <c r="S8" s="115"/>
      <c r="T8" s="115"/>
      <c r="U8" s="115"/>
      <c r="V8" s="10" cm="1">
        <f t="array" ref="V8">somaComEspacosVazios(Q8:U8)</f>
        <v>100</v>
      </c>
      <c r="W8" s="129"/>
      <c r="X8" s="94"/>
      <c r="Y8" s="94">
        <v>20</v>
      </c>
      <c r="Z8" s="94"/>
      <c r="AA8" s="95"/>
      <c r="AB8" s="122"/>
      <c r="AC8" s="199">
        <f>IF(COUNT(W8:AB8)=0,"",IF(SUM(W8:AA8) - ABS(AB8)&lt;0,"0",SUM(W8:AA8) - ABS(AB8)))</f>
        <v>20</v>
      </c>
      <c r="AD8" s="189"/>
      <c r="AE8" s="10" cm="1">
        <f t="array" ref="AE8">composicaoValor(W8:AA8,AD8,AB8)</f>
        <v>20</v>
      </c>
      <c r="AF8" s="114">
        <v>50</v>
      </c>
      <c r="AG8" s="115"/>
      <c r="AH8" s="115"/>
      <c r="AI8" s="115"/>
      <c r="AJ8" s="115"/>
      <c r="AK8" s="459" cm="1">
        <f t="array" ref="AK8">somaComEspacosVazios(AF8:AJ8)</f>
        <v>50</v>
      </c>
      <c r="AL8" s="459" cm="1">
        <f t="array" ref="AL8">mediaComposicaoGramatica(V8,P8,AK8,AE8,0.2,0.8)</f>
        <v>31</v>
      </c>
      <c r="AM8" s="439"/>
      <c r="AN8" s="115"/>
      <c r="AO8" s="115"/>
      <c r="AP8" s="115"/>
      <c r="AQ8" s="115"/>
      <c r="AR8" s="115"/>
      <c r="AS8" s="199" t="str">
        <f>IF(COUNT(AM8:AR8)=0,"",IF(SUM(AM8:AQ8) - ABS(AR8)&lt;0,"0",SUM(AM8:AQ8) - ABS(AR8)))</f>
        <v/>
      </c>
      <c r="AT8" s="189"/>
      <c r="AU8" s="10" t="str" cm="1">
        <f t="array" ref="AU8">composicaoValor(AM8:AQ8,AT8,AR8)</f>
        <v/>
      </c>
      <c r="AV8" s="114"/>
      <c r="AW8" s="115"/>
      <c r="AX8" s="115"/>
      <c r="AY8" s="115"/>
      <c r="AZ8" s="115"/>
      <c r="BA8" s="10" t="str" cm="1">
        <f t="array" ref="BA8">somaComEspacosVazios(AV8:AZ8)</f>
        <v/>
      </c>
      <c r="BB8" s="114"/>
      <c r="BC8" s="115"/>
      <c r="BD8" s="115"/>
      <c r="BE8" s="115"/>
      <c r="BF8" s="115"/>
      <c r="BG8" s="115"/>
      <c r="BH8" s="199" t="str">
        <f>IF(COUNT(BB8:BG8)=0,"",IF(SUM(BB8:BF8) - ABS(BG8)&lt;0,"0",SUM(BB8:BF8) - ABS(BG8)))</f>
        <v/>
      </c>
      <c r="BI8" s="189"/>
      <c r="BJ8" s="10" t="str" cm="1">
        <f t="array" ref="BJ8">composicaoValor(BB8:BF8,BI8,BG8)</f>
        <v/>
      </c>
      <c r="BK8" s="114"/>
      <c r="BL8" s="115"/>
      <c r="BM8" s="115"/>
      <c r="BN8" s="115"/>
      <c r="BO8" s="115"/>
      <c r="BP8" s="459" t="str" cm="1">
        <f t="array" ref="BP8">somaComEspacosVazios(BK8:BO8)</f>
        <v/>
      </c>
      <c r="BQ8" s="459" t="str" cm="1">
        <f t="array" ref="BQ8">mediaComposicaoGramatica(BA8,AU8,BP8,BJ8,0.2,0.8)</f>
        <v/>
      </c>
    </row>
    <row r="9" spans="1:69" x14ac:dyDescent="0.25">
      <c r="A9" s="91">
        <f>IF('Avaliação Períodos'!A10=0,"",'Avaliação Períodos'!A10)</f>
        <v>7</v>
      </c>
      <c r="B9" s="412" t="str">
        <f>IF('Avaliação Períodos'!B10=0,"",'Avaliação Períodos'!B10)</f>
        <v>Cecília</v>
      </c>
      <c r="C9" s="413"/>
      <c r="D9" s="413"/>
      <c r="E9" s="413"/>
      <c r="F9" s="413"/>
      <c r="G9" s="413"/>
      <c r="H9" s="460"/>
      <c r="I9" s="97"/>
      <c r="J9" s="97"/>
      <c r="K9" s="97"/>
      <c r="L9" s="98"/>
      <c r="M9" s="194"/>
      <c r="N9" s="200" t="str">
        <f t="shared" ref="N9:N37" si="0">IF(COUNT(H9:M9)=0,"",IF(SUM(H9:L9) - ABS(M9)&lt;0,"0",SUM(H9:L9) - ABS(M9)))</f>
        <v/>
      </c>
      <c r="O9" s="190"/>
      <c r="P9" s="10" t="str" cm="1">
        <f t="array" ref="P9">composicaoValor(H9:L9,O9,M9)</f>
        <v/>
      </c>
      <c r="Q9" s="96"/>
      <c r="R9" s="97"/>
      <c r="S9" s="97"/>
      <c r="T9" s="97"/>
      <c r="U9" s="97"/>
      <c r="V9" s="10" t="str" cm="1">
        <f t="array" ref="V9">somaComEspacosVazios(Q9:U9)</f>
        <v/>
      </c>
      <c r="W9" s="96"/>
      <c r="X9" s="97"/>
      <c r="Y9" s="97"/>
      <c r="Z9" s="97"/>
      <c r="AA9" s="98"/>
      <c r="AB9" s="194"/>
      <c r="AC9" s="200" t="str">
        <f t="shared" ref="AC9:AC37" si="1">IF(COUNT(W9:AB9)=0,"",IF(SUM(W9:AA9) - ABS(AB9)&lt;0,"0",SUM(W9:AA9) - ABS(AB9)))</f>
        <v/>
      </c>
      <c r="AD9" s="190"/>
      <c r="AE9" s="10" t="str" cm="1">
        <f t="array" ref="AE9">composicaoValor(W9:AA9,AD9,AB9)</f>
        <v/>
      </c>
      <c r="AF9" s="96"/>
      <c r="AG9" s="97"/>
      <c r="AH9" s="97"/>
      <c r="AI9" s="97"/>
      <c r="AJ9" s="97"/>
      <c r="AK9" s="459" t="str" cm="1">
        <f t="array" ref="AK9">somaComEspacosVazios(AF9:AJ9)</f>
        <v/>
      </c>
      <c r="AL9" s="459" t="str" cm="1">
        <f t="array" ref="AL9">mediaComposicaoGramatica(V9,P9,AK9,AE9,0.2,0.8)</f>
        <v/>
      </c>
      <c r="AM9" s="440"/>
      <c r="AN9" s="97"/>
      <c r="AO9" s="97"/>
      <c r="AP9" s="97"/>
      <c r="AQ9" s="97"/>
      <c r="AR9" s="97"/>
      <c r="AS9" s="200" t="str">
        <f>IF(COUNT(AM9:AR9)=0,"",IF(SUM(AM9:AQ9) - ABS(AR9)&lt;0,"0",SUM(AM9:AQ9) - ABS(AR9)))</f>
        <v/>
      </c>
      <c r="AT9" s="190"/>
      <c r="AU9" s="10" t="str" cm="1">
        <f t="array" ref="AU9">composicaoValor(AM9:AQ9,AT9,AR9)</f>
        <v/>
      </c>
      <c r="AV9" s="96"/>
      <c r="AW9" s="97"/>
      <c r="AX9" s="97"/>
      <c r="AY9" s="97"/>
      <c r="AZ9" s="97"/>
      <c r="BA9" s="10" t="str" cm="1">
        <f t="array" ref="BA9">somaComEspacosVazios(AV9:AZ9)</f>
        <v/>
      </c>
      <c r="BB9" s="96"/>
      <c r="BC9" s="97"/>
      <c r="BD9" s="97"/>
      <c r="BE9" s="97"/>
      <c r="BF9" s="97"/>
      <c r="BG9" s="97"/>
      <c r="BH9" s="200" t="str">
        <f>IF(COUNT(BB9:BG9)=0,"",IF(SUM(BB9:BF9) - ABS(BG9)&lt;0,"0",SUM(BB9:BF9) - ABS(BG9)))</f>
        <v/>
      </c>
      <c r="BI9" s="190"/>
      <c r="BJ9" s="10" t="str" cm="1">
        <f t="array" ref="BJ9">composicaoValor(BB9:BF9,BI9,BG9)</f>
        <v/>
      </c>
      <c r="BK9" s="96"/>
      <c r="BL9" s="97"/>
      <c r="BM9" s="97"/>
      <c r="BN9" s="97"/>
      <c r="BO9" s="97"/>
      <c r="BP9" s="459" t="str" cm="1">
        <f t="array" ref="BP9">somaComEspacosVazios(BK9:BO9)</f>
        <v/>
      </c>
      <c r="BQ9" s="459" t="str" cm="1">
        <f t="array" ref="BQ9">mediaComposicaoGramatica(BA9,AU9,BP9,BJ9,0.2,0.8)</f>
        <v/>
      </c>
    </row>
    <row r="10" spans="1:69" x14ac:dyDescent="0.25">
      <c r="A10" s="90">
        <f>IF('Avaliação Períodos'!A11=0,"",'Avaliação Períodos'!A11)</f>
        <v>8</v>
      </c>
      <c r="B10" s="420" t="str">
        <f>IF('Avaliação Períodos'!B11=0,"",'Avaliação Períodos'!B11)</f>
        <v>Daniela</v>
      </c>
      <c r="C10" s="421"/>
      <c r="D10" s="421"/>
      <c r="E10" s="421"/>
      <c r="F10" s="421"/>
      <c r="G10" s="421"/>
      <c r="H10" s="461"/>
      <c r="I10" s="101"/>
      <c r="J10" s="101"/>
      <c r="K10" s="101"/>
      <c r="L10" s="102"/>
      <c r="M10" s="124"/>
      <c r="N10" s="201" t="str">
        <f t="shared" si="0"/>
        <v/>
      </c>
      <c r="O10" s="196"/>
      <c r="P10" s="10" t="str" cm="1">
        <f t="array" ref="P10">composicaoValor(H10:L10,O10,M10)</f>
        <v/>
      </c>
      <c r="Q10" s="100"/>
      <c r="R10" s="101"/>
      <c r="S10" s="101"/>
      <c r="T10" s="101"/>
      <c r="U10" s="101"/>
      <c r="V10" s="10" t="str" cm="1">
        <f t="array" ref="V10">somaComEspacosVazios(Q10:U10)</f>
        <v/>
      </c>
      <c r="W10" s="100"/>
      <c r="X10" s="101"/>
      <c r="Y10" s="101"/>
      <c r="Z10" s="101"/>
      <c r="AA10" s="102"/>
      <c r="AB10" s="124"/>
      <c r="AC10" s="201" t="str">
        <f t="shared" si="1"/>
        <v/>
      </c>
      <c r="AD10" s="196"/>
      <c r="AE10" s="10" t="str" cm="1">
        <f t="array" ref="AE10">composicaoValor(W10:AA10,AD10,AB10)</f>
        <v/>
      </c>
      <c r="AF10" s="100"/>
      <c r="AG10" s="101"/>
      <c r="AH10" s="101"/>
      <c r="AI10" s="101"/>
      <c r="AJ10" s="101"/>
      <c r="AK10" s="459" t="str" cm="1">
        <f t="array" ref="AK10">somaComEspacosVazios(AF10:AJ10)</f>
        <v/>
      </c>
      <c r="AL10" s="459" t="str" cm="1">
        <f t="array" ref="AL10">mediaComposicaoGramatica(V10,P10,AK10,AE10,0.2,0.8)</f>
        <v/>
      </c>
      <c r="AM10" s="445"/>
      <c r="AN10" s="101"/>
      <c r="AO10" s="101"/>
      <c r="AP10" s="101"/>
      <c r="AQ10" s="101"/>
      <c r="AR10" s="101"/>
      <c r="AS10" s="201" t="str">
        <f>IF(COUNT(AM10:AR10)=0,"",IF(SUM(AM10:AQ10) - ABS(AR10)&lt;0,"0",SUM(AM10:AQ10) - ABS(AR10)))</f>
        <v/>
      </c>
      <c r="AT10" s="196"/>
      <c r="AU10" s="10" t="str" cm="1">
        <f t="array" ref="AU10">composicaoValor(AM10:AQ10,AT10,AR10)</f>
        <v/>
      </c>
      <c r="AV10" s="100"/>
      <c r="AW10" s="101"/>
      <c r="AX10" s="101"/>
      <c r="AY10" s="101"/>
      <c r="AZ10" s="101"/>
      <c r="BA10" s="10" t="str" cm="1">
        <f t="array" ref="BA10">somaComEspacosVazios(AV10:AZ10)</f>
        <v/>
      </c>
      <c r="BB10" s="100"/>
      <c r="BC10" s="101"/>
      <c r="BD10" s="101"/>
      <c r="BE10" s="101"/>
      <c r="BF10" s="101"/>
      <c r="BG10" s="101"/>
      <c r="BH10" s="201" t="str">
        <f>IF(COUNT(BB10:BG10)=0,"",IF(SUM(BB10:BF10) - ABS(BG10)&lt;0,"0",SUM(BB10:BF10) - ABS(BG10)))</f>
        <v/>
      </c>
      <c r="BI10" s="196"/>
      <c r="BJ10" s="10" t="str" cm="1">
        <f t="array" ref="BJ10">composicaoValor(BB10:BF10,BI10,BG10)</f>
        <v/>
      </c>
      <c r="BK10" s="100"/>
      <c r="BL10" s="101"/>
      <c r="BM10" s="101"/>
      <c r="BN10" s="101"/>
      <c r="BO10" s="101"/>
      <c r="BP10" s="459" t="str" cm="1">
        <f t="array" ref="BP10">somaComEspacosVazios(BK10:BO10)</f>
        <v/>
      </c>
      <c r="BQ10" s="459" t="str" cm="1">
        <f t="array" ref="BQ10">mediaComposicaoGramatica(BA10,AU10,BP10,BJ10,0.2,0.8)</f>
        <v/>
      </c>
    </row>
    <row r="11" spans="1:69" x14ac:dyDescent="0.25">
      <c r="A11" s="91">
        <f>IF('Avaliação Períodos'!A12=0,"",'Avaliação Períodos'!A12)</f>
        <v>13</v>
      </c>
      <c r="B11" s="412" t="str">
        <f>IF('Avaliação Períodos'!B12=0,"",'Avaliação Períodos'!B12)</f>
        <v>Joana</v>
      </c>
      <c r="C11" s="413"/>
      <c r="D11" s="413"/>
      <c r="E11" s="413"/>
      <c r="F11" s="413"/>
      <c r="G11" s="413"/>
      <c r="H11" s="462"/>
      <c r="I11" s="104"/>
      <c r="J11" s="104"/>
      <c r="K11" s="104"/>
      <c r="L11" s="105"/>
      <c r="M11" s="123"/>
      <c r="N11" s="202" t="str">
        <f t="shared" si="0"/>
        <v/>
      </c>
      <c r="O11" s="197"/>
      <c r="P11" s="10" t="str" cm="1">
        <f t="array" ref="P11">composicaoValor(H11:L11,O11,M11)</f>
        <v/>
      </c>
      <c r="Q11" s="103">
        <v>100</v>
      </c>
      <c r="R11" s="104"/>
      <c r="S11" s="104"/>
      <c r="T11" s="104"/>
      <c r="U11" s="104"/>
      <c r="V11" s="10" cm="1">
        <f t="array" ref="V11">somaComEspacosVazios(Q11:U11)</f>
        <v>100</v>
      </c>
      <c r="W11" s="103">
        <v>20</v>
      </c>
      <c r="X11" s="104"/>
      <c r="Y11" s="104"/>
      <c r="Z11" s="104"/>
      <c r="AA11" s="105"/>
      <c r="AB11" s="123"/>
      <c r="AC11" s="202">
        <f t="shared" si="1"/>
        <v>20</v>
      </c>
      <c r="AD11" s="197"/>
      <c r="AE11" s="10" cm="1">
        <f t="array" ref="AE11">composicaoValor(W11:AA11,AD11,AB11)</f>
        <v>20</v>
      </c>
      <c r="AF11" s="103">
        <v>100</v>
      </c>
      <c r="AG11" s="104"/>
      <c r="AH11" s="104"/>
      <c r="AI11" s="104"/>
      <c r="AJ11" s="104"/>
      <c r="AK11" s="459" cm="1">
        <f t="array" ref="AK11">somaComEspacosVazios(AF11:AJ11)</f>
        <v>100</v>
      </c>
      <c r="AL11" s="459" t="str" cm="1">
        <f t="array" ref="AL11">mediaComposicaoGramatica(V11,P11,AK11,AE11,0.2,0.8)</f>
        <v/>
      </c>
      <c r="AM11" s="442"/>
      <c r="AN11" s="104"/>
      <c r="AO11" s="104"/>
      <c r="AP11" s="104"/>
      <c r="AQ11" s="104"/>
      <c r="AR11" s="104"/>
      <c r="AS11" s="202" t="str">
        <f>IF(COUNT(AM11:AR11)=0,"",IF(SUM(AM11:AQ11) - ABS(AR11)&lt;0,"0",SUM(AM11:AQ11) - ABS(AR11)))</f>
        <v/>
      </c>
      <c r="AT11" s="197"/>
      <c r="AU11" s="10" t="str" cm="1">
        <f t="array" ref="AU11">composicaoValor(AM11:AQ11,AT11,AR11)</f>
        <v/>
      </c>
      <c r="AV11" s="103"/>
      <c r="AW11" s="104"/>
      <c r="AX11" s="104"/>
      <c r="AY11" s="104"/>
      <c r="AZ11" s="104"/>
      <c r="BA11" s="10" t="str" cm="1">
        <f t="array" ref="BA11">somaComEspacosVazios(AV11:AZ11)</f>
        <v/>
      </c>
      <c r="BB11" s="103"/>
      <c r="BC11" s="104"/>
      <c r="BD11" s="104"/>
      <c r="BE11" s="104"/>
      <c r="BF11" s="104"/>
      <c r="BG11" s="104"/>
      <c r="BH11" s="202" t="str">
        <f>IF(COUNT(BB11:BG11)=0,"",IF(SUM(BB11:BF11) - ABS(BG11)&lt;0,"0",SUM(BB11:BF11) - ABS(BG11)))</f>
        <v/>
      </c>
      <c r="BI11" s="197"/>
      <c r="BJ11" s="10" t="str" cm="1">
        <f t="array" ref="BJ11">composicaoValor(BB11:BF11,BI11,BG11)</f>
        <v/>
      </c>
      <c r="BK11" s="103"/>
      <c r="BL11" s="104"/>
      <c r="BM11" s="104"/>
      <c r="BN11" s="104"/>
      <c r="BO11" s="104"/>
      <c r="BP11" s="459" t="str" cm="1">
        <f t="array" ref="BP11">somaComEspacosVazios(BK11:BO11)</f>
        <v/>
      </c>
      <c r="BQ11" s="459" t="str" cm="1">
        <f t="array" ref="BQ11">mediaComposicaoGramatica(BA11,AU11,BP11,BJ11,0.2,0.8)</f>
        <v/>
      </c>
    </row>
    <row r="12" spans="1:69" x14ac:dyDescent="0.25">
      <c r="A12" s="90">
        <f>IF('Avaliação Períodos'!A13=0,"",'Avaliação Períodos'!A13)</f>
        <v>14</v>
      </c>
      <c r="B12" s="420" t="str">
        <f>IF('Avaliação Períodos'!B13=0,"",'Avaliação Períodos'!B13)</f>
        <v>José</v>
      </c>
      <c r="C12" s="421"/>
      <c r="D12" s="421"/>
      <c r="E12" s="421"/>
      <c r="F12" s="421"/>
      <c r="G12" s="421"/>
      <c r="H12" s="461"/>
      <c r="I12" s="101"/>
      <c r="J12" s="101"/>
      <c r="K12" s="101"/>
      <c r="L12" s="102"/>
      <c r="M12" s="124"/>
      <c r="N12" s="201" t="str">
        <f t="shared" si="0"/>
        <v/>
      </c>
      <c r="O12" s="196"/>
      <c r="P12" s="10" t="str" cm="1">
        <f t="array" ref="P12">composicaoValor(H12:L12,O12,M12)</f>
        <v/>
      </c>
      <c r="Q12" s="100"/>
      <c r="R12" s="101"/>
      <c r="S12" s="101"/>
      <c r="T12" s="101"/>
      <c r="U12" s="101"/>
      <c r="V12" s="10" t="str" cm="1">
        <f t="array" ref="V12">somaComEspacosVazios(Q12:U12)</f>
        <v/>
      </c>
      <c r="W12" s="100"/>
      <c r="X12" s="101"/>
      <c r="Y12" s="101"/>
      <c r="Z12" s="101"/>
      <c r="AA12" s="102"/>
      <c r="AB12" s="124"/>
      <c r="AC12" s="201" t="str">
        <f t="shared" si="1"/>
        <v/>
      </c>
      <c r="AD12" s="196"/>
      <c r="AE12" s="10" t="str" cm="1">
        <f t="array" ref="AE12">composicaoValor(W12:AA12,AD12,AB12)</f>
        <v/>
      </c>
      <c r="AF12" s="100"/>
      <c r="AG12" s="101"/>
      <c r="AH12" s="101"/>
      <c r="AI12" s="101"/>
      <c r="AJ12" s="101"/>
      <c r="AK12" s="459" t="str" cm="1">
        <f t="array" ref="AK12">somaComEspacosVazios(AF12:AJ12)</f>
        <v/>
      </c>
      <c r="AL12" s="459" t="str" cm="1">
        <f t="array" ref="AL12">mediaComposicaoGramatica(V12,P12,AK12,AE12,0.2,0.8)</f>
        <v/>
      </c>
      <c r="AM12" s="445"/>
      <c r="AN12" s="101"/>
      <c r="AO12" s="101"/>
      <c r="AP12" s="101"/>
      <c r="AQ12" s="101"/>
      <c r="AR12" s="101"/>
      <c r="AS12" s="201" t="str">
        <f>IF(COUNT(AM12:AR12)=0,"",IF(SUM(AM12:AQ12) - ABS(AR12)&lt;0,"0",SUM(AM12:AQ12) - ABS(AR12)))</f>
        <v/>
      </c>
      <c r="AT12" s="196"/>
      <c r="AU12" s="10" t="str" cm="1">
        <f t="array" ref="AU12">composicaoValor(AM12:AQ12,AT12,AR12)</f>
        <v/>
      </c>
      <c r="AV12" s="100"/>
      <c r="AW12" s="101"/>
      <c r="AX12" s="101"/>
      <c r="AY12" s="101"/>
      <c r="AZ12" s="101"/>
      <c r="BA12" s="10" t="str" cm="1">
        <f t="array" ref="BA12">somaComEspacosVazios(AV12:AZ12)</f>
        <v/>
      </c>
      <c r="BB12" s="100"/>
      <c r="BC12" s="101"/>
      <c r="BD12" s="101"/>
      <c r="BE12" s="101"/>
      <c r="BF12" s="101"/>
      <c r="BG12" s="101"/>
      <c r="BH12" s="201" t="str">
        <f>IF(COUNT(BB12:BG12)=0,"",IF(SUM(BB12:BF12) - ABS(BG12)&lt;0,"0",SUM(BB12:BF12) - ABS(BG12)))</f>
        <v/>
      </c>
      <c r="BI12" s="196"/>
      <c r="BJ12" s="10" t="str" cm="1">
        <f t="array" ref="BJ12">composicaoValor(BB12:BF12,BI12,BG12)</f>
        <v/>
      </c>
      <c r="BK12" s="100"/>
      <c r="BL12" s="101"/>
      <c r="BM12" s="101"/>
      <c r="BN12" s="101"/>
      <c r="BO12" s="101"/>
      <c r="BP12" s="459" t="str" cm="1">
        <f t="array" ref="BP12">somaComEspacosVazios(BK12:BO12)</f>
        <v/>
      </c>
      <c r="BQ12" s="459" t="str" cm="1">
        <f t="array" ref="BQ12">mediaComposicaoGramatica(BA12,AU12,BP12,BJ12,0.2,0.8)</f>
        <v/>
      </c>
    </row>
    <row r="13" spans="1:69" x14ac:dyDescent="0.25">
      <c r="A13" s="91">
        <f>IF('Avaliação Períodos'!A14=0,"",'Avaliação Períodos'!A14)</f>
        <v>15</v>
      </c>
      <c r="B13" s="412" t="str">
        <f>IF('Avaliação Períodos'!B14=0,"",'Avaliação Períodos'!B14)</f>
        <v>Laura</v>
      </c>
      <c r="C13" s="413"/>
      <c r="D13" s="413"/>
      <c r="E13" s="413"/>
      <c r="F13" s="413"/>
      <c r="G13" s="413"/>
      <c r="H13" s="462"/>
      <c r="I13" s="104"/>
      <c r="J13" s="104"/>
      <c r="K13" s="104"/>
      <c r="L13" s="105"/>
      <c r="M13" s="123"/>
      <c r="N13" s="202" t="str">
        <f t="shared" si="0"/>
        <v/>
      </c>
      <c r="O13" s="197"/>
      <c r="P13" s="10" t="str" cm="1">
        <f t="array" ref="P13">composicaoValor(H13:L13,O13,M13)</f>
        <v/>
      </c>
      <c r="Q13" s="103"/>
      <c r="R13" s="104"/>
      <c r="S13" s="104"/>
      <c r="T13" s="104"/>
      <c r="U13" s="104"/>
      <c r="V13" s="10" t="str" cm="1">
        <f t="array" ref="V13">somaComEspacosVazios(Q13:U13)</f>
        <v/>
      </c>
      <c r="W13" s="103"/>
      <c r="X13" s="104"/>
      <c r="Y13" s="104"/>
      <c r="Z13" s="104"/>
      <c r="AA13" s="105"/>
      <c r="AB13" s="123"/>
      <c r="AC13" s="202" t="str">
        <f t="shared" si="1"/>
        <v/>
      </c>
      <c r="AD13" s="197"/>
      <c r="AE13" s="10" t="str" cm="1">
        <f t="array" ref="AE13">composicaoValor(W13:AA13,AD13,AB13)</f>
        <v/>
      </c>
      <c r="AF13" s="103"/>
      <c r="AG13" s="104"/>
      <c r="AH13" s="104"/>
      <c r="AI13" s="104"/>
      <c r="AJ13" s="104"/>
      <c r="AK13" s="459" t="str" cm="1">
        <f t="array" ref="AK13">somaComEspacosVazios(AF13:AJ13)</f>
        <v/>
      </c>
      <c r="AL13" s="459" t="str" cm="1">
        <f t="array" ref="AL13">mediaComposicaoGramatica(V13,P13,AK13,AE13,0.2,0.8)</f>
        <v/>
      </c>
      <c r="AM13" s="442"/>
      <c r="AN13" s="104"/>
      <c r="AO13" s="104"/>
      <c r="AP13" s="104"/>
      <c r="AQ13" s="104"/>
      <c r="AR13" s="104"/>
      <c r="AS13" s="202" t="str">
        <f>IF(COUNT(AM13:AR13)=0,"",IF(SUM(AM13:AQ13) - ABS(AR13)&lt;0,"0",SUM(AM13:AQ13) - ABS(AR13)))</f>
        <v/>
      </c>
      <c r="AT13" s="197"/>
      <c r="AU13" s="10" t="str" cm="1">
        <f t="array" ref="AU13">composicaoValor(AM13:AQ13,AT13,AR13)</f>
        <v/>
      </c>
      <c r="AV13" s="103"/>
      <c r="AW13" s="104"/>
      <c r="AX13" s="104"/>
      <c r="AY13" s="104"/>
      <c r="AZ13" s="104"/>
      <c r="BA13" s="10" t="str" cm="1">
        <f t="array" ref="BA13">somaComEspacosVazios(AV13:AZ13)</f>
        <v/>
      </c>
      <c r="BB13" s="103"/>
      <c r="BC13" s="104"/>
      <c r="BD13" s="104"/>
      <c r="BE13" s="104"/>
      <c r="BF13" s="104"/>
      <c r="BG13" s="104"/>
      <c r="BH13" s="202" t="str">
        <f>IF(COUNT(BB13:BG13)=0,"",IF(SUM(BB13:BF13) - ABS(BG13)&lt;0,"0",SUM(BB13:BF13) - ABS(BG13)))</f>
        <v/>
      </c>
      <c r="BI13" s="197"/>
      <c r="BJ13" s="10" t="str" cm="1">
        <f t="array" ref="BJ13">composicaoValor(BB13:BF13,BI13,BG13)</f>
        <v/>
      </c>
      <c r="BK13" s="103"/>
      <c r="BL13" s="104"/>
      <c r="BM13" s="104"/>
      <c r="BN13" s="104"/>
      <c r="BO13" s="104"/>
      <c r="BP13" s="459" t="str" cm="1">
        <f t="array" ref="BP13">somaComEspacosVazios(BK13:BO13)</f>
        <v/>
      </c>
      <c r="BQ13" s="459" t="str" cm="1">
        <f t="array" ref="BQ13">mediaComposicaoGramatica(BA13,AU13,BP13,BJ13,0.2,0.8)</f>
        <v/>
      </c>
    </row>
    <row r="14" spans="1:69" x14ac:dyDescent="0.25">
      <c r="A14" s="90">
        <f>IF('Avaliação Períodos'!A15=0,"",'Avaliação Períodos'!A15)</f>
        <v>16</v>
      </c>
      <c r="B14" s="420" t="str">
        <f>IF('Avaliação Períodos'!B15=0,"",'Avaliação Períodos'!B15)</f>
        <v>Liliana</v>
      </c>
      <c r="C14" s="421"/>
      <c r="D14" s="421"/>
      <c r="E14" s="421"/>
      <c r="F14" s="421"/>
      <c r="G14" s="421"/>
      <c r="H14" s="461"/>
      <c r="I14" s="101"/>
      <c r="J14" s="101"/>
      <c r="K14" s="101"/>
      <c r="L14" s="102"/>
      <c r="M14" s="124"/>
      <c r="N14" s="201" t="str">
        <f t="shared" si="0"/>
        <v/>
      </c>
      <c r="O14" s="196"/>
      <c r="P14" s="10" t="str" cm="1">
        <f t="array" ref="P14">composicaoValor(H14:L14,O14,M14)</f>
        <v/>
      </c>
      <c r="Q14" s="100"/>
      <c r="R14" s="101"/>
      <c r="S14" s="101"/>
      <c r="T14" s="101"/>
      <c r="U14" s="101"/>
      <c r="V14" s="10" t="str" cm="1">
        <f t="array" ref="V14">somaComEspacosVazios(Q14:U14)</f>
        <v/>
      </c>
      <c r="W14" s="100"/>
      <c r="X14" s="101"/>
      <c r="Y14" s="101"/>
      <c r="Z14" s="101"/>
      <c r="AA14" s="102"/>
      <c r="AB14" s="124"/>
      <c r="AC14" s="201" t="str">
        <f t="shared" si="1"/>
        <v/>
      </c>
      <c r="AD14" s="196"/>
      <c r="AE14" s="10" t="str" cm="1">
        <f t="array" ref="AE14">composicaoValor(W14:AA14,AD14,AB14)</f>
        <v/>
      </c>
      <c r="AF14" s="100"/>
      <c r="AG14" s="101"/>
      <c r="AH14" s="101"/>
      <c r="AI14" s="101"/>
      <c r="AJ14" s="101"/>
      <c r="AK14" s="459" t="str" cm="1">
        <f t="array" ref="AK14">somaComEspacosVazios(AF14:AJ14)</f>
        <v/>
      </c>
      <c r="AL14" s="459" t="str" cm="1">
        <f t="array" ref="AL14">mediaComposicaoGramatica(V14,P14,AK14,AE14,0.2,0.8)</f>
        <v/>
      </c>
      <c r="AM14" s="445"/>
      <c r="AN14" s="101"/>
      <c r="AO14" s="101"/>
      <c r="AP14" s="101"/>
      <c r="AQ14" s="101"/>
      <c r="AR14" s="101"/>
      <c r="AS14" s="201" t="str">
        <f>IF(COUNT(AM14:AR14)=0,"",IF(SUM(AM14:AQ14) - ABS(AR14)&lt;0,"0",SUM(AM14:AQ14) - ABS(AR14)))</f>
        <v/>
      </c>
      <c r="AT14" s="196"/>
      <c r="AU14" s="10" t="str" cm="1">
        <f t="array" ref="AU14">composicaoValor(AM14:AQ14,AT14,AR14)</f>
        <v/>
      </c>
      <c r="AV14" s="100"/>
      <c r="AW14" s="101"/>
      <c r="AX14" s="101"/>
      <c r="AY14" s="101"/>
      <c r="AZ14" s="101"/>
      <c r="BA14" s="10" t="str" cm="1">
        <f t="array" ref="BA14">somaComEspacosVazios(AV14:AZ14)</f>
        <v/>
      </c>
      <c r="BB14" s="100"/>
      <c r="BC14" s="101"/>
      <c r="BD14" s="101"/>
      <c r="BE14" s="101"/>
      <c r="BF14" s="101"/>
      <c r="BG14" s="101"/>
      <c r="BH14" s="201" t="str">
        <f>IF(COUNT(BB14:BG14)=0,"",IF(SUM(BB14:BF14) - ABS(BG14)&lt;0,"0",SUM(BB14:BF14) - ABS(BG14)))</f>
        <v/>
      </c>
      <c r="BI14" s="196"/>
      <c r="BJ14" s="10" t="str" cm="1">
        <f t="array" ref="BJ14">composicaoValor(BB14:BF14,BI14,BG14)</f>
        <v/>
      </c>
      <c r="BK14" s="100"/>
      <c r="BL14" s="101"/>
      <c r="BM14" s="101"/>
      <c r="BN14" s="101"/>
      <c r="BO14" s="101"/>
      <c r="BP14" s="459" t="str" cm="1">
        <f t="array" ref="BP14">somaComEspacosVazios(BK14:BO14)</f>
        <v/>
      </c>
      <c r="BQ14" s="459" t="str" cm="1">
        <f t="array" ref="BQ14">mediaComposicaoGramatica(BA14,AU14,BP14,BJ14,0.2,0.8)</f>
        <v/>
      </c>
    </row>
    <row r="15" spans="1:69" x14ac:dyDescent="0.25">
      <c r="A15" s="91">
        <f>IF('Avaliação Períodos'!A16=0,"",'Avaliação Períodos'!A16)</f>
        <v>17</v>
      </c>
      <c r="B15" s="412" t="str">
        <f>IF('Avaliação Períodos'!B16=0,"",'Avaliação Períodos'!B16)</f>
        <v>Luana</v>
      </c>
      <c r="C15" s="413"/>
      <c r="D15" s="413"/>
      <c r="E15" s="413"/>
      <c r="F15" s="413"/>
      <c r="G15" s="413"/>
      <c r="H15" s="462"/>
      <c r="I15" s="104"/>
      <c r="J15" s="106"/>
      <c r="K15" s="104"/>
      <c r="L15" s="105"/>
      <c r="M15" s="123"/>
      <c r="N15" s="202" t="str">
        <f t="shared" si="0"/>
        <v/>
      </c>
      <c r="O15" s="197"/>
      <c r="P15" s="10" t="str" cm="1">
        <f t="array" ref="P15">composicaoValor(H15:L15,O15,M15)</f>
        <v/>
      </c>
      <c r="Q15" s="103"/>
      <c r="R15" s="104"/>
      <c r="S15" s="106"/>
      <c r="T15" s="104"/>
      <c r="U15" s="104"/>
      <c r="V15" s="10" t="str" cm="1">
        <f t="array" ref="V15">somaComEspacosVazios(Q15:U15)</f>
        <v/>
      </c>
      <c r="W15" s="103"/>
      <c r="X15" s="104"/>
      <c r="Y15" s="106"/>
      <c r="Z15" s="104"/>
      <c r="AA15" s="105"/>
      <c r="AB15" s="123"/>
      <c r="AC15" s="202" t="str">
        <f t="shared" si="1"/>
        <v/>
      </c>
      <c r="AD15" s="197"/>
      <c r="AE15" s="10" t="str" cm="1">
        <f t="array" ref="AE15">composicaoValor(W15:AA15,AD15,AB15)</f>
        <v/>
      </c>
      <c r="AF15" s="103"/>
      <c r="AG15" s="104"/>
      <c r="AH15" s="106"/>
      <c r="AI15" s="104"/>
      <c r="AJ15" s="104"/>
      <c r="AK15" s="459" t="str" cm="1">
        <f t="array" ref="AK15">somaComEspacosVazios(AF15:AJ15)</f>
        <v/>
      </c>
      <c r="AL15" s="459" t="str" cm="1">
        <f t="array" ref="AL15">mediaComposicaoGramatica(V15,P15,AK15,AE15,0.2,0.8)</f>
        <v/>
      </c>
      <c r="AM15" s="442"/>
      <c r="AN15" s="104"/>
      <c r="AO15" s="106"/>
      <c r="AP15" s="104"/>
      <c r="AQ15" s="104"/>
      <c r="AR15" s="104"/>
      <c r="AS15" s="202" t="str">
        <f>IF(COUNT(AM15:AR15)=0,"",IF(SUM(AM15:AQ15) - ABS(AR15)&lt;0,"0",SUM(AM15:AQ15) - ABS(AR15)))</f>
        <v/>
      </c>
      <c r="AT15" s="197"/>
      <c r="AU15" s="10" t="str" cm="1">
        <f t="array" ref="AU15">composicaoValor(AM15:AQ15,AT15,AR15)</f>
        <v/>
      </c>
      <c r="AV15" s="103"/>
      <c r="AW15" s="104"/>
      <c r="AX15" s="106"/>
      <c r="AY15" s="104"/>
      <c r="AZ15" s="104"/>
      <c r="BA15" s="10" t="str" cm="1">
        <f t="array" ref="BA15">somaComEspacosVazios(AV15:AZ15)</f>
        <v/>
      </c>
      <c r="BB15" s="103"/>
      <c r="BC15" s="104"/>
      <c r="BD15" s="106"/>
      <c r="BE15" s="104"/>
      <c r="BF15" s="104"/>
      <c r="BG15" s="104"/>
      <c r="BH15" s="202" t="str">
        <f>IF(COUNT(BB15:BG15)=0,"",IF(SUM(BB15:BF15) - ABS(BG15)&lt;0,"0",SUM(BB15:BF15) - ABS(BG15)))</f>
        <v/>
      </c>
      <c r="BI15" s="197"/>
      <c r="BJ15" s="10" t="str" cm="1">
        <f t="array" ref="BJ15">composicaoValor(BB15:BF15,BI15,BG15)</f>
        <v/>
      </c>
      <c r="BK15" s="103"/>
      <c r="BL15" s="104"/>
      <c r="BM15" s="106"/>
      <c r="BN15" s="104"/>
      <c r="BO15" s="104"/>
      <c r="BP15" s="459" t="str" cm="1">
        <f t="array" ref="BP15">somaComEspacosVazios(BK15:BO15)</f>
        <v/>
      </c>
      <c r="BQ15" s="459" t="str" cm="1">
        <f t="array" ref="BQ15">mediaComposicaoGramatica(BA15,AU15,BP15,BJ15,0.2,0.8)</f>
        <v/>
      </c>
    </row>
    <row r="16" spans="1:69" x14ac:dyDescent="0.25">
      <c r="A16" s="90">
        <f>IF('Avaliação Períodos'!A17=0,"",'Avaliação Períodos'!A17)</f>
        <v>18</v>
      </c>
      <c r="B16" s="420" t="str">
        <f>IF('Avaliação Períodos'!B17=0,"",'Avaliação Períodos'!B17)</f>
        <v>Madalena</v>
      </c>
      <c r="C16" s="421"/>
      <c r="D16" s="421"/>
      <c r="E16" s="421"/>
      <c r="F16" s="421"/>
      <c r="G16" s="421"/>
      <c r="H16" s="461"/>
      <c r="I16" s="101"/>
      <c r="J16" s="101"/>
      <c r="K16" s="101"/>
      <c r="L16" s="102"/>
      <c r="M16" s="124"/>
      <c r="N16" s="201" t="str">
        <f t="shared" si="0"/>
        <v/>
      </c>
      <c r="O16" s="196"/>
      <c r="P16" s="10" t="str" cm="1">
        <f t="array" ref="P16">composicaoValor(H16:L16,O16,M16)</f>
        <v/>
      </c>
      <c r="Q16" s="100"/>
      <c r="R16" s="101"/>
      <c r="S16" s="101"/>
      <c r="T16" s="101"/>
      <c r="U16" s="101"/>
      <c r="V16" s="10" t="str" cm="1">
        <f t="array" ref="V16">somaComEspacosVazios(Q16:U16)</f>
        <v/>
      </c>
      <c r="W16" s="100"/>
      <c r="X16" s="101"/>
      <c r="Y16" s="101"/>
      <c r="Z16" s="101"/>
      <c r="AA16" s="102"/>
      <c r="AB16" s="124"/>
      <c r="AC16" s="201" t="str">
        <f t="shared" si="1"/>
        <v/>
      </c>
      <c r="AD16" s="196"/>
      <c r="AE16" s="10" t="str" cm="1">
        <f t="array" ref="AE16">composicaoValor(W16:AA16,AD16,AB16)</f>
        <v/>
      </c>
      <c r="AF16" s="100"/>
      <c r="AG16" s="101"/>
      <c r="AH16" s="101"/>
      <c r="AI16" s="101"/>
      <c r="AJ16" s="101"/>
      <c r="AK16" s="459" t="str" cm="1">
        <f t="array" ref="AK16">somaComEspacosVazios(AF16:AJ16)</f>
        <v/>
      </c>
      <c r="AL16" s="459" t="str" cm="1">
        <f t="array" ref="AL16">mediaComposicaoGramatica(V16,P16,AK16,AE16,0.2,0.8)</f>
        <v/>
      </c>
      <c r="AM16" s="445"/>
      <c r="AN16" s="101"/>
      <c r="AO16" s="101"/>
      <c r="AP16" s="101"/>
      <c r="AQ16" s="101"/>
      <c r="AR16" s="101"/>
      <c r="AS16" s="201" t="str">
        <f>IF(COUNT(AM16:AR16)=0,"",IF(SUM(AM16:AQ16) - ABS(AR16)&lt;0,"0",SUM(AM16:AQ16) - ABS(AR16)))</f>
        <v/>
      </c>
      <c r="AT16" s="196"/>
      <c r="AU16" s="10" t="str" cm="1">
        <f t="array" ref="AU16">composicaoValor(AM16:AQ16,AT16,AR16)</f>
        <v/>
      </c>
      <c r="AV16" s="100"/>
      <c r="AW16" s="101"/>
      <c r="AX16" s="101"/>
      <c r="AY16" s="101"/>
      <c r="AZ16" s="101"/>
      <c r="BA16" s="10" t="str" cm="1">
        <f t="array" ref="BA16">somaComEspacosVazios(AV16:AZ16)</f>
        <v/>
      </c>
      <c r="BB16" s="100"/>
      <c r="BC16" s="101"/>
      <c r="BD16" s="101"/>
      <c r="BE16" s="101"/>
      <c r="BF16" s="101"/>
      <c r="BG16" s="101"/>
      <c r="BH16" s="201" t="str">
        <f>IF(COUNT(BB16:BG16)=0,"",IF(SUM(BB16:BF16) - ABS(BG16)&lt;0,"0",SUM(BB16:BF16) - ABS(BG16)))</f>
        <v/>
      </c>
      <c r="BI16" s="196"/>
      <c r="BJ16" s="10" t="str" cm="1">
        <f t="array" ref="BJ16">composicaoValor(BB16:BF16,BI16,BG16)</f>
        <v/>
      </c>
      <c r="BK16" s="100"/>
      <c r="BL16" s="101"/>
      <c r="BM16" s="101"/>
      <c r="BN16" s="101"/>
      <c r="BO16" s="101"/>
      <c r="BP16" s="459" t="str" cm="1">
        <f t="array" ref="BP16">somaComEspacosVazios(BK16:BO16)</f>
        <v/>
      </c>
      <c r="BQ16" s="459" t="str" cm="1">
        <f t="array" ref="BQ16">mediaComposicaoGramatica(BA16,AU16,BP16,BJ16,0.2,0.8)</f>
        <v/>
      </c>
    </row>
    <row r="17" spans="1:69" x14ac:dyDescent="0.25">
      <c r="A17" s="91">
        <f>IF('Avaliação Períodos'!A18=0,"",'Avaliação Períodos'!A18)</f>
        <v>19</v>
      </c>
      <c r="B17" s="412" t="str">
        <f>IF('Avaliação Períodos'!B18=0,"",'Avaliação Períodos'!B18)</f>
        <v>Mª João</v>
      </c>
      <c r="C17" s="413"/>
      <c r="D17" s="413"/>
      <c r="E17" s="413"/>
      <c r="F17" s="413"/>
      <c r="G17" s="413"/>
      <c r="H17" s="462"/>
      <c r="I17" s="104"/>
      <c r="J17" s="104"/>
      <c r="K17" s="104"/>
      <c r="L17" s="105"/>
      <c r="M17" s="123">
        <v>2</v>
      </c>
      <c r="N17" s="202" t="str">
        <f t="shared" si="0"/>
        <v>0</v>
      </c>
      <c r="O17" s="197"/>
      <c r="P17" s="10" t="str" cm="1">
        <f t="array" ref="P17">composicaoValor(H17:L17,O17,M17)</f>
        <v/>
      </c>
      <c r="Q17" s="103"/>
      <c r="R17" s="104"/>
      <c r="S17" s="104"/>
      <c r="T17" s="104"/>
      <c r="U17" s="104"/>
      <c r="V17" s="10" t="str" cm="1">
        <f t="array" ref="V17">somaComEspacosVazios(Q17:U17)</f>
        <v/>
      </c>
      <c r="W17" s="103"/>
      <c r="X17" s="104"/>
      <c r="Y17" s="104"/>
      <c r="Z17" s="104"/>
      <c r="AA17" s="105"/>
      <c r="AB17" s="123">
        <v>2</v>
      </c>
      <c r="AC17" s="202" t="str">
        <f t="shared" si="1"/>
        <v>0</v>
      </c>
      <c r="AD17" s="197"/>
      <c r="AE17" s="10" t="str" cm="1">
        <f t="array" ref="AE17">composicaoValor(W17:AA17,AD17,AB17)</f>
        <v/>
      </c>
      <c r="AF17" s="103"/>
      <c r="AG17" s="104"/>
      <c r="AH17" s="104"/>
      <c r="AI17" s="104"/>
      <c r="AJ17" s="104"/>
      <c r="AK17" s="459" t="str" cm="1">
        <f t="array" ref="AK17">somaComEspacosVazios(AF17:AJ17)</f>
        <v/>
      </c>
      <c r="AL17" s="459" t="str" cm="1">
        <f t="array" ref="AL17">mediaComposicaoGramatica(V17,P17,AK17,AE17,0.2,0.8)</f>
        <v/>
      </c>
      <c r="AM17" s="442"/>
      <c r="AN17" s="104"/>
      <c r="AO17" s="104"/>
      <c r="AP17" s="104"/>
      <c r="AQ17" s="104"/>
      <c r="AR17" s="104"/>
      <c r="AS17" s="202" t="str">
        <f>IF(COUNT(AM17:AR17)=0,"",IF(SUM(AM17:AQ17) - ABS(AR17)&lt;0,"0",SUM(AM17:AQ17) - ABS(AR17)))</f>
        <v/>
      </c>
      <c r="AT17" s="197"/>
      <c r="AU17" s="10" t="str" cm="1">
        <f t="array" ref="AU17">composicaoValor(AM17:AQ17,AT17,AR17)</f>
        <v/>
      </c>
      <c r="AV17" s="103"/>
      <c r="AW17" s="104"/>
      <c r="AX17" s="104"/>
      <c r="AY17" s="104"/>
      <c r="AZ17" s="104"/>
      <c r="BA17" s="10" t="str" cm="1">
        <f t="array" ref="BA17">somaComEspacosVazios(AV17:AZ17)</f>
        <v/>
      </c>
      <c r="BB17" s="103"/>
      <c r="BC17" s="104"/>
      <c r="BD17" s="104"/>
      <c r="BE17" s="104"/>
      <c r="BF17" s="104"/>
      <c r="BG17" s="104"/>
      <c r="BH17" s="202" t="str">
        <f>IF(COUNT(BB17:BG17)=0,"",IF(SUM(BB17:BF17) - ABS(BG17)&lt;0,"0",SUM(BB17:BF17) - ABS(BG17)))</f>
        <v/>
      </c>
      <c r="BI17" s="197"/>
      <c r="BJ17" s="10" t="str" cm="1">
        <f t="array" ref="BJ17">composicaoValor(BB17:BF17,BI17,BG17)</f>
        <v/>
      </c>
      <c r="BK17" s="103"/>
      <c r="BL17" s="104"/>
      <c r="BM17" s="104"/>
      <c r="BN17" s="104"/>
      <c r="BO17" s="104"/>
      <c r="BP17" s="459" t="str" cm="1">
        <f t="array" ref="BP17">somaComEspacosVazios(BK17:BO17)</f>
        <v/>
      </c>
      <c r="BQ17" s="459" t="str" cm="1">
        <f t="array" ref="BQ17">mediaComposicaoGramatica(BA17,AU17,BP17,BJ17,0.2,0.8)</f>
        <v/>
      </c>
    </row>
    <row r="18" spans="1:69" x14ac:dyDescent="0.25">
      <c r="A18" s="90">
        <f>IF('Avaliação Períodos'!A19=0,"",'Avaliação Períodos'!A19)</f>
        <v>20</v>
      </c>
      <c r="B18" s="420" t="str">
        <f>IF('Avaliação Períodos'!B19=0,"",'Avaliação Períodos'!B19)</f>
        <v>Mª José</v>
      </c>
      <c r="C18" s="421"/>
      <c r="D18" s="421"/>
      <c r="E18" s="421"/>
      <c r="F18" s="421"/>
      <c r="G18" s="421"/>
      <c r="H18" s="463"/>
      <c r="I18" s="101"/>
      <c r="J18" s="101"/>
      <c r="K18" s="101"/>
      <c r="L18" s="102"/>
      <c r="M18" s="124"/>
      <c r="N18" s="201" t="str">
        <f t="shared" si="0"/>
        <v/>
      </c>
      <c r="O18" s="196"/>
      <c r="P18" s="10" t="str" cm="1">
        <f t="array" ref="P18">composicaoValor(H18:L18,O18,M18)</f>
        <v/>
      </c>
      <c r="Q18" s="107"/>
      <c r="R18" s="101"/>
      <c r="S18" s="101"/>
      <c r="T18" s="101"/>
      <c r="U18" s="101"/>
      <c r="V18" s="10" t="str" cm="1">
        <f t="array" ref="V18">somaComEspacosVazios(Q18:U18)</f>
        <v/>
      </c>
      <c r="W18" s="107"/>
      <c r="X18" s="101"/>
      <c r="Y18" s="101"/>
      <c r="Z18" s="101"/>
      <c r="AA18" s="102"/>
      <c r="AB18" s="124"/>
      <c r="AC18" s="201" t="str">
        <f t="shared" si="1"/>
        <v/>
      </c>
      <c r="AD18" s="196"/>
      <c r="AE18" s="10" t="str" cm="1">
        <f t="array" ref="AE18">composicaoValor(W18:AA18,AD18,AB18)</f>
        <v/>
      </c>
      <c r="AF18" s="107"/>
      <c r="AG18" s="101"/>
      <c r="AH18" s="101"/>
      <c r="AI18" s="101"/>
      <c r="AJ18" s="101"/>
      <c r="AK18" s="459" t="str" cm="1">
        <f t="array" ref="AK18">somaComEspacosVazios(AF18:AJ18)</f>
        <v/>
      </c>
      <c r="AL18" s="459" t="str" cm="1">
        <f t="array" ref="AL18">mediaComposicaoGramatica(V18,P18,AK18,AE18,0.2,0.8)</f>
        <v/>
      </c>
      <c r="AM18" s="441"/>
      <c r="AN18" s="101"/>
      <c r="AO18" s="101"/>
      <c r="AP18" s="101"/>
      <c r="AQ18" s="101"/>
      <c r="AR18" s="101"/>
      <c r="AS18" s="201" t="str">
        <f>IF(COUNT(AM18:AR18)=0,"",IF(SUM(AM18:AQ18) - ABS(AR18)&lt;0,"0",SUM(AM18:AQ18) - ABS(AR18)))</f>
        <v/>
      </c>
      <c r="AT18" s="196"/>
      <c r="AU18" s="10" t="str" cm="1">
        <f t="array" ref="AU18">composicaoValor(AM18:AQ18,AT18,AR18)</f>
        <v/>
      </c>
      <c r="AV18" s="107"/>
      <c r="AW18" s="101"/>
      <c r="AX18" s="101"/>
      <c r="AY18" s="101"/>
      <c r="AZ18" s="101"/>
      <c r="BA18" s="10" t="str" cm="1">
        <f t="array" ref="BA18">somaComEspacosVazios(AV18:AZ18)</f>
        <v/>
      </c>
      <c r="BB18" s="107"/>
      <c r="BC18" s="101"/>
      <c r="BD18" s="101"/>
      <c r="BE18" s="101"/>
      <c r="BF18" s="101"/>
      <c r="BG18" s="101"/>
      <c r="BH18" s="201" t="str">
        <f>IF(COUNT(BB18:BG18)=0,"",IF(SUM(BB18:BF18) - ABS(BG18)&lt;0,"0",SUM(BB18:BF18) - ABS(BG18)))</f>
        <v/>
      </c>
      <c r="BI18" s="196"/>
      <c r="BJ18" s="10" t="str" cm="1">
        <f t="array" ref="BJ18">composicaoValor(BB18:BF18,BI18,BG18)</f>
        <v/>
      </c>
      <c r="BK18" s="107"/>
      <c r="BL18" s="101"/>
      <c r="BM18" s="101"/>
      <c r="BN18" s="101"/>
      <c r="BO18" s="101"/>
      <c r="BP18" s="459" t="str" cm="1">
        <f t="array" ref="BP18">somaComEspacosVazios(BK18:BO18)</f>
        <v/>
      </c>
      <c r="BQ18" s="459" t="str" cm="1">
        <f t="array" ref="BQ18">mediaComposicaoGramatica(BA18,AU18,BP18,BJ18,0.2,0.8)</f>
        <v/>
      </c>
    </row>
    <row r="19" spans="1:69" x14ac:dyDescent="0.25">
      <c r="A19" s="91">
        <f>IF('Avaliação Períodos'!A20=0,"",'Avaliação Períodos'!A20)</f>
        <v>21</v>
      </c>
      <c r="B19" s="412" t="str">
        <f>IF('Avaliação Períodos'!B20=0,"",'Avaliação Períodos'!B20)</f>
        <v>Mariana</v>
      </c>
      <c r="C19" s="413"/>
      <c r="D19" s="413"/>
      <c r="E19" s="413"/>
      <c r="F19" s="413"/>
      <c r="G19" s="413"/>
      <c r="H19" s="462"/>
      <c r="I19" s="104"/>
      <c r="J19" s="104"/>
      <c r="K19" s="104"/>
      <c r="L19" s="105"/>
      <c r="M19" s="123"/>
      <c r="N19" s="202" t="str">
        <f t="shared" si="0"/>
        <v/>
      </c>
      <c r="O19" s="197"/>
      <c r="P19" s="10" t="str" cm="1">
        <f t="array" ref="P19">composicaoValor(H19:L19,O19,M19)</f>
        <v/>
      </c>
      <c r="Q19" s="103"/>
      <c r="R19" s="104"/>
      <c r="S19" s="104"/>
      <c r="T19" s="104"/>
      <c r="U19" s="104"/>
      <c r="V19" s="10" t="str" cm="1">
        <f t="array" ref="V19">somaComEspacosVazios(Q19:U19)</f>
        <v/>
      </c>
      <c r="W19" s="103"/>
      <c r="X19" s="104"/>
      <c r="Y19" s="104"/>
      <c r="Z19" s="104"/>
      <c r="AA19" s="105"/>
      <c r="AB19" s="123"/>
      <c r="AC19" s="202" t="str">
        <f t="shared" si="1"/>
        <v/>
      </c>
      <c r="AD19" s="197"/>
      <c r="AE19" s="10" t="str" cm="1">
        <f t="array" ref="AE19">composicaoValor(W19:AA19,AD19,AB19)</f>
        <v/>
      </c>
      <c r="AF19" s="103"/>
      <c r="AG19" s="104"/>
      <c r="AH19" s="104"/>
      <c r="AI19" s="104"/>
      <c r="AJ19" s="104"/>
      <c r="AK19" s="459" t="str" cm="1">
        <f t="array" ref="AK19">somaComEspacosVazios(AF19:AJ19)</f>
        <v/>
      </c>
      <c r="AL19" s="459" t="str" cm="1">
        <f t="array" ref="AL19">mediaComposicaoGramatica(V19,P19,AK19,AE19,0.2,0.8)</f>
        <v/>
      </c>
      <c r="AM19" s="442"/>
      <c r="AN19" s="104"/>
      <c r="AO19" s="104"/>
      <c r="AP19" s="104"/>
      <c r="AQ19" s="104"/>
      <c r="AR19" s="104"/>
      <c r="AS19" s="202" t="str">
        <f>IF(COUNT(AM19:AR19)=0,"",IF(SUM(AM19:AQ19) - ABS(AR19)&lt;0,"0",SUM(AM19:AQ19) - ABS(AR19)))</f>
        <v/>
      </c>
      <c r="AT19" s="197"/>
      <c r="AU19" s="10" t="str" cm="1">
        <f t="array" ref="AU19">composicaoValor(AM19:AQ19,AT19,AR19)</f>
        <v/>
      </c>
      <c r="AV19" s="103"/>
      <c r="AW19" s="104"/>
      <c r="AX19" s="104"/>
      <c r="AY19" s="104"/>
      <c r="AZ19" s="104"/>
      <c r="BA19" s="10" t="str" cm="1">
        <f t="array" ref="BA19">somaComEspacosVazios(AV19:AZ19)</f>
        <v/>
      </c>
      <c r="BB19" s="103"/>
      <c r="BC19" s="104"/>
      <c r="BD19" s="104"/>
      <c r="BE19" s="104"/>
      <c r="BF19" s="104"/>
      <c r="BG19" s="104"/>
      <c r="BH19" s="202" t="str">
        <f>IF(COUNT(BB19:BG19)=0,"",IF(SUM(BB19:BF19) - ABS(BG19)&lt;0,"0",SUM(BB19:BF19) - ABS(BG19)))</f>
        <v/>
      </c>
      <c r="BI19" s="197"/>
      <c r="BJ19" s="10" t="str" cm="1">
        <f t="array" ref="BJ19">composicaoValor(BB19:BF19,BI19,BG19)</f>
        <v/>
      </c>
      <c r="BK19" s="103"/>
      <c r="BL19" s="104"/>
      <c r="BM19" s="104"/>
      <c r="BN19" s="104"/>
      <c r="BO19" s="104"/>
      <c r="BP19" s="459" t="str" cm="1">
        <f t="array" ref="BP19">somaComEspacosVazios(BK19:BO19)</f>
        <v/>
      </c>
      <c r="BQ19" s="459" t="str" cm="1">
        <f t="array" ref="BQ19">mediaComposicaoGramatica(BA19,AU19,BP19,BJ19,0.2,0.8)</f>
        <v/>
      </c>
    </row>
    <row r="20" spans="1:69" x14ac:dyDescent="0.25">
      <c r="A20" s="90">
        <f>IF('Avaliação Períodos'!A21=0,"",'Avaliação Períodos'!A21)</f>
        <v>22</v>
      </c>
      <c r="B20" s="420" t="str">
        <f>IF('Avaliação Períodos'!B21=0,"",'Avaliação Períodos'!B21)</f>
        <v>Miguel</v>
      </c>
      <c r="C20" s="421"/>
      <c r="D20" s="421"/>
      <c r="E20" s="421"/>
      <c r="F20" s="421"/>
      <c r="G20" s="421"/>
      <c r="H20" s="463"/>
      <c r="I20" s="101"/>
      <c r="J20" s="101"/>
      <c r="K20" s="101"/>
      <c r="L20" s="102"/>
      <c r="M20" s="124"/>
      <c r="N20" s="201" t="str">
        <f t="shared" si="0"/>
        <v/>
      </c>
      <c r="O20" s="196"/>
      <c r="P20" s="10" t="str" cm="1">
        <f t="array" ref="P20">composicaoValor(H20:L20,O20,M20)</f>
        <v/>
      </c>
      <c r="Q20" s="107"/>
      <c r="R20" s="101"/>
      <c r="S20" s="101"/>
      <c r="T20" s="101"/>
      <c r="U20" s="101"/>
      <c r="V20" s="10" t="str" cm="1">
        <f t="array" ref="V20">somaComEspacosVazios(Q20:U20)</f>
        <v/>
      </c>
      <c r="W20" s="107"/>
      <c r="X20" s="101"/>
      <c r="Y20" s="101"/>
      <c r="Z20" s="101"/>
      <c r="AA20" s="102"/>
      <c r="AB20" s="124"/>
      <c r="AC20" s="201" t="str">
        <f t="shared" si="1"/>
        <v/>
      </c>
      <c r="AD20" s="196"/>
      <c r="AE20" s="10" t="str" cm="1">
        <f t="array" ref="AE20">composicaoValor(W20:AA20,AD20,AB20)</f>
        <v/>
      </c>
      <c r="AF20" s="107"/>
      <c r="AG20" s="101"/>
      <c r="AH20" s="101"/>
      <c r="AI20" s="101"/>
      <c r="AJ20" s="101"/>
      <c r="AK20" s="459" t="str" cm="1">
        <f t="array" ref="AK20">somaComEspacosVazios(AF20:AJ20)</f>
        <v/>
      </c>
      <c r="AL20" s="459" t="str" cm="1">
        <f t="array" ref="AL20">mediaComposicaoGramatica(V20,P20,AK20,AE20,0.2,0.8)</f>
        <v/>
      </c>
      <c r="AM20" s="441"/>
      <c r="AN20" s="101"/>
      <c r="AO20" s="101"/>
      <c r="AP20" s="101"/>
      <c r="AQ20" s="101"/>
      <c r="AR20" s="101"/>
      <c r="AS20" s="201" t="str">
        <f>IF(COUNT(AM20:AR20)=0,"",IF(SUM(AM20:AQ20) - ABS(AR20)&lt;0,"0",SUM(AM20:AQ20) - ABS(AR20)))</f>
        <v/>
      </c>
      <c r="AT20" s="196"/>
      <c r="AU20" s="10" t="str" cm="1">
        <f t="array" ref="AU20">composicaoValor(AM20:AQ20,AT20,AR20)</f>
        <v/>
      </c>
      <c r="AV20" s="107"/>
      <c r="AW20" s="101"/>
      <c r="AX20" s="101"/>
      <c r="AY20" s="101"/>
      <c r="AZ20" s="101"/>
      <c r="BA20" s="10" t="str" cm="1">
        <f t="array" ref="BA20">somaComEspacosVazios(AV20:AZ20)</f>
        <v/>
      </c>
      <c r="BB20" s="107"/>
      <c r="BC20" s="101"/>
      <c r="BD20" s="101"/>
      <c r="BE20" s="101"/>
      <c r="BF20" s="101"/>
      <c r="BG20" s="101"/>
      <c r="BH20" s="201" t="str">
        <f>IF(COUNT(BB20:BG20)=0,"",IF(SUM(BB20:BF20) - ABS(BG20)&lt;0,"0",SUM(BB20:BF20) - ABS(BG20)))</f>
        <v/>
      </c>
      <c r="BI20" s="196"/>
      <c r="BJ20" s="10" t="str" cm="1">
        <f t="array" ref="BJ20">composicaoValor(BB20:BF20,BI20,BG20)</f>
        <v/>
      </c>
      <c r="BK20" s="107"/>
      <c r="BL20" s="101"/>
      <c r="BM20" s="101"/>
      <c r="BN20" s="101"/>
      <c r="BO20" s="101"/>
      <c r="BP20" s="459" t="str" cm="1">
        <f t="array" ref="BP20">somaComEspacosVazios(BK20:BO20)</f>
        <v/>
      </c>
      <c r="BQ20" s="459" t="str" cm="1">
        <f t="array" ref="BQ20">mediaComposicaoGramatica(BA20,AU20,BP20,BJ20,0.2,0.8)</f>
        <v/>
      </c>
    </row>
    <row r="21" spans="1:69" x14ac:dyDescent="0.25">
      <c r="A21" s="91">
        <f>IF('Avaliação Períodos'!A22=0,"",'Avaliação Períodos'!A22)</f>
        <v>23</v>
      </c>
      <c r="B21" s="412" t="str">
        <f>IF('Avaliação Períodos'!B22=0,"",'Avaliação Períodos'!B22)</f>
        <v>Sofia</v>
      </c>
      <c r="C21" s="413"/>
      <c r="D21" s="413"/>
      <c r="E21" s="413"/>
      <c r="F21" s="413"/>
      <c r="G21" s="413"/>
      <c r="H21" s="462"/>
      <c r="I21" s="104"/>
      <c r="J21" s="104"/>
      <c r="K21" s="104"/>
      <c r="L21" s="105"/>
      <c r="M21" s="123"/>
      <c r="N21" s="202" t="str">
        <f t="shared" si="0"/>
        <v/>
      </c>
      <c r="O21" s="197"/>
      <c r="P21" s="10" t="str" cm="1">
        <f t="array" ref="P21">composicaoValor(H21:L21,O21,M21)</f>
        <v/>
      </c>
      <c r="Q21" s="103"/>
      <c r="R21" s="104"/>
      <c r="S21" s="104"/>
      <c r="T21" s="104"/>
      <c r="U21" s="104"/>
      <c r="V21" s="10" t="str" cm="1">
        <f t="array" ref="V21">somaComEspacosVazios(Q21:U21)</f>
        <v/>
      </c>
      <c r="W21" s="103"/>
      <c r="X21" s="104"/>
      <c r="Y21" s="104"/>
      <c r="Z21" s="104"/>
      <c r="AA21" s="105"/>
      <c r="AB21" s="123"/>
      <c r="AC21" s="202" t="str">
        <f t="shared" si="1"/>
        <v/>
      </c>
      <c r="AD21" s="197"/>
      <c r="AE21" s="10" t="str" cm="1">
        <f t="array" ref="AE21">composicaoValor(W21:AA21,AD21,AB21)</f>
        <v/>
      </c>
      <c r="AF21" s="103"/>
      <c r="AG21" s="104"/>
      <c r="AH21" s="104"/>
      <c r="AI21" s="104"/>
      <c r="AJ21" s="104"/>
      <c r="AK21" s="459" t="str" cm="1">
        <f t="array" ref="AK21">somaComEspacosVazios(AF21:AJ21)</f>
        <v/>
      </c>
      <c r="AL21" s="459" t="str" cm="1">
        <f t="array" ref="AL21">mediaComposicaoGramatica(V21,P21,AK21,AE21,0.2,0.8)</f>
        <v/>
      </c>
      <c r="AM21" s="442"/>
      <c r="AN21" s="104"/>
      <c r="AO21" s="104"/>
      <c r="AP21" s="104"/>
      <c r="AQ21" s="104"/>
      <c r="AR21" s="104"/>
      <c r="AS21" s="202" t="str">
        <f>IF(COUNT(AM21:AR21)=0,"",IF(SUM(AM21:AQ21) - ABS(AR21)&lt;0,"0",SUM(AM21:AQ21) - ABS(AR21)))</f>
        <v/>
      </c>
      <c r="AT21" s="197"/>
      <c r="AU21" s="10" t="str" cm="1">
        <f t="array" ref="AU21">composicaoValor(AM21:AQ21,AT21,AR21)</f>
        <v/>
      </c>
      <c r="AV21" s="103"/>
      <c r="AW21" s="104"/>
      <c r="AX21" s="104"/>
      <c r="AY21" s="104"/>
      <c r="AZ21" s="104"/>
      <c r="BA21" s="10" t="str" cm="1">
        <f t="array" ref="BA21">somaComEspacosVazios(AV21:AZ21)</f>
        <v/>
      </c>
      <c r="BB21" s="103"/>
      <c r="BC21" s="104"/>
      <c r="BD21" s="104"/>
      <c r="BE21" s="104"/>
      <c r="BF21" s="104"/>
      <c r="BG21" s="104"/>
      <c r="BH21" s="202" t="str">
        <f>IF(COUNT(BB21:BG21)=0,"",IF(SUM(BB21:BF21) - ABS(BG21)&lt;0,"0",SUM(BB21:BF21) - ABS(BG21)))</f>
        <v/>
      </c>
      <c r="BI21" s="197"/>
      <c r="BJ21" s="10" t="str" cm="1">
        <f t="array" ref="BJ21">composicaoValor(BB21:BF21,BI21,BG21)</f>
        <v/>
      </c>
      <c r="BK21" s="103"/>
      <c r="BL21" s="104"/>
      <c r="BM21" s="104"/>
      <c r="BN21" s="104"/>
      <c r="BO21" s="104"/>
      <c r="BP21" s="459" t="str" cm="1">
        <f t="array" ref="BP21">somaComEspacosVazios(BK21:BO21)</f>
        <v/>
      </c>
      <c r="BQ21" s="459" t="str" cm="1">
        <f t="array" ref="BQ21">mediaComposicaoGramatica(BA21,AU21,BP21,BJ21,0.2,0.8)</f>
        <v/>
      </c>
    </row>
    <row r="22" spans="1:69" x14ac:dyDescent="0.25">
      <c r="A22" s="90">
        <f>IF('Avaliação Períodos'!A23=0,"",'Avaliação Períodos'!A23)</f>
        <v>24</v>
      </c>
      <c r="B22" s="420" t="str">
        <f>IF('Avaliação Períodos'!B23=0,"",'Avaliação Períodos'!B23)</f>
        <v>Tiago Neves</v>
      </c>
      <c r="C22" s="421"/>
      <c r="D22" s="421"/>
      <c r="E22" s="421"/>
      <c r="F22" s="421"/>
      <c r="G22" s="421"/>
      <c r="H22" s="463"/>
      <c r="I22" s="101"/>
      <c r="J22" s="101"/>
      <c r="K22" s="101"/>
      <c r="L22" s="102"/>
      <c r="M22" s="124"/>
      <c r="N22" s="201" t="str">
        <f t="shared" si="0"/>
        <v/>
      </c>
      <c r="O22" s="196"/>
      <c r="P22" s="10" t="str" cm="1">
        <f t="array" ref="P22">composicaoValor(H22:L22,O22,M22)</f>
        <v/>
      </c>
      <c r="Q22" s="107"/>
      <c r="R22" s="101"/>
      <c r="S22" s="101"/>
      <c r="T22" s="101"/>
      <c r="U22" s="101"/>
      <c r="V22" s="10" t="str" cm="1">
        <f t="array" ref="V22">somaComEspacosVazios(Q22:U22)</f>
        <v/>
      </c>
      <c r="W22" s="107"/>
      <c r="X22" s="101"/>
      <c r="Y22" s="101"/>
      <c r="Z22" s="101"/>
      <c r="AA22" s="102"/>
      <c r="AB22" s="124"/>
      <c r="AC22" s="201" t="str">
        <f t="shared" si="1"/>
        <v/>
      </c>
      <c r="AD22" s="196"/>
      <c r="AE22" s="10" t="str" cm="1">
        <f t="array" ref="AE22">composicaoValor(W22:AA22,AD22,AB22)</f>
        <v/>
      </c>
      <c r="AF22" s="107"/>
      <c r="AG22" s="101"/>
      <c r="AH22" s="101"/>
      <c r="AI22" s="101"/>
      <c r="AJ22" s="101"/>
      <c r="AK22" s="459" t="str" cm="1">
        <f t="array" ref="AK22">somaComEspacosVazios(AF22:AJ22)</f>
        <v/>
      </c>
      <c r="AL22" s="459" t="str" cm="1">
        <f t="array" ref="AL22">mediaComposicaoGramatica(V22,P22,AK22,AE22,0.2,0.8)</f>
        <v/>
      </c>
      <c r="AM22" s="441"/>
      <c r="AN22" s="101"/>
      <c r="AO22" s="101"/>
      <c r="AP22" s="101"/>
      <c r="AQ22" s="101"/>
      <c r="AR22" s="101"/>
      <c r="AS22" s="201" t="str">
        <f>IF(COUNT(AM22:AR22)=0,"",IF(SUM(AM22:AQ22) - ABS(AR22)&lt;0,"0",SUM(AM22:AQ22) - ABS(AR22)))</f>
        <v/>
      </c>
      <c r="AT22" s="196"/>
      <c r="AU22" s="10" t="str" cm="1">
        <f t="array" ref="AU22">composicaoValor(AM22:AQ22,AT22,AR22)</f>
        <v/>
      </c>
      <c r="AV22" s="107"/>
      <c r="AW22" s="101"/>
      <c r="AX22" s="101"/>
      <c r="AY22" s="101"/>
      <c r="AZ22" s="101"/>
      <c r="BA22" s="10" t="str" cm="1">
        <f t="array" ref="BA22">somaComEspacosVazios(AV22:AZ22)</f>
        <v/>
      </c>
      <c r="BB22" s="107"/>
      <c r="BC22" s="101"/>
      <c r="BD22" s="101"/>
      <c r="BE22" s="101"/>
      <c r="BF22" s="101"/>
      <c r="BG22" s="101"/>
      <c r="BH22" s="201" t="str">
        <f>IF(COUNT(BB22:BG22)=0,"",IF(SUM(BB22:BF22) - ABS(BG22)&lt;0,"0",SUM(BB22:BF22) - ABS(BG22)))</f>
        <v/>
      </c>
      <c r="BI22" s="196"/>
      <c r="BJ22" s="10" t="str" cm="1">
        <f t="array" ref="BJ22">composicaoValor(BB22:BF22,BI22,BG22)</f>
        <v/>
      </c>
      <c r="BK22" s="107"/>
      <c r="BL22" s="101"/>
      <c r="BM22" s="101"/>
      <c r="BN22" s="101"/>
      <c r="BO22" s="101"/>
      <c r="BP22" s="459" t="str" cm="1">
        <f t="array" ref="BP22">somaComEspacosVazios(BK22:BO22)</f>
        <v/>
      </c>
      <c r="BQ22" s="459" t="str" cm="1">
        <f t="array" ref="BQ22">mediaComposicaoGramatica(BA22,AU22,BP22,BJ22,0.2,0.8)</f>
        <v/>
      </c>
    </row>
    <row r="23" spans="1:69" x14ac:dyDescent="0.25">
      <c r="A23" s="91">
        <f>IF('Avaliação Períodos'!A24=0,"",'Avaliação Períodos'!A24)</f>
        <v>25</v>
      </c>
      <c r="B23" s="412" t="str">
        <f>IF('Avaliação Períodos'!B24=0,"",'Avaliação Períodos'!B24)</f>
        <v>Tiago Machado</v>
      </c>
      <c r="C23" s="413"/>
      <c r="D23" s="413"/>
      <c r="E23" s="413"/>
      <c r="F23" s="413"/>
      <c r="G23" s="413"/>
      <c r="H23" s="462"/>
      <c r="I23" s="104"/>
      <c r="J23" s="104"/>
      <c r="K23" s="104"/>
      <c r="L23" s="105"/>
      <c r="M23" s="123"/>
      <c r="N23" s="202" t="str">
        <f t="shared" si="0"/>
        <v/>
      </c>
      <c r="O23" s="197"/>
      <c r="P23" s="10" t="str" cm="1">
        <f t="array" ref="P23">composicaoValor(H23:L23,O23,M23)</f>
        <v/>
      </c>
      <c r="Q23" s="103"/>
      <c r="R23" s="104"/>
      <c r="S23" s="104"/>
      <c r="T23" s="104"/>
      <c r="U23" s="104"/>
      <c r="V23" s="10" t="str" cm="1">
        <f t="array" ref="V23">somaComEspacosVazios(Q23:U23)</f>
        <v/>
      </c>
      <c r="W23" s="103"/>
      <c r="X23" s="104"/>
      <c r="Y23" s="104"/>
      <c r="Z23" s="104"/>
      <c r="AA23" s="105"/>
      <c r="AB23" s="123"/>
      <c r="AC23" s="202" t="str">
        <f t="shared" si="1"/>
        <v/>
      </c>
      <c r="AD23" s="197"/>
      <c r="AE23" s="10" t="str" cm="1">
        <f t="array" ref="AE23">composicaoValor(W23:AA23,AD23,AB23)</f>
        <v/>
      </c>
      <c r="AF23" s="103"/>
      <c r="AG23" s="104"/>
      <c r="AH23" s="104"/>
      <c r="AI23" s="104"/>
      <c r="AJ23" s="104"/>
      <c r="AK23" s="459" t="str" cm="1">
        <f t="array" ref="AK23">somaComEspacosVazios(AF23:AJ23)</f>
        <v/>
      </c>
      <c r="AL23" s="459" t="str" cm="1">
        <f t="array" ref="AL23">mediaComposicaoGramatica(V23,P23,AK23,AE23,0.2,0.8)</f>
        <v/>
      </c>
      <c r="AM23" s="442"/>
      <c r="AN23" s="104"/>
      <c r="AO23" s="104"/>
      <c r="AP23" s="104"/>
      <c r="AQ23" s="104"/>
      <c r="AR23" s="104"/>
      <c r="AS23" s="202" t="str">
        <f>IF(COUNT(AM23:AR23)=0,"",IF(SUM(AM23:AQ23) - ABS(AR23)&lt;0,"0",SUM(AM23:AQ23) - ABS(AR23)))</f>
        <v/>
      </c>
      <c r="AT23" s="197"/>
      <c r="AU23" s="10" t="str" cm="1">
        <f t="array" ref="AU23">composicaoValor(AM23:AQ23,AT23,AR23)</f>
        <v/>
      </c>
      <c r="AV23" s="103"/>
      <c r="AW23" s="104"/>
      <c r="AX23" s="104"/>
      <c r="AY23" s="104"/>
      <c r="AZ23" s="104"/>
      <c r="BA23" s="10" t="str" cm="1">
        <f t="array" ref="BA23">somaComEspacosVazios(AV23:AZ23)</f>
        <v/>
      </c>
      <c r="BB23" s="103"/>
      <c r="BC23" s="104"/>
      <c r="BD23" s="104"/>
      <c r="BE23" s="104"/>
      <c r="BF23" s="104"/>
      <c r="BG23" s="104"/>
      <c r="BH23" s="202" t="str">
        <f>IF(COUNT(BB23:BG23)=0,"",IF(SUM(BB23:BF23) - ABS(BG23)&lt;0,"0",SUM(BB23:BF23) - ABS(BG23)))</f>
        <v/>
      </c>
      <c r="BI23" s="197"/>
      <c r="BJ23" s="10" t="str" cm="1">
        <f t="array" ref="BJ23">composicaoValor(BB23:BF23,BI23,BG23)</f>
        <v/>
      </c>
      <c r="BK23" s="103"/>
      <c r="BL23" s="104"/>
      <c r="BM23" s="104"/>
      <c r="BN23" s="104"/>
      <c r="BO23" s="104"/>
      <c r="BP23" s="459" t="str" cm="1">
        <f t="array" ref="BP23">somaComEspacosVazios(BK23:BO23)</f>
        <v/>
      </c>
      <c r="BQ23" s="459" t="str" cm="1">
        <f t="array" ref="BQ23">mediaComposicaoGramatica(BA23,AU23,BP23,BJ23,0.2,0.8)</f>
        <v/>
      </c>
    </row>
    <row r="24" spans="1:69" x14ac:dyDescent="0.25">
      <c r="A24" s="90">
        <f>IF('Avaliação Períodos'!A25=0,"",'Avaliação Períodos'!A25)</f>
        <v>26</v>
      </c>
      <c r="B24" s="420" t="str">
        <f>IF('Avaliação Períodos'!B25=0,"",'Avaliação Períodos'!B25)</f>
        <v>Tomás Santos</v>
      </c>
      <c r="C24" s="421"/>
      <c r="D24" s="421"/>
      <c r="E24" s="421"/>
      <c r="F24" s="421"/>
      <c r="G24" s="421"/>
      <c r="H24" s="463"/>
      <c r="I24" s="101"/>
      <c r="J24" s="101"/>
      <c r="K24" s="101"/>
      <c r="L24" s="102"/>
      <c r="M24" s="124"/>
      <c r="N24" s="201" t="str">
        <f t="shared" si="0"/>
        <v/>
      </c>
      <c r="O24" s="196"/>
      <c r="P24" s="10" t="str" cm="1">
        <f t="array" ref="P24">composicaoValor(H24:L24,O24,M24)</f>
        <v/>
      </c>
      <c r="Q24" s="107"/>
      <c r="R24" s="101"/>
      <c r="S24" s="101"/>
      <c r="T24" s="101"/>
      <c r="U24" s="101"/>
      <c r="V24" s="10" t="str" cm="1">
        <f t="array" ref="V24">somaComEspacosVazios(Q24:U24)</f>
        <v/>
      </c>
      <c r="W24" s="107"/>
      <c r="X24" s="101"/>
      <c r="Y24" s="101"/>
      <c r="Z24" s="101"/>
      <c r="AA24" s="102"/>
      <c r="AB24" s="124"/>
      <c r="AC24" s="201" t="str">
        <f t="shared" si="1"/>
        <v/>
      </c>
      <c r="AD24" s="196"/>
      <c r="AE24" s="10" t="str" cm="1">
        <f t="array" ref="AE24">composicaoValor(W24:AA24,AD24,AB24)</f>
        <v/>
      </c>
      <c r="AF24" s="107"/>
      <c r="AG24" s="101"/>
      <c r="AH24" s="101"/>
      <c r="AI24" s="101"/>
      <c r="AJ24" s="101"/>
      <c r="AK24" s="459" t="str" cm="1">
        <f t="array" ref="AK24">somaComEspacosVazios(AF24:AJ24)</f>
        <v/>
      </c>
      <c r="AL24" s="459" t="str" cm="1">
        <f t="array" ref="AL24">mediaComposicaoGramatica(V24,P24,AK24,AE24,0.2,0.8)</f>
        <v/>
      </c>
      <c r="AM24" s="441"/>
      <c r="AN24" s="101"/>
      <c r="AO24" s="101"/>
      <c r="AP24" s="101"/>
      <c r="AQ24" s="101"/>
      <c r="AR24" s="101"/>
      <c r="AS24" s="201" t="str">
        <f>IF(COUNT(AM24:AR24)=0,"",IF(SUM(AM24:AQ24) - ABS(AR24)&lt;0,"0",SUM(AM24:AQ24) - ABS(AR24)))</f>
        <v/>
      </c>
      <c r="AT24" s="196"/>
      <c r="AU24" s="10" t="str" cm="1">
        <f t="array" ref="AU24">composicaoValor(AM24:AQ24,AT24,AR24)</f>
        <v/>
      </c>
      <c r="AV24" s="107"/>
      <c r="AW24" s="101"/>
      <c r="AX24" s="101"/>
      <c r="AY24" s="101"/>
      <c r="AZ24" s="101"/>
      <c r="BA24" s="10" t="str" cm="1">
        <f t="array" ref="BA24">somaComEspacosVazios(AV24:AZ24)</f>
        <v/>
      </c>
      <c r="BB24" s="107"/>
      <c r="BC24" s="101"/>
      <c r="BD24" s="101"/>
      <c r="BE24" s="101"/>
      <c r="BF24" s="101"/>
      <c r="BG24" s="101"/>
      <c r="BH24" s="201" t="str">
        <f>IF(COUNT(BB24:BG24)=0,"",IF(SUM(BB24:BF24) - ABS(BG24)&lt;0,"0",SUM(BB24:BF24) - ABS(BG24)))</f>
        <v/>
      </c>
      <c r="BI24" s="196"/>
      <c r="BJ24" s="10" t="str" cm="1">
        <f t="array" ref="BJ24">composicaoValor(BB24:BF24,BI24,BG24)</f>
        <v/>
      </c>
      <c r="BK24" s="107"/>
      <c r="BL24" s="101"/>
      <c r="BM24" s="101"/>
      <c r="BN24" s="101"/>
      <c r="BO24" s="101"/>
      <c r="BP24" s="459" t="str" cm="1">
        <f t="array" ref="BP24">somaComEspacosVazios(BK24:BO24)</f>
        <v/>
      </c>
      <c r="BQ24" s="459" t="str" cm="1">
        <f t="array" ref="BQ24">mediaComposicaoGramatica(BA24,AU24,BP24,BJ24,0.2,0.8)</f>
        <v/>
      </c>
    </row>
    <row r="25" spans="1:69" x14ac:dyDescent="0.25">
      <c r="A25" s="91">
        <f>IF('Avaliação Períodos'!A26=0,"",'Avaliação Períodos'!A26)</f>
        <v>27</v>
      </c>
      <c r="B25" s="412" t="str">
        <f>IF('Avaliação Períodos'!B26=0,"",'Avaliação Períodos'!B26)</f>
        <v>Tomás António</v>
      </c>
      <c r="C25" s="413"/>
      <c r="D25" s="413"/>
      <c r="E25" s="413"/>
      <c r="F25" s="413"/>
      <c r="G25" s="413"/>
      <c r="H25" s="462"/>
      <c r="I25" s="104"/>
      <c r="J25" s="104"/>
      <c r="K25" s="104"/>
      <c r="L25" s="105"/>
      <c r="M25" s="123"/>
      <c r="N25" s="202" t="str">
        <f t="shared" si="0"/>
        <v/>
      </c>
      <c r="O25" s="197"/>
      <c r="P25" s="10" t="str" cm="1">
        <f t="array" ref="P25">composicaoValor(H25:L25,O25,M25)</f>
        <v/>
      </c>
      <c r="Q25" s="103"/>
      <c r="R25" s="104"/>
      <c r="S25" s="104"/>
      <c r="T25" s="104"/>
      <c r="U25" s="104"/>
      <c r="V25" s="10" t="str" cm="1">
        <f t="array" ref="V25">somaComEspacosVazios(Q25:U25)</f>
        <v/>
      </c>
      <c r="W25" s="103"/>
      <c r="X25" s="104"/>
      <c r="Y25" s="104"/>
      <c r="Z25" s="104"/>
      <c r="AA25" s="105"/>
      <c r="AB25" s="123"/>
      <c r="AC25" s="202" t="str">
        <f t="shared" si="1"/>
        <v/>
      </c>
      <c r="AD25" s="197"/>
      <c r="AE25" s="10" t="str" cm="1">
        <f t="array" ref="AE25">composicaoValor(W25:AA25,AD25,AB25)</f>
        <v/>
      </c>
      <c r="AF25" s="103"/>
      <c r="AG25" s="104"/>
      <c r="AH25" s="104"/>
      <c r="AI25" s="104"/>
      <c r="AJ25" s="104"/>
      <c r="AK25" s="459" t="str" cm="1">
        <f t="array" ref="AK25">somaComEspacosVazios(AF25:AJ25)</f>
        <v/>
      </c>
      <c r="AL25" s="459" t="str" cm="1">
        <f t="array" ref="AL25">mediaComposicaoGramatica(V25,P25,AK25,AE25,0.2,0.8)</f>
        <v/>
      </c>
      <c r="AM25" s="442"/>
      <c r="AN25" s="104"/>
      <c r="AO25" s="104"/>
      <c r="AP25" s="104"/>
      <c r="AQ25" s="104"/>
      <c r="AR25" s="104"/>
      <c r="AS25" s="202" t="str">
        <f>IF(COUNT(AM25:AR25)=0,"",IF(SUM(AM25:AQ25) - ABS(AR25)&lt;0,"0",SUM(AM25:AQ25) - ABS(AR25)))</f>
        <v/>
      </c>
      <c r="AT25" s="197"/>
      <c r="AU25" s="10" t="str" cm="1">
        <f t="array" ref="AU25">composicaoValor(AM25:AQ25,AT25,AR25)</f>
        <v/>
      </c>
      <c r="AV25" s="103"/>
      <c r="AW25" s="104"/>
      <c r="AX25" s="104"/>
      <c r="AY25" s="104"/>
      <c r="AZ25" s="104"/>
      <c r="BA25" s="10" t="str" cm="1">
        <f t="array" ref="BA25">somaComEspacosVazios(AV25:AZ25)</f>
        <v/>
      </c>
      <c r="BB25" s="103"/>
      <c r="BC25" s="104"/>
      <c r="BD25" s="104"/>
      <c r="BE25" s="104"/>
      <c r="BF25" s="104"/>
      <c r="BG25" s="104"/>
      <c r="BH25" s="202" t="str">
        <f>IF(COUNT(BB25:BG25)=0,"",IF(SUM(BB25:BF25) - ABS(BG25)&lt;0,"0",SUM(BB25:BF25) - ABS(BG25)))</f>
        <v/>
      </c>
      <c r="BI25" s="197"/>
      <c r="BJ25" s="10" t="str" cm="1">
        <f t="array" ref="BJ25">composicaoValor(BB25:BF25,BI25,BG25)</f>
        <v/>
      </c>
      <c r="BK25" s="103"/>
      <c r="BL25" s="104"/>
      <c r="BM25" s="104"/>
      <c r="BN25" s="104"/>
      <c r="BO25" s="104"/>
      <c r="BP25" s="459" t="str" cm="1">
        <f t="array" ref="BP25">somaComEspacosVazios(BK25:BO25)</f>
        <v/>
      </c>
      <c r="BQ25" s="459" t="str" cm="1">
        <f t="array" ref="BQ25">mediaComposicaoGramatica(BA25,AU25,BP25,BJ25,0.2,0.8)</f>
        <v/>
      </c>
    </row>
    <row r="26" spans="1:69" x14ac:dyDescent="0.25">
      <c r="A26" s="90">
        <f>IF('Avaliação Períodos'!A27=0,"",'Avaliação Períodos'!A27)</f>
        <v>28</v>
      </c>
      <c r="B26" s="420" t="str">
        <f>IF('Avaliação Períodos'!B27=0,"",'Avaliação Períodos'!B27)</f>
        <v>Sony</v>
      </c>
      <c r="C26" s="421"/>
      <c r="D26" s="421"/>
      <c r="E26" s="421"/>
      <c r="F26" s="421"/>
      <c r="G26" s="421"/>
      <c r="H26" s="463"/>
      <c r="I26" s="101"/>
      <c r="J26" s="101"/>
      <c r="K26" s="101"/>
      <c r="L26" s="102"/>
      <c r="M26" s="124"/>
      <c r="N26" s="201" t="str">
        <f t="shared" si="0"/>
        <v/>
      </c>
      <c r="O26" s="196"/>
      <c r="P26" s="10" t="str" cm="1">
        <f t="array" ref="P26">composicaoValor(H26:L26,O26,M26)</f>
        <v/>
      </c>
      <c r="Q26" s="107"/>
      <c r="R26" s="101"/>
      <c r="S26" s="101"/>
      <c r="T26" s="101"/>
      <c r="U26" s="101"/>
      <c r="V26" s="10" t="str" cm="1">
        <f t="array" ref="V26">somaComEspacosVazios(Q26:U26)</f>
        <v/>
      </c>
      <c r="W26" s="107"/>
      <c r="X26" s="101"/>
      <c r="Y26" s="101"/>
      <c r="Z26" s="101"/>
      <c r="AA26" s="102"/>
      <c r="AB26" s="124"/>
      <c r="AC26" s="201" t="str">
        <f t="shared" si="1"/>
        <v/>
      </c>
      <c r="AD26" s="196"/>
      <c r="AE26" s="10" t="str" cm="1">
        <f t="array" ref="AE26">composicaoValor(W26:AA26,AD26,AB26)</f>
        <v/>
      </c>
      <c r="AF26" s="107"/>
      <c r="AG26" s="101"/>
      <c r="AH26" s="101"/>
      <c r="AI26" s="101"/>
      <c r="AJ26" s="101"/>
      <c r="AK26" s="459" t="str" cm="1">
        <f t="array" ref="AK26">somaComEspacosVazios(AF26:AJ26)</f>
        <v/>
      </c>
      <c r="AL26" s="459" t="str" cm="1">
        <f t="array" ref="AL26">mediaComposicaoGramatica(V26,P26,AK26,AE26,0.2,0.8)</f>
        <v/>
      </c>
      <c r="AM26" s="441"/>
      <c r="AN26" s="101"/>
      <c r="AO26" s="101"/>
      <c r="AP26" s="101"/>
      <c r="AQ26" s="101"/>
      <c r="AR26" s="101"/>
      <c r="AS26" s="201" t="str">
        <f>IF(COUNT(AM26:AR26)=0,"",IF(SUM(AM26:AQ26) - ABS(AR26)&lt;0,"0",SUM(AM26:AQ26) - ABS(AR26)))</f>
        <v/>
      </c>
      <c r="AT26" s="196"/>
      <c r="AU26" s="10" t="str" cm="1">
        <f t="array" ref="AU26">composicaoValor(AM26:AQ26,AT26,AR26)</f>
        <v/>
      </c>
      <c r="AV26" s="107"/>
      <c r="AW26" s="101"/>
      <c r="AX26" s="101"/>
      <c r="AY26" s="101"/>
      <c r="AZ26" s="101"/>
      <c r="BA26" s="10" t="str" cm="1">
        <f t="array" ref="BA26">somaComEspacosVazios(AV26:AZ26)</f>
        <v/>
      </c>
      <c r="BB26" s="107"/>
      <c r="BC26" s="101"/>
      <c r="BD26" s="101"/>
      <c r="BE26" s="101"/>
      <c r="BF26" s="101"/>
      <c r="BG26" s="101"/>
      <c r="BH26" s="201" t="str">
        <f>IF(COUNT(BB26:BG26)=0,"",IF(SUM(BB26:BF26) - ABS(BG26)&lt;0,"0",SUM(BB26:BF26) - ABS(BG26)))</f>
        <v/>
      </c>
      <c r="BI26" s="196"/>
      <c r="BJ26" s="10" t="str" cm="1">
        <f t="array" ref="BJ26">composicaoValor(BB26:BF26,BI26,BG26)</f>
        <v/>
      </c>
      <c r="BK26" s="107"/>
      <c r="BL26" s="101"/>
      <c r="BM26" s="101"/>
      <c r="BN26" s="101"/>
      <c r="BO26" s="101"/>
      <c r="BP26" s="459" t="str" cm="1">
        <f t="array" ref="BP26">somaComEspacosVazios(BK26:BO26)</f>
        <v/>
      </c>
      <c r="BQ26" s="459" t="str" cm="1">
        <f t="array" ref="BQ26">mediaComposicaoGramatica(BA26,AU26,BP26,BJ26,0.2,0.8)</f>
        <v/>
      </c>
    </row>
    <row r="27" spans="1:69" x14ac:dyDescent="0.25">
      <c r="A27" s="91">
        <f>IF('Avaliação Períodos'!A28=0,"",'Avaliação Períodos'!A28)</f>
        <v>20</v>
      </c>
      <c r="B27" s="412" t="str">
        <f>IF('Avaliação Períodos'!B28=0,"",'Avaliação Períodos'!B28)</f>
        <v/>
      </c>
      <c r="C27" s="413"/>
      <c r="D27" s="413"/>
      <c r="E27" s="413"/>
      <c r="F27" s="413"/>
      <c r="G27" s="413"/>
      <c r="H27" s="462"/>
      <c r="I27" s="104"/>
      <c r="J27" s="104"/>
      <c r="K27" s="104"/>
      <c r="L27" s="105"/>
      <c r="M27" s="123"/>
      <c r="N27" s="202" t="str">
        <f t="shared" si="0"/>
        <v/>
      </c>
      <c r="O27" s="197"/>
      <c r="P27" s="10" t="str" cm="1">
        <f t="array" ref="P27">composicaoValor(H27:L27,O27,M27)</f>
        <v/>
      </c>
      <c r="Q27" s="103"/>
      <c r="R27" s="104"/>
      <c r="S27" s="104"/>
      <c r="T27" s="104"/>
      <c r="U27" s="104"/>
      <c r="V27" s="10" t="str" cm="1">
        <f t="array" ref="V27">somaComEspacosVazios(Q27:U27)</f>
        <v/>
      </c>
      <c r="W27" s="103"/>
      <c r="X27" s="104"/>
      <c r="Y27" s="104"/>
      <c r="Z27" s="104"/>
      <c r="AA27" s="105"/>
      <c r="AB27" s="123"/>
      <c r="AC27" s="202" t="str">
        <f t="shared" si="1"/>
        <v/>
      </c>
      <c r="AD27" s="197"/>
      <c r="AE27" s="10" t="str" cm="1">
        <f t="array" ref="AE27">composicaoValor(W27:AA27,AD27,AB27)</f>
        <v/>
      </c>
      <c r="AF27" s="103"/>
      <c r="AG27" s="104"/>
      <c r="AH27" s="104"/>
      <c r="AI27" s="104"/>
      <c r="AJ27" s="104"/>
      <c r="AK27" s="459" t="str" cm="1">
        <f t="array" ref="AK27">somaComEspacosVazios(AF27:AJ27)</f>
        <v/>
      </c>
      <c r="AL27" s="459" t="str" cm="1">
        <f t="array" ref="AL27">mediaComposicaoGramatica(V27,P27,AK27,AE27,0.2,0.8)</f>
        <v/>
      </c>
      <c r="AM27" s="442"/>
      <c r="AN27" s="104"/>
      <c r="AO27" s="104"/>
      <c r="AP27" s="104"/>
      <c r="AQ27" s="104"/>
      <c r="AR27" s="104"/>
      <c r="AS27" s="202" t="str">
        <f>IF(COUNT(AM27:AR27)=0,"",IF(SUM(AM27:AQ27) - ABS(AR27)&lt;0,"0",SUM(AM27:AQ27) - ABS(AR27)))</f>
        <v/>
      </c>
      <c r="AT27" s="197"/>
      <c r="AU27" s="10" t="str" cm="1">
        <f t="array" ref="AU27">composicaoValor(AM27:AQ27,AT27,AR27)</f>
        <v/>
      </c>
      <c r="AV27" s="103"/>
      <c r="AW27" s="104"/>
      <c r="AX27" s="104"/>
      <c r="AY27" s="104"/>
      <c r="AZ27" s="104"/>
      <c r="BA27" s="10" t="str" cm="1">
        <f t="array" ref="BA27">somaComEspacosVazios(AV27:AZ27)</f>
        <v/>
      </c>
      <c r="BB27" s="103"/>
      <c r="BC27" s="104"/>
      <c r="BD27" s="104"/>
      <c r="BE27" s="104"/>
      <c r="BF27" s="104"/>
      <c r="BG27" s="104"/>
      <c r="BH27" s="202" t="str">
        <f>IF(COUNT(BB27:BG27)=0,"",IF(SUM(BB27:BF27) - ABS(BG27)&lt;0,"0",SUM(BB27:BF27) - ABS(BG27)))</f>
        <v/>
      </c>
      <c r="BI27" s="197"/>
      <c r="BJ27" s="10" t="str" cm="1">
        <f t="array" ref="BJ27">composicaoValor(BB27:BF27,BI27,BG27)</f>
        <v/>
      </c>
      <c r="BK27" s="103"/>
      <c r="BL27" s="104"/>
      <c r="BM27" s="104"/>
      <c r="BN27" s="104"/>
      <c r="BO27" s="104"/>
      <c r="BP27" s="459" t="str" cm="1">
        <f t="array" ref="BP27">somaComEspacosVazios(BK27:BO27)</f>
        <v/>
      </c>
      <c r="BQ27" s="459" t="str" cm="1">
        <f t="array" ref="BQ27">mediaComposicaoGramatica(BA27,AU27,BP27,BJ27,0.2,0.8)</f>
        <v/>
      </c>
    </row>
    <row r="28" spans="1:69" x14ac:dyDescent="0.25">
      <c r="A28" s="90">
        <f>IF('Avaliação Períodos'!A29=0,"",'Avaliação Períodos'!A29)</f>
        <v>21</v>
      </c>
      <c r="B28" s="420" t="str">
        <f>IF('Avaliação Períodos'!B29=0,"",'Avaliação Períodos'!B29)</f>
        <v/>
      </c>
      <c r="C28" s="421"/>
      <c r="D28" s="421"/>
      <c r="E28" s="421"/>
      <c r="F28" s="421"/>
      <c r="G28" s="421"/>
      <c r="H28" s="463"/>
      <c r="I28" s="101"/>
      <c r="J28" s="101"/>
      <c r="K28" s="101"/>
      <c r="L28" s="102"/>
      <c r="M28" s="124"/>
      <c r="N28" s="201" t="str">
        <f t="shared" si="0"/>
        <v/>
      </c>
      <c r="O28" s="196"/>
      <c r="P28" s="10" t="str" cm="1">
        <f t="array" ref="P28">composicaoValor(H28:L28,O28,M28)</f>
        <v/>
      </c>
      <c r="Q28" s="107"/>
      <c r="R28" s="101"/>
      <c r="S28" s="101"/>
      <c r="T28" s="101"/>
      <c r="U28" s="101"/>
      <c r="V28" s="10" t="str" cm="1">
        <f t="array" ref="V28">somaComEspacosVazios(Q28:U28)</f>
        <v/>
      </c>
      <c r="W28" s="107"/>
      <c r="X28" s="101"/>
      <c r="Y28" s="101"/>
      <c r="Z28" s="101"/>
      <c r="AA28" s="102"/>
      <c r="AB28" s="124"/>
      <c r="AC28" s="201" t="str">
        <f t="shared" si="1"/>
        <v/>
      </c>
      <c r="AD28" s="196"/>
      <c r="AE28" s="10" t="str" cm="1">
        <f t="array" ref="AE28">composicaoValor(W28:AA28,AD28,AB28)</f>
        <v/>
      </c>
      <c r="AF28" s="107"/>
      <c r="AG28" s="101"/>
      <c r="AH28" s="101"/>
      <c r="AI28" s="101"/>
      <c r="AJ28" s="101"/>
      <c r="AK28" s="459" t="str" cm="1">
        <f t="array" ref="AK28">somaComEspacosVazios(AF28:AJ28)</f>
        <v/>
      </c>
      <c r="AL28" s="459" t="str" cm="1">
        <f t="array" ref="AL28">mediaComposicaoGramatica(V28,P28,AK28,AE28,0.2,0.8)</f>
        <v/>
      </c>
      <c r="AM28" s="441"/>
      <c r="AN28" s="101"/>
      <c r="AO28" s="101"/>
      <c r="AP28" s="101"/>
      <c r="AQ28" s="101"/>
      <c r="AR28" s="101"/>
      <c r="AS28" s="201" t="str">
        <f>IF(COUNT(AM28:AR28)=0,"",IF(SUM(AM28:AQ28) - ABS(AR28)&lt;0,"0",SUM(AM28:AQ28) - ABS(AR28)))</f>
        <v/>
      </c>
      <c r="AT28" s="196"/>
      <c r="AU28" s="10" t="str" cm="1">
        <f t="array" ref="AU28">composicaoValor(AM28:AQ28,AT28,AR28)</f>
        <v/>
      </c>
      <c r="AV28" s="107"/>
      <c r="AW28" s="101"/>
      <c r="AX28" s="101"/>
      <c r="AY28" s="101"/>
      <c r="AZ28" s="101"/>
      <c r="BA28" s="10" t="str" cm="1">
        <f t="array" ref="BA28">somaComEspacosVazios(AV28:AZ28)</f>
        <v/>
      </c>
      <c r="BB28" s="107"/>
      <c r="BC28" s="101"/>
      <c r="BD28" s="101"/>
      <c r="BE28" s="101"/>
      <c r="BF28" s="101"/>
      <c r="BG28" s="101"/>
      <c r="BH28" s="201" t="str">
        <f>IF(COUNT(BB28:BG28)=0,"",IF(SUM(BB28:BF28) - ABS(BG28)&lt;0,"0",SUM(BB28:BF28) - ABS(BG28)))</f>
        <v/>
      </c>
      <c r="BI28" s="196"/>
      <c r="BJ28" s="10" t="str" cm="1">
        <f t="array" ref="BJ28">composicaoValor(BB28:BF28,BI28,BG28)</f>
        <v/>
      </c>
      <c r="BK28" s="107"/>
      <c r="BL28" s="101"/>
      <c r="BM28" s="101"/>
      <c r="BN28" s="101"/>
      <c r="BO28" s="101"/>
      <c r="BP28" s="459" t="str" cm="1">
        <f t="array" ref="BP28">somaComEspacosVazios(BK28:BO28)</f>
        <v/>
      </c>
      <c r="BQ28" s="459" t="str" cm="1">
        <f t="array" ref="BQ28">mediaComposicaoGramatica(BA28,AU28,BP28,BJ28,0.2,0.8)</f>
        <v/>
      </c>
    </row>
    <row r="29" spans="1:69" x14ac:dyDescent="0.25">
      <c r="A29" s="91">
        <f>IF('Avaliação Períodos'!A30=0,"",'Avaliação Períodos'!A30)</f>
        <v>22</v>
      </c>
      <c r="B29" s="412" t="str">
        <f>IF('Avaliação Períodos'!B30=0,"",'Avaliação Períodos'!B30)</f>
        <v/>
      </c>
      <c r="C29" s="413"/>
      <c r="D29" s="413"/>
      <c r="E29" s="413"/>
      <c r="F29" s="413"/>
      <c r="G29" s="413"/>
      <c r="H29" s="464"/>
      <c r="I29" s="109"/>
      <c r="J29" s="109"/>
      <c r="K29" s="109"/>
      <c r="L29" s="110"/>
      <c r="M29" s="125"/>
      <c r="N29" s="203" t="str">
        <f t="shared" si="0"/>
        <v/>
      </c>
      <c r="O29" s="198"/>
      <c r="P29" s="10" t="str" cm="1">
        <f t="array" ref="P29">composicaoValor(H29:L29,O29,M29)</f>
        <v/>
      </c>
      <c r="Q29" s="108"/>
      <c r="R29" s="109"/>
      <c r="S29" s="109"/>
      <c r="T29" s="109"/>
      <c r="U29" s="109"/>
      <c r="V29" s="10" t="str" cm="1">
        <f t="array" ref="V29">somaComEspacosVazios(Q29:U29)</f>
        <v/>
      </c>
      <c r="W29" s="108"/>
      <c r="X29" s="109"/>
      <c r="Y29" s="109"/>
      <c r="Z29" s="109"/>
      <c r="AA29" s="110"/>
      <c r="AB29" s="125"/>
      <c r="AC29" s="203" t="str">
        <f t="shared" si="1"/>
        <v/>
      </c>
      <c r="AD29" s="198"/>
      <c r="AE29" s="10" t="str" cm="1">
        <f t="array" ref="AE29">composicaoValor(W29:AA29,AD29,AB29)</f>
        <v/>
      </c>
      <c r="AF29" s="108"/>
      <c r="AG29" s="109"/>
      <c r="AH29" s="109"/>
      <c r="AI29" s="109"/>
      <c r="AJ29" s="109"/>
      <c r="AK29" s="459" t="str" cm="1">
        <f t="array" ref="AK29">somaComEspacosVazios(AF29:AJ29)</f>
        <v/>
      </c>
      <c r="AL29" s="459" t="str" cm="1">
        <f t="array" ref="AL29">mediaComposicaoGramatica(V29,P29,AK29,AE29,0.2,0.8)</f>
        <v/>
      </c>
      <c r="AM29" s="443"/>
      <c r="AN29" s="109"/>
      <c r="AO29" s="109"/>
      <c r="AP29" s="109"/>
      <c r="AQ29" s="109"/>
      <c r="AR29" s="109"/>
      <c r="AS29" s="203" t="str">
        <f>IF(COUNT(AM29:AR29)=0,"",IF(SUM(AM29:AQ29) - ABS(AR29)&lt;0,"0",SUM(AM29:AQ29) - ABS(AR29)))</f>
        <v/>
      </c>
      <c r="AT29" s="198"/>
      <c r="AU29" s="10" t="str" cm="1">
        <f t="array" ref="AU29">composicaoValor(AM29:AQ29,AT29,AR29)</f>
        <v/>
      </c>
      <c r="AV29" s="108"/>
      <c r="AW29" s="109"/>
      <c r="AX29" s="109"/>
      <c r="AY29" s="109"/>
      <c r="AZ29" s="109"/>
      <c r="BA29" s="10" t="str" cm="1">
        <f t="array" ref="BA29">somaComEspacosVazios(AV29:AZ29)</f>
        <v/>
      </c>
      <c r="BB29" s="108"/>
      <c r="BC29" s="109"/>
      <c r="BD29" s="109"/>
      <c r="BE29" s="109"/>
      <c r="BF29" s="109"/>
      <c r="BG29" s="109"/>
      <c r="BH29" s="203" t="str">
        <f>IF(COUNT(BB29:BG29)=0,"",IF(SUM(BB29:BF29) - ABS(BG29)&lt;0,"0",SUM(BB29:BF29) - ABS(BG29)))</f>
        <v/>
      </c>
      <c r="BI29" s="198"/>
      <c r="BJ29" s="10" t="str" cm="1">
        <f t="array" ref="BJ29">composicaoValor(BB29:BF29,BI29,BG29)</f>
        <v/>
      </c>
      <c r="BK29" s="108"/>
      <c r="BL29" s="109"/>
      <c r="BM29" s="109"/>
      <c r="BN29" s="109"/>
      <c r="BO29" s="109"/>
      <c r="BP29" s="459" t="str" cm="1">
        <f t="array" ref="BP29">somaComEspacosVazios(BK29:BO29)</f>
        <v/>
      </c>
      <c r="BQ29" s="459" t="str" cm="1">
        <f t="array" ref="BQ29">mediaComposicaoGramatica(BA29,AU29,BP29,BJ29,0.2,0.8)</f>
        <v/>
      </c>
    </row>
    <row r="30" spans="1:69" x14ac:dyDescent="0.25">
      <c r="A30" s="90">
        <f>IF('Avaliação Períodos'!A31=0,"",'Avaliação Períodos'!A31)</f>
        <v>23</v>
      </c>
      <c r="B30" s="420" t="str">
        <f>IF('Avaliação Períodos'!B31=0,"",'Avaliação Períodos'!B31)</f>
        <v/>
      </c>
      <c r="C30" s="421"/>
      <c r="D30" s="421"/>
      <c r="E30" s="421"/>
      <c r="F30" s="421"/>
      <c r="G30" s="421"/>
      <c r="H30" s="463"/>
      <c r="I30" s="101"/>
      <c r="J30" s="101"/>
      <c r="K30" s="101"/>
      <c r="L30" s="102"/>
      <c r="M30" s="124"/>
      <c r="N30" s="201" t="str">
        <f t="shared" si="0"/>
        <v/>
      </c>
      <c r="O30" s="196"/>
      <c r="P30" s="10" t="str" cm="1">
        <f t="array" ref="P30">composicaoValor(H30:L30,O30,M30)</f>
        <v/>
      </c>
      <c r="Q30" s="107"/>
      <c r="R30" s="101"/>
      <c r="S30" s="101"/>
      <c r="T30" s="101"/>
      <c r="U30" s="101"/>
      <c r="V30" s="10" t="str" cm="1">
        <f t="array" ref="V30">somaComEspacosVazios(Q30:U30)</f>
        <v/>
      </c>
      <c r="W30" s="107"/>
      <c r="X30" s="101"/>
      <c r="Y30" s="101"/>
      <c r="Z30" s="101"/>
      <c r="AA30" s="102"/>
      <c r="AB30" s="124"/>
      <c r="AC30" s="201" t="str">
        <f t="shared" si="1"/>
        <v/>
      </c>
      <c r="AD30" s="196"/>
      <c r="AE30" s="10" t="str" cm="1">
        <f t="array" ref="AE30">composicaoValor(W30:AA30,AD30,AB30)</f>
        <v/>
      </c>
      <c r="AF30" s="107"/>
      <c r="AG30" s="101"/>
      <c r="AH30" s="101"/>
      <c r="AI30" s="101"/>
      <c r="AJ30" s="101"/>
      <c r="AK30" s="459" t="str" cm="1">
        <f t="array" ref="AK30">somaComEspacosVazios(AF30:AJ30)</f>
        <v/>
      </c>
      <c r="AL30" s="459" t="str" cm="1">
        <f t="array" ref="AL30">mediaComposicaoGramatica(V30,P30,AK30,AE30,0.2,0.8)</f>
        <v/>
      </c>
      <c r="AM30" s="441"/>
      <c r="AN30" s="101"/>
      <c r="AO30" s="101"/>
      <c r="AP30" s="101"/>
      <c r="AQ30" s="101"/>
      <c r="AR30" s="101"/>
      <c r="AS30" s="201" t="str">
        <f>IF(COUNT(AM30:AR30)=0,"",IF(SUM(AM30:AQ30) - ABS(AR30)&lt;0,"0",SUM(AM30:AQ30) - ABS(AR30)))</f>
        <v/>
      </c>
      <c r="AT30" s="196"/>
      <c r="AU30" s="10" t="str" cm="1">
        <f t="array" ref="AU30">composicaoValor(AM30:AQ30,AT30,AR30)</f>
        <v/>
      </c>
      <c r="AV30" s="107"/>
      <c r="AW30" s="101"/>
      <c r="AX30" s="101"/>
      <c r="AY30" s="101"/>
      <c r="AZ30" s="101"/>
      <c r="BA30" s="10" t="str" cm="1">
        <f t="array" ref="BA30">somaComEspacosVazios(AV30:AZ30)</f>
        <v/>
      </c>
      <c r="BB30" s="107"/>
      <c r="BC30" s="101"/>
      <c r="BD30" s="101"/>
      <c r="BE30" s="101"/>
      <c r="BF30" s="101"/>
      <c r="BG30" s="101"/>
      <c r="BH30" s="201" t="str">
        <f>IF(COUNT(BB30:BG30)=0,"",IF(SUM(BB30:BF30) - ABS(BG30)&lt;0,"0",SUM(BB30:BF30) - ABS(BG30)))</f>
        <v/>
      </c>
      <c r="BI30" s="196"/>
      <c r="BJ30" s="10" t="str" cm="1">
        <f t="array" ref="BJ30">composicaoValor(BB30:BF30,BI30,BG30)</f>
        <v/>
      </c>
      <c r="BK30" s="107"/>
      <c r="BL30" s="101"/>
      <c r="BM30" s="101"/>
      <c r="BN30" s="101"/>
      <c r="BO30" s="101"/>
      <c r="BP30" s="459" t="str" cm="1">
        <f t="array" ref="BP30">somaComEspacosVazios(BK30:BO30)</f>
        <v/>
      </c>
      <c r="BQ30" s="459" t="str" cm="1">
        <f t="array" ref="BQ30">mediaComposicaoGramatica(BA30,AU30,BP30,BJ30,0.2,0.8)</f>
        <v/>
      </c>
    </row>
    <row r="31" spans="1:69" x14ac:dyDescent="0.25">
      <c r="A31" s="91" t="str">
        <f>IF('Avaliação Períodos'!A32=0,"",'Avaliação Períodos'!A32)</f>
        <v/>
      </c>
      <c r="B31" s="412" t="str">
        <f>IF('Avaliação Períodos'!B32=0,"",'Avaliação Períodos'!B32)</f>
        <v/>
      </c>
      <c r="C31" s="413"/>
      <c r="D31" s="413"/>
      <c r="E31" s="413"/>
      <c r="F31" s="413"/>
      <c r="G31" s="413"/>
      <c r="H31" s="462"/>
      <c r="I31" s="104"/>
      <c r="J31" s="104"/>
      <c r="K31" s="104"/>
      <c r="L31" s="105"/>
      <c r="M31" s="123"/>
      <c r="N31" s="202" t="str">
        <f t="shared" si="0"/>
        <v/>
      </c>
      <c r="O31" s="197"/>
      <c r="P31" s="10" t="str" cm="1">
        <f t="array" ref="P31">composicaoValor(H31:L31,O31,M31)</f>
        <v/>
      </c>
      <c r="Q31" s="103"/>
      <c r="R31" s="104"/>
      <c r="S31" s="104"/>
      <c r="T31" s="104"/>
      <c r="U31" s="104"/>
      <c r="V31" s="10" t="str" cm="1">
        <f t="array" ref="V31">somaComEspacosVazios(Q31:U31)</f>
        <v/>
      </c>
      <c r="W31" s="103"/>
      <c r="X31" s="104"/>
      <c r="Y31" s="104"/>
      <c r="Z31" s="104"/>
      <c r="AA31" s="105"/>
      <c r="AB31" s="123"/>
      <c r="AC31" s="202" t="str">
        <f t="shared" si="1"/>
        <v/>
      </c>
      <c r="AD31" s="197"/>
      <c r="AE31" s="10" t="str" cm="1">
        <f t="array" ref="AE31">composicaoValor(W31:AA31,AD31,AB31)</f>
        <v/>
      </c>
      <c r="AF31" s="103"/>
      <c r="AG31" s="104"/>
      <c r="AH31" s="104"/>
      <c r="AI31" s="104"/>
      <c r="AJ31" s="104"/>
      <c r="AK31" s="459" t="str" cm="1">
        <f t="array" ref="AK31">somaComEspacosVazios(AF31:AJ31)</f>
        <v/>
      </c>
      <c r="AL31" s="459" t="str" cm="1">
        <f t="array" ref="AL31">mediaComposicaoGramatica(V31,P31,AK31,AE31,0.2,0.8)</f>
        <v/>
      </c>
      <c r="AM31" s="442"/>
      <c r="AN31" s="104"/>
      <c r="AO31" s="104"/>
      <c r="AP31" s="104"/>
      <c r="AQ31" s="104"/>
      <c r="AR31" s="104"/>
      <c r="AS31" s="202" t="str">
        <f>IF(COUNT(AM31:AR31)=0,"",IF(SUM(AM31:AQ31) - ABS(AR31)&lt;0,"0",SUM(AM31:AQ31) - ABS(AR31)))</f>
        <v/>
      </c>
      <c r="AT31" s="197"/>
      <c r="AU31" s="10" t="str" cm="1">
        <f t="array" ref="AU31">composicaoValor(AM31:AQ31,AT31,AR31)</f>
        <v/>
      </c>
      <c r="AV31" s="103"/>
      <c r="AW31" s="104"/>
      <c r="AX31" s="104"/>
      <c r="AY31" s="104"/>
      <c r="AZ31" s="104"/>
      <c r="BA31" s="10" t="str" cm="1">
        <f t="array" ref="BA31">somaComEspacosVazios(AV31:AZ31)</f>
        <v/>
      </c>
      <c r="BB31" s="103"/>
      <c r="BC31" s="104"/>
      <c r="BD31" s="104"/>
      <c r="BE31" s="104"/>
      <c r="BF31" s="104"/>
      <c r="BG31" s="104"/>
      <c r="BH31" s="202" t="str">
        <f>IF(COUNT(BB31:BG31)=0,"",IF(SUM(BB31:BF31) - ABS(BG31)&lt;0,"0",SUM(BB31:BF31) - ABS(BG31)))</f>
        <v/>
      </c>
      <c r="BI31" s="197"/>
      <c r="BJ31" s="10" t="str" cm="1">
        <f t="array" ref="BJ31">composicaoValor(BB31:BF31,BI31,BG31)</f>
        <v/>
      </c>
      <c r="BK31" s="103"/>
      <c r="BL31" s="104"/>
      <c r="BM31" s="104"/>
      <c r="BN31" s="104"/>
      <c r="BO31" s="104"/>
      <c r="BP31" s="459" t="str" cm="1">
        <f t="array" ref="BP31">somaComEspacosVazios(BK31:BO31)</f>
        <v/>
      </c>
      <c r="BQ31" s="459" t="str" cm="1">
        <f t="array" ref="BQ31">mediaComposicaoGramatica(BA31,AU31,BP31,BJ31,0.2,0.8)</f>
        <v/>
      </c>
    </row>
    <row r="32" spans="1:69" x14ac:dyDescent="0.25">
      <c r="A32" s="90" t="str">
        <f>IF('Avaliação Períodos'!A33=0,"",'Avaliação Períodos'!A33)</f>
        <v/>
      </c>
      <c r="B32" s="420" t="str">
        <f>IF('Avaliação Períodos'!B33=0,"",'Avaliação Períodos'!B33)</f>
        <v/>
      </c>
      <c r="C32" s="421"/>
      <c r="D32" s="421"/>
      <c r="E32" s="421"/>
      <c r="F32" s="421"/>
      <c r="G32" s="421"/>
      <c r="H32" s="463"/>
      <c r="I32" s="101"/>
      <c r="J32" s="101"/>
      <c r="K32" s="101"/>
      <c r="L32" s="102"/>
      <c r="M32" s="124"/>
      <c r="N32" s="201" t="str">
        <f t="shared" si="0"/>
        <v/>
      </c>
      <c r="O32" s="196"/>
      <c r="P32" s="10" t="str" cm="1">
        <f t="array" ref="P32">composicaoValor(H32:L32,O32,M32)</f>
        <v/>
      </c>
      <c r="Q32" s="107"/>
      <c r="R32" s="101"/>
      <c r="S32" s="101"/>
      <c r="T32" s="101"/>
      <c r="U32" s="101"/>
      <c r="V32" s="10" t="str" cm="1">
        <f t="array" ref="V32">somaComEspacosVazios(Q32:U32)</f>
        <v/>
      </c>
      <c r="W32" s="107"/>
      <c r="X32" s="101"/>
      <c r="Y32" s="101"/>
      <c r="Z32" s="101"/>
      <c r="AA32" s="102"/>
      <c r="AB32" s="124"/>
      <c r="AC32" s="201" t="str">
        <f t="shared" si="1"/>
        <v/>
      </c>
      <c r="AD32" s="196"/>
      <c r="AE32" s="10" t="str" cm="1">
        <f t="array" ref="AE32">composicaoValor(W32:AA32,AD32,AB32)</f>
        <v/>
      </c>
      <c r="AF32" s="107"/>
      <c r="AG32" s="101"/>
      <c r="AH32" s="101"/>
      <c r="AI32" s="101"/>
      <c r="AJ32" s="101"/>
      <c r="AK32" s="459" t="str" cm="1">
        <f t="array" ref="AK32">somaComEspacosVazios(AF32:AJ32)</f>
        <v/>
      </c>
      <c r="AL32" s="459" t="str" cm="1">
        <f t="array" ref="AL32">mediaComposicaoGramatica(V32,P32,AK32,AE32,0.2,0.8)</f>
        <v/>
      </c>
      <c r="AM32" s="441"/>
      <c r="AN32" s="101"/>
      <c r="AO32" s="101"/>
      <c r="AP32" s="101"/>
      <c r="AQ32" s="101"/>
      <c r="AR32" s="101"/>
      <c r="AS32" s="201" t="str">
        <f>IF(COUNT(AM32:AR32)=0,"",IF(SUM(AM32:AQ32) - ABS(AR32)&lt;0,"0",SUM(AM32:AQ32) - ABS(AR32)))</f>
        <v/>
      </c>
      <c r="AT32" s="196"/>
      <c r="AU32" s="10" t="str" cm="1">
        <f t="array" ref="AU32">composicaoValor(AM32:AQ32,AT32,AR32)</f>
        <v/>
      </c>
      <c r="AV32" s="107"/>
      <c r="AW32" s="101"/>
      <c r="AX32" s="101"/>
      <c r="AY32" s="101"/>
      <c r="AZ32" s="101"/>
      <c r="BA32" s="10" t="str" cm="1">
        <f t="array" ref="BA32">somaComEspacosVazios(AV32:AZ32)</f>
        <v/>
      </c>
      <c r="BB32" s="107"/>
      <c r="BC32" s="101"/>
      <c r="BD32" s="101"/>
      <c r="BE32" s="101"/>
      <c r="BF32" s="101"/>
      <c r="BG32" s="101"/>
      <c r="BH32" s="201" t="str">
        <f>IF(COUNT(BB32:BG32)=0,"",IF(SUM(BB32:BF32) - ABS(BG32)&lt;0,"0",SUM(BB32:BF32) - ABS(BG32)))</f>
        <v/>
      </c>
      <c r="BI32" s="196"/>
      <c r="BJ32" s="10" t="str" cm="1">
        <f t="array" ref="BJ32">composicaoValor(BB32:BF32,BI32,BG32)</f>
        <v/>
      </c>
      <c r="BK32" s="107"/>
      <c r="BL32" s="101"/>
      <c r="BM32" s="101"/>
      <c r="BN32" s="101"/>
      <c r="BO32" s="101"/>
      <c r="BP32" s="459" t="str" cm="1">
        <f t="array" ref="BP32">somaComEspacosVazios(BK32:BO32)</f>
        <v/>
      </c>
      <c r="BQ32" s="459" t="str" cm="1">
        <f t="array" ref="BQ32">mediaComposicaoGramatica(BA32,AU32,BP32,BJ32,0.2,0.8)</f>
        <v/>
      </c>
    </row>
    <row r="33" spans="1:69" x14ac:dyDescent="0.25">
      <c r="A33" s="91" t="str">
        <f>IF('Avaliação Períodos'!A34=0,"",'Avaliação Períodos'!A34)</f>
        <v/>
      </c>
      <c r="B33" s="412" t="str">
        <f>IF('Avaliação Períodos'!B34=0,"",'Avaliação Períodos'!B34)</f>
        <v/>
      </c>
      <c r="C33" s="413"/>
      <c r="D33" s="413"/>
      <c r="E33" s="413"/>
      <c r="F33" s="413"/>
      <c r="G33" s="413"/>
      <c r="H33" s="462"/>
      <c r="I33" s="104"/>
      <c r="J33" s="104"/>
      <c r="K33" s="104"/>
      <c r="L33" s="105"/>
      <c r="M33" s="123"/>
      <c r="N33" s="202" t="str">
        <f t="shared" si="0"/>
        <v/>
      </c>
      <c r="O33" s="197"/>
      <c r="P33" s="10" t="str" cm="1">
        <f t="array" ref="P33">composicaoValor(H33:L33,O33,M33)</f>
        <v/>
      </c>
      <c r="Q33" s="103"/>
      <c r="R33" s="104"/>
      <c r="S33" s="104"/>
      <c r="T33" s="104"/>
      <c r="U33" s="104"/>
      <c r="V33" s="10" t="str" cm="1">
        <f t="array" ref="V33">somaComEspacosVazios(Q33:U33)</f>
        <v/>
      </c>
      <c r="W33" s="103"/>
      <c r="X33" s="104"/>
      <c r="Y33" s="104"/>
      <c r="Z33" s="104"/>
      <c r="AA33" s="105"/>
      <c r="AB33" s="123"/>
      <c r="AC33" s="202" t="str">
        <f t="shared" si="1"/>
        <v/>
      </c>
      <c r="AD33" s="197"/>
      <c r="AE33" s="10" t="str" cm="1">
        <f t="array" ref="AE33">composicaoValor(W33:AA33,AD33,AB33)</f>
        <v/>
      </c>
      <c r="AF33" s="103"/>
      <c r="AG33" s="104"/>
      <c r="AH33" s="104"/>
      <c r="AI33" s="104"/>
      <c r="AJ33" s="104"/>
      <c r="AK33" s="459" t="str" cm="1">
        <f t="array" ref="AK33">somaComEspacosVazios(AF33:AJ33)</f>
        <v/>
      </c>
      <c r="AL33" s="459" t="str" cm="1">
        <f t="array" ref="AL33">mediaComposicaoGramatica(V33,P33,AK33,AE33,0.2,0.8)</f>
        <v/>
      </c>
      <c r="AM33" s="442"/>
      <c r="AN33" s="104"/>
      <c r="AO33" s="104"/>
      <c r="AP33" s="104"/>
      <c r="AQ33" s="104"/>
      <c r="AR33" s="104"/>
      <c r="AS33" s="202" t="str">
        <f>IF(COUNT(AM33:AR33)=0,"",IF(SUM(AM33:AQ33) - ABS(AR33)&lt;0,"0",SUM(AM33:AQ33) - ABS(AR33)))</f>
        <v/>
      </c>
      <c r="AT33" s="197"/>
      <c r="AU33" s="10" t="str" cm="1">
        <f t="array" ref="AU33">composicaoValor(AM33:AQ33,AT33,AR33)</f>
        <v/>
      </c>
      <c r="AV33" s="103"/>
      <c r="AW33" s="104"/>
      <c r="AX33" s="104"/>
      <c r="AY33" s="104"/>
      <c r="AZ33" s="104"/>
      <c r="BA33" s="10" t="str" cm="1">
        <f t="array" ref="BA33">somaComEspacosVazios(AV33:AZ33)</f>
        <v/>
      </c>
      <c r="BB33" s="103"/>
      <c r="BC33" s="104"/>
      <c r="BD33" s="104"/>
      <c r="BE33" s="104"/>
      <c r="BF33" s="104"/>
      <c r="BG33" s="104"/>
      <c r="BH33" s="202" t="str">
        <f>IF(COUNT(BB33:BG33)=0,"",IF(SUM(BB33:BF33) - ABS(BG33)&lt;0,"0",SUM(BB33:BF33) - ABS(BG33)))</f>
        <v/>
      </c>
      <c r="BI33" s="197"/>
      <c r="BJ33" s="10" t="str" cm="1">
        <f t="array" ref="BJ33">composicaoValor(BB33:BF33,BI33,BG33)</f>
        <v/>
      </c>
      <c r="BK33" s="103"/>
      <c r="BL33" s="104"/>
      <c r="BM33" s="104"/>
      <c r="BN33" s="104"/>
      <c r="BO33" s="104"/>
      <c r="BP33" s="459" t="str" cm="1">
        <f t="array" ref="BP33">somaComEspacosVazios(BK33:BO33)</f>
        <v/>
      </c>
      <c r="BQ33" s="459" t="str" cm="1">
        <f t="array" ref="BQ33">mediaComposicaoGramatica(BA33,AU33,BP33,BJ33,0.2,0.8)</f>
        <v/>
      </c>
    </row>
    <row r="34" spans="1:69" x14ac:dyDescent="0.25">
      <c r="A34" s="90" t="str">
        <f>IF('Avaliação Períodos'!A35=0,"",'Avaliação Períodos'!A35)</f>
        <v/>
      </c>
      <c r="B34" s="420" t="str">
        <f>IF('Avaliação Períodos'!B35=0,"",'Avaliação Períodos'!B35)</f>
        <v/>
      </c>
      <c r="C34" s="421"/>
      <c r="D34" s="421"/>
      <c r="E34" s="421"/>
      <c r="F34" s="421"/>
      <c r="G34" s="421"/>
      <c r="H34" s="463"/>
      <c r="I34" s="101"/>
      <c r="J34" s="101"/>
      <c r="K34" s="101"/>
      <c r="L34" s="102"/>
      <c r="M34" s="124"/>
      <c r="N34" s="201" t="str">
        <f t="shared" si="0"/>
        <v/>
      </c>
      <c r="O34" s="196"/>
      <c r="P34" s="10" t="str" cm="1">
        <f t="array" ref="P34">composicaoValor(H34:L34,O34,M34)</f>
        <v/>
      </c>
      <c r="Q34" s="107"/>
      <c r="R34" s="101"/>
      <c r="S34" s="101"/>
      <c r="T34" s="101"/>
      <c r="U34" s="101"/>
      <c r="V34" s="10" t="str" cm="1">
        <f t="array" ref="V34">somaComEspacosVazios(Q34:U34)</f>
        <v/>
      </c>
      <c r="W34" s="107"/>
      <c r="X34" s="101"/>
      <c r="Y34" s="101"/>
      <c r="Z34" s="101"/>
      <c r="AA34" s="102"/>
      <c r="AB34" s="124"/>
      <c r="AC34" s="201" t="str">
        <f t="shared" si="1"/>
        <v/>
      </c>
      <c r="AD34" s="196"/>
      <c r="AE34" s="10" t="str" cm="1">
        <f t="array" ref="AE34">composicaoValor(W34:AA34,AD34,AB34)</f>
        <v/>
      </c>
      <c r="AF34" s="107"/>
      <c r="AG34" s="101"/>
      <c r="AH34" s="101"/>
      <c r="AI34" s="101"/>
      <c r="AJ34" s="101"/>
      <c r="AK34" s="459" t="str" cm="1">
        <f t="array" ref="AK34">somaComEspacosVazios(AF34:AJ34)</f>
        <v/>
      </c>
      <c r="AL34" s="459" t="str" cm="1">
        <f t="array" ref="AL34">mediaComposicaoGramatica(V34,P34,AK34,AE34,0.2,0.8)</f>
        <v/>
      </c>
      <c r="AM34" s="441"/>
      <c r="AN34" s="101"/>
      <c r="AO34" s="101"/>
      <c r="AP34" s="101"/>
      <c r="AQ34" s="101"/>
      <c r="AR34" s="101"/>
      <c r="AS34" s="201" t="str">
        <f>IF(COUNT(AM34:AR34)=0,"",IF(SUM(AM34:AQ34) - ABS(AR34)&lt;0,"0",SUM(AM34:AQ34) - ABS(AR34)))</f>
        <v/>
      </c>
      <c r="AT34" s="196"/>
      <c r="AU34" s="10" t="str" cm="1">
        <f t="array" ref="AU34">composicaoValor(AM34:AQ34,AT34,AR34)</f>
        <v/>
      </c>
      <c r="AV34" s="107"/>
      <c r="AW34" s="101"/>
      <c r="AX34" s="101"/>
      <c r="AY34" s="101"/>
      <c r="AZ34" s="101"/>
      <c r="BA34" s="10" t="str" cm="1">
        <f t="array" ref="BA34">somaComEspacosVazios(AV34:AZ34)</f>
        <v/>
      </c>
      <c r="BB34" s="107"/>
      <c r="BC34" s="101"/>
      <c r="BD34" s="101"/>
      <c r="BE34" s="101"/>
      <c r="BF34" s="101"/>
      <c r="BG34" s="101"/>
      <c r="BH34" s="201" t="str">
        <f>IF(COUNT(BB34:BG34)=0,"",IF(SUM(BB34:BF34) - ABS(BG34)&lt;0,"0",SUM(BB34:BF34) - ABS(BG34)))</f>
        <v/>
      </c>
      <c r="BI34" s="196"/>
      <c r="BJ34" s="10" t="str" cm="1">
        <f t="array" ref="BJ34">composicaoValor(BB34:BF34,BI34,BG34)</f>
        <v/>
      </c>
      <c r="BK34" s="107"/>
      <c r="BL34" s="101"/>
      <c r="BM34" s="101"/>
      <c r="BN34" s="101"/>
      <c r="BO34" s="101"/>
      <c r="BP34" s="459" t="str" cm="1">
        <f t="array" ref="BP34">somaComEspacosVazios(BK34:BO34)</f>
        <v/>
      </c>
      <c r="BQ34" s="459" t="str" cm="1">
        <f t="array" ref="BQ34">mediaComposicaoGramatica(BA34,AU34,BP34,BJ34,0.2,0.8)</f>
        <v/>
      </c>
    </row>
    <row r="35" spans="1:69" x14ac:dyDescent="0.25">
      <c r="A35" s="91" t="str">
        <f>IF('Avaliação Períodos'!A36=0,"",'Avaliação Períodos'!A36)</f>
        <v/>
      </c>
      <c r="B35" s="412" t="str">
        <f>IF('Avaliação Períodos'!B36=0,"",'Avaliação Períodos'!B36)</f>
        <v/>
      </c>
      <c r="C35" s="413"/>
      <c r="D35" s="413"/>
      <c r="E35" s="413"/>
      <c r="F35" s="413"/>
      <c r="G35" s="413"/>
      <c r="H35" s="462"/>
      <c r="I35" s="104"/>
      <c r="J35" s="104"/>
      <c r="K35" s="104"/>
      <c r="L35" s="105"/>
      <c r="M35" s="123"/>
      <c r="N35" s="202" t="str">
        <f t="shared" si="0"/>
        <v/>
      </c>
      <c r="O35" s="197"/>
      <c r="P35" s="10" t="str" cm="1">
        <f t="array" ref="P35">composicaoValor(H35:L35,O35,M35)</f>
        <v/>
      </c>
      <c r="Q35" s="103"/>
      <c r="R35" s="104"/>
      <c r="S35" s="104"/>
      <c r="T35" s="104"/>
      <c r="U35" s="104"/>
      <c r="V35" s="10" t="str" cm="1">
        <f t="array" ref="V35">somaComEspacosVazios(Q35:U35)</f>
        <v/>
      </c>
      <c r="W35" s="103"/>
      <c r="X35" s="104"/>
      <c r="Y35" s="104"/>
      <c r="Z35" s="104"/>
      <c r="AA35" s="105"/>
      <c r="AB35" s="123"/>
      <c r="AC35" s="202" t="str">
        <f t="shared" si="1"/>
        <v/>
      </c>
      <c r="AD35" s="197"/>
      <c r="AE35" s="10" t="str" cm="1">
        <f t="array" ref="AE35">composicaoValor(W35:AA35,AD35,AB35)</f>
        <v/>
      </c>
      <c r="AF35" s="103"/>
      <c r="AG35" s="104"/>
      <c r="AH35" s="104"/>
      <c r="AI35" s="104"/>
      <c r="AJ35" s="104"/>
      <c r="AK35" s="459" t="str" cm="1">
        <f t="array" ref="AK35">somaComEspacosVazios(AF35:AJ35)</f>
        <v/>
      </c>
      <c r="AL35" s="459" t="str" cm="1">
        <f t="array" ref="AL35">mediaComposicaoGramatica(V35,P35,AK35,AE35,0.2,0.8)</f>
        <v/>
      </c>
      <c r="AM35" s="442"/>
      <c r="AN35" s="104"/>
      <c r="AO35" s="104"/>
      <c r="AP35" s="104"/>
      <c r="AQ35" s="104"/>
      <c r="AR35" s="104"/>
      <c r="AS35" s="202" t="str">
        <f>IF(COUNT(AM35:AR35)=0,"",IF(SUM(AM35:AQ35) - ABS(AR35)&lt;0,"0",SUM(AM35:AQ35) - ABS(AR35)))</f>
        <v/>
      </c>
      <c r="AT35" s="197"/>
      <c r="AU35" s="10" t="str" cm="1">
        <f t="array" ref="AU35">composicaoValor(AM35:AQ35,AT35,AR35)</f>
        <v/>
      </c>
      <c r="AV35" s="103"/>
      <c r="AW35" s="104"/>
      <c r="AX35" s="104"/>
      <c r="AY35" s="104"/>
      <c r="AZ35" s="104"/>
      <c r="BA35" s="10" t="str" cm="1">
        <f t="array" ref="BA35">somaComEspacosVazios(AV35:AZ35)</f>
        <v/>
      </c>
      <c r="BB35" s="103"/>
      <c r="BC35" s="104"/>
      <c r="BD35" s="104"/>
      <c r="BE35" s="104"/>
      <c r="BF35" s="104"/>
      <c r="BG35" s="104"/>
      <c r="BH35" s="202" t="str">
        <f>IF(COUNT(BB35:BG35)=0,"",IF(SUM(BB35:BF35) - ABS(BG35)&lt;0,"0",SUM(BB35:BF35) - ABS(BG35)))</f>
        <v/>
      </c>
      <c r="BI35" s="197"/>
      <c r="BJ35" s="10" t="str" cm="1">
        <f t="array" ref="BJ35">composicaoValor(BB35:BF35,BI35,BG35)</f>
        <v/>
      </c>
      <c r="BK35" s="103"/>
      <c r="BL35" s="104"/>
      <c r="BM35" s="104"/>
      <c r="BN35" s="104"/>
      <c r="BO35" s="104"/>
      <c r="BP35" s="459" t="str" cm="1">
        <f t="array" ref="BP35">somaComEspacosVazios(BK35:BO35)</f>
        <v/>
      </c>
      <c r="BQ35" s="459" t="str" cm="1">
        <f t="array" ref="BQ35">mediaComposicaoGramatica(BA35,AU35,BP35,BJ35,0.2,0.8)</f>
        <v/>
      </c>
    </row>
    <row r="36" spans="1:69" x14ac:dyDescent="0.25">
      <c r="A36" s="92" t="str">
        <f>IF('Avaliação Períodos'!A37=0,"",'Avaliação Períodos'!A37)</f>
        <v/>
      </c>
      <c r="B36" s="424" t="str">
        <f>IF('Avaliação Períodos'!B37=0,"",'Avaliação Períodos'!B37)</f>
        <v/>
      </c>
      <c r="C36" s="425"/>
      <c r="D36" s="425"/>
      <c r="E36" s="425"/>
      <c r="F36" s="425"/>
      <c r="G36" s="425"/>
      <c r="H36" s="465"/>
      <c r="I36" s="112"/>
      <c r="J36" s="112"/>
      <c r="K36" s="112"/>
      <c r="L36" s="112"/>
      <c r="M36" s="195"/>
      <c r="N36" s="204" t="str">
        <f t="shared" si="0"/>
        <v/>
      </c>
      <c r="O36" s="191"/>
      <c r="P36" s="10" t="str" cm="1">
        <f t="array" ref="P36">composicaoValor(H36:L36,O36,M36)</f>
        <v/>
      </c>
      <c r="Q36" s="111"/>
      <c r="R36" s="112"/>
      <c r="S36" s="112"/>
      <c r="T36" s="112"/>
      <c r="U36" s="112"/>
      <c r="V36" s="10" t="str" cm="1">
        <f t="array" ref="V36">somaComEspacosVazios(Q36:U36)</f>
        <v/>
      </c>
      <c r="W36" s="111"/>
      <c r="X36" s="112"/>
      <c r="Y36" s="112"/>
      <c r="Z36" s="112"/>
      <c r="AA36" s="112"/>
      <c r="AB36" s="195"/>
      <c r="AC36" s="204" t="str">
        <f t="shared" si="1"/>
        <v/>
      </c>
      <c r="AD36" s="191"/>
      <c r="AE36" s="10" t="str" cm="1">
        <f t="array" ref="AE36">composicaoValor(W36:AA36,AD36,AB36)</f>
        <v/>
      </c>
      <c r="AF36" s="111"/>
      <c r="AG36" s="112"/>
      <c r="AH36" s="112"/>
      <c r="AI36" s="112"/>
      <c r="AJ36" s="112"/>
      <c r="AK36" s="459" t="str" cm="1">
        <f t="array" ref="AK36">somaComEspacosVazios(AF36:AJ36)</f>
        <v/>
      </c>
      <c r="AL36" s="459" t="str" cm="1">
        <f t="array" ref="AL36">mediaComposicaoGramatica(V36,P36,AK36,AE36,0.2,0.8)</f>
        <v/>
      </c>
      <c r="AM36" s="444"/>
      <c r="AN36" s="112"/>
      <c r="AO36" s="112"/>
      <c r="AP36" s="112"/>
      <c r="AQ36" s="112"/>
      <c r="AR36" s="112"/>
      <c r="AS36" s="204" t="str">
        <f>IF(COUNT(AM36:AR36)=0,"",IF(SUM(AM36:AQ36) - ABS(AR36)&lt;0,"0",SUM(AM36:AQ36) - ABS(AR36)))</f>
        <v/>
      </c>
      <c r="AT36" s="191"/>
      <c r="AU36" s="10" t="str" cm="1">
        <f t="array" ref="AU36">composicaoValor(AM36:AQ36,AT36,AR36)</f>
        <v/>
      </c>
      <c r="AV36" s="111"/>
      <c r="AW36" s="112"/>
      <c r="AX36" s="112"/>
      <c r="AY36" s="112"/>
      <c r="AZ36" s="112"/>
      <c r="BA36" s="10" t="str" cm="1">
        <f t="array" ref="BA36">somaComEspacosVazios(AV36:AZ36)</f>
        <v/>
      </c>
      <c r="BB36" s="111"/>
      <c r="BC36" s="112"/>
      <c r="BD36" s="112"/>
      <c r="BE36" s="112"/>
      <c r="BF36" s="112"/>
      <c r="BG36" s="112"/>
      <c r="BH36" s="204" t="str">
        <f>IF(COUNT(BB36:BG36)=0,"",IF(SUM(BB36:BF36) - ABS(BG36)&lt;0,"0",SUM(BB36:BF36) - ABS(BG36)))</f>
        <v/>
      </c>
      <c r="BI36" s="191"/>
      <c r="BJ36" s="10" t="str" cm="1">
        <f t="array" ref="BJ36">composicaoValor(BB36:BF36,BI36,BG36)</f>
        <v/>
      </c>
      <c r="BK36" s="111"/>
      <c r="BL36" s="112"/>
      <c r="BM36" s="112"/>
      <c r="BN36" s="112"/>
      <c r="BO36" s="112"/>
      <c r="BP36" s="459" t="str" cm="1">
        <f t="array" ref="BP36">somaComEspacosVazios(BK36:BO36)</f>
        <v/>
      </c>
      <c r="BQ36" s="459" t="str" cm="1">
        <f t="array" ref="BQ36">mediaComposicaoGramatica(BA36,AU36,BP36,BJ36,0.2,0.8)</f>
        <v/>
      </c>
    </row>
    <row r="37" spans="1:69" ht="15.75" thickBot="1" x14ac:dyDescent="0.3">
      <c r="A37" s="93" t="str">
        <f>IF('Avaliação Períodos'!A38=0,"",'Avaliação Períodos'!A38)</f>
        <v/>
      </c>
      <c r="B37" s="386" t="str">
        <f>IF('Avaliação Períodos'!B38=0,"",'Avaliação Períodos'!B38)</f>
        <v xml:space="preserve"> </v>
      </c>
      <c r="C37" s="387"/>
      <c r="D37" s="387"/>
      <c r="E37" s="387"/>
      <c r="F37" s="387"/>
      <c r="G37" s="387"/>
      <c r="H37" s="466"/>
      <c r="I37" s="467"/>
      <c r="J37" s="467"/>
      <c r="K37" s="467"/>
      <c r="L37" s="467"/>
      <c r="M37" s="468"/>
      <c r="N37" s="469" t="str">
        <f t="shared" si="0"/>
        <v/>
      </c>
      <c r="O37" s="470"/>
      <c r="P37" s="471" t="str" cm="1">
        <f t="array" ref="P37">composicaoValor(H37:L37,O37,M37)</f>
        <v/>
      </c>
      <c r="Q37" s="472"/>
      <c r="R37" s="467"/>
      <c r="S37" s="467"/>
      <c r="T37" s="467"/>
      <c r="U37" s="467"/>
      <c r="V37" s="471" t="str" cm="1">
        <f t="array" ref="V37">somaComEspacosVazios(Q37:U37)</f>
        <v/>
      </c>
      <c r="W37" s="472"/>
      <c r="X37" s="467"/>
      <c r="Y37" s="467"/>
      <c r="Z37" s="467"/>
      <c r="AA37" s="467"/>
      <c r="AB37" s="468"/>
      <c r="AC37" s="469" t="str">
        <f t="shared" si="1"/>
        <v/>
      </c>
      <c r="AD37" s="473"/>
      <c r="AE37" s="471" t="str" cm="1">
        <f t="array" ref="AE37">composicaoValor(W37:AA37,AD37,AB37)</f>
        <v/>
      </c>
      <c r="AF37" s="472"/>
      <c r="AG37" s="467"/>
      <c r="AH37" s="467"/>
      <c r="AI37" s="467"/>
      <c r="AJ37" s="467"/>
      <c r="AK37" s="474" t="str" cm="1">
        <f t="array" ref="AK37">somaComEspacosVazios(AF37:AJ37)</f>
        <v/>
      </c>
      <c r="AL37" s="474" t="str" cm="1">
        <f t="array" ref="AL37">mediaComposicaoGramatica(V37,P37,AK37,AE37,0.2,0.8)</f>
        <v/>
      </c>
      <c r="AM37" s="478"/>
      <c r="AN37" s="467"/>
      <c r="AO37" s="467"/>
      <c r="AP37" s="467"/>
      <c r="AQ37" s="467"/>
      <c r="AR37" s="467"/>
      <c r="AS37" s="469" t="str">
        <f>IF(COUNT(AM37:AR37)=0,"",IF(SUM(AM37:AQ37) - ABS(AR37)&lt;0,"0",SUM(AM37:AQ37) - ABS(AR37)))</f>
        <v/>
      </c>
      <c r="AT37" s="475"/>
      <c r="AU37" s="471" t="str" cm="1">
        <f t="array" ref="AU37">composicaoValor(AM37:AQ37,AT37,AR37)</f>
        <v/>
      </c>
      <c r="AV37" s="472"/>
      <c r="AW37" s="467"/>
      <c r="AX37" s="467"/>
      <c r="AY37" s="467"/>
      <c r="AZ37" s="467"/>
      <c r="BA37" s="471" t="str" cm="1">
        <f t="array" ref="BA37">somaComEspacosVazios(AV37:AZ37)</f>
        <v/>
      </c>
      <c r="BB37" s="472"/>
      <c r="BC37" s="467"/>
      <c r="BD37" s="467"/>
      <c r="BE37" s="467"/>
      <c r="BF37" s="467"/>
      <c r="BG37" s="467"/>
      <c r="BH37" s="469" t="str">
        <f>IF(COUNT(BB37:BG37)=0,"",IF(SUM(BB37:BF37) - ABS(BG37)&lt;0,"0",SUM(BB37:BF37) - ABS(BG37)))</f>
        <v/>
      </c>
      <c r="BI37" s="470"/>
      <c r="BJ37" s="471" t="str" cm="1">
        <f t="array" ref="BJ37">composicaoValor(BB37:BF37,BI37,BG37)</f>
        <v/>
      </c>
      <c r="BK37" s="472"/>
      <c r="BL37" s="467"/>
      <c r="BM37" s="467"/>
      <c r="BN37" s="467"/>
      <c r="BO37" s="467"/>
      <c r="BP37" s="459" t="str" cm="1">
        <f t="array" ref="BP37">somaComEspacosVazios(BK37:BO37)</f>
        <v/>
      </c>
      <c r="BQ37" s="459" t="str" cm="1">
        <f t="array" ref="BQ37">mediaComposicaoGramatica(BA37,AU37,BP37,BJ37,0.2,0.8)</f>
        <v/>
      </c>
    </row>
    <row r="38" spans="1:69" x14ac:dyDescent="0.25">
      <c r="A38" s="2"/>
      <c r="B38" s="2"/>
      <c r="C38" s="2"/>
      <c r="D38" s="2"/>
      <c r="E38" s="2"/>
      <c r="F38" s="2"/>
      <c r="G38" s="2"/>
      <c r="AE38" s="446" t="s">
        <v>97</v>
      </c>
      <c r="AF38" s="447"/>
      <c r="AG38" s="447"/>
      <c r="AH38" s="447"/>
      <c r="AI38" s="447"/>
      <c r="AJ38" s="447"/>
      <c r="AK38" s="448"/>
      <c r="AL38" s="117">
        <f>IF(COUNT(AL8:AL37)=0,"",AVERAGE(AL8:AL37))</f>
        <v>31</v>
      </c>
      <c r="BJ38" s="446" t="s">
        <v>98</v>
      </c>
      <c r="BK38" s="447"/>
      <c r="BL38" s="447"/>
      <c r="BM38" s="447"/>
      <c r="BN38" s="447"/>
      <c r="BO38" s="447"/>
      <c r="BP38" s="448"/>
      <c r="BQ38" s="117" t="str">
        <f>IF(COUNT(BQ8:BQ37)=0,"",AVERAGE(BQ8:BQ37))</f>
        <v/>
      </c>
    </row>
    <row r="39" spans="1:69" x14ac:dyDescent="0.25">
      <c r="A39" s="2"/>
      <c r="B39" s="2"/>
      <c r="C39" s="2"/>
      <c r="D39" s="2"/>
      <c r="E39" s="2"/>
      <c r="F39" s="2"/>
      <c r="G39" s="2"/>
      <c r="AE39" s="380" t="s">
        <v>36</v>
      </c>
      <c r="AF39" s="381"/>
      <c r="AG39" s="381"/>
      <c r="AH39" s="381"/>
      <c r="AI39" s="381"/>
      <c r="AJ39" s="381"/>
      <c r="AK39" s="382"/>
      <c r="AL39" s="118">
        <f>COUNTIF(P8:P37,"&lt;50")</f>
        <v>1</v>
      </c>
      <c r="BJ39" s="380" t="s">
        <v>36</v>
      </c>
      <c r="BK39" s="381"/>
      <c r="BL39" s="381"/>
      <c r="BM39" s="381"/>
      <c r="BN39" s="381"/>
      <c r="BO39" s="381"/>
      <c r="BP39" s="382"/>
      <c r="BQ39" s="118">
        <f>COUNTIF(AU8:AU37,"&lt;50")</f>
        <v>0</v>
      </c>
    </row>
    <row r="40" spans="1:69" x14ac:dyDescent="0.25">
      <c r="A40" s="2"/>
      <c r="B40" s="2"/>
      <c r="C40" s="2"/>
      <c r="D40" s="2"/>
      <c r="E40" s="2"/>
      <c r="F40" s="2"/>
      <c r="G40" s="2"/>
      <c r="AE40" s="380" t="s">
        <v>37</v>
      </c>
      <c r="AF40" s="381"/>
      <c r="AG40" s="381"/>
      <c r="AH40" s="381"/>
      <c r="AI40" s="381"/>
      <c r="AJ40" s="381"/>
      <c r="AK40" s="382"/>
      <c r="AL40" s="119">
        <f>IF(COUNT(P8:P37)=0,"",$AL39/(COUNT(P8:P37))*100)</f>
        <v>100</v>
      </c>
      <c r="BJ40" s="380" t="s">
        <v>37</v>
      </c>
      <c r="BK40" s="381"/>
      <c r="BL40" s="381"/>
      <c r="BM40" s="381"/>
      <c r="BN40" s="381"/>
      <c r="BO40" s="381"/>
      <c r="BP40" s="382"/>
      <c r="BQ40" s="119" t="str">
        <f>IF(COUNT(AU8:AU37)=0,"",$BQ39/(COUNT(AU8:AU37))*100)</f>
        <v/>
      </c>
    </row>
    <row r="45" spans="1:69" x14ac:dyDescent="0.25">
      <c r="T45" s="418" t="s">
        <v>21</v>
      </c>
      <c r="U45" s="418"/>
      <c r="V45" s="50"/>
      <c r="W45" s="9" t="s">
        <v>22</v>
      </c>
    </row>
    <row r="46" spans="1:69" x14ac:dyDescent="0.25">
      <c r="T46" s="11" t="s">
        <v>23</v>
      </c>
      <c r="U46" s="12" t="s">
        <v>24</v>
      </c>
      <c r="V46" s="12"/>
      <c r="W46" s="13">
        <v>20</v>
      </c>
    </row>
    <row r="47" spans="1:69" x14ac:dyDescent="0.25">
      <c r="T47" s="11" t="s">
        <v>25</v>
      </c>
      <c r="U47" s="12" t="s">
        <v>26</v>
      </c>
      <c r="V47" s="12"/>
      <c r="W47" s="13">
        <v>20</v>
      </c>
    </row>
    <row r="48" spans="1:69" x14ac:dyDescent="0.25">
      <c r="T48" s="11" t="s">
        <v>27</v>
      </c>
      <c r="U48" s="12" t="s">
        <v>28</v>
      </c>
      <c r="V48" s="12"/>
      <c r="W48" s="13">
        <v>20</v>
      </c>
    </row>
    <row r="49" spans="14:23" x14ac:dyDescent="0.25">
      <c r="T49" s="11" t="s">
        <v>29</v>
      </c>
      <c r="U49" s="12" t="s">
        <v>30</v>
      </c>
      <c r="V49" s="12"/>
      <c r="W49" s="13">
        <v>20</v>
      </c>
    </row>
    <row r="50" spans="14:23" x14ac:dyDescent="0.25">
      <c r="T50" s="11" t="s">
        <v>31</v>
      </c>
      <c r="U50" s="12" t="s">
        <v>32</v>
      </c>
      <c r="V50" s="12"/>
      <c r="W50" s="13">
        <v>20</v>
      </c>
    </row>
    <row r="51" spans="14:23" x14ac:dyDescent="0.25">
      <c r="T51" s="11"/>
      <c r="U51" s="12"/>
      <c r="V51" s="12"/>
      <c r="W51" s="13"/>
    </row>
    <row r="52" spans="14:23" x14ac:dyDescent="0.25">
      <c r="T52" s="11"/>
      <c r="U52" s="12"/>
      <c r="V52" s="12"/>
      <c r="W52" s="14" t="s">
        <v>33</v>
      </c>
    </row>
    <row r="53" spans="14:23" x14ac:dyDescent="0.25">
      <c r="T53" s="11"/>
      <c r="U53" s="15"/>
      <c r="V53" s="15"/>
      <c r="W53" s="13"/>
    </row>
    <row r="54" spans="14:23" x14ac:dyDescent="0.25">
      <c r="N54" s="187"/>
      <c r="O54" s="184"/>
      <c r="T54" s="8"/>
      <c r="U54" s="16" t="s">
        <v>19</v>
      </c>
      <c r="V54" s="16"/>
      <c r="W54" s="50">
        <f>SUM(W46:W51)</f>
        <v>100</v>
      </c>
    </row>
  </sheetData>
  <sheetProtection algorithmName="SHA-512" hashValue="0wxsUAGUCymNL2nZvQXxhOGmIWM/dmmFyQbqWlrJEkLc2CfnbRQndGOv70loAwWFkMGcpWL+43sRFKNdyIWCbA==" saltValue="RYSYVIxxQDjaIHhmfTvZ7g==" spinCount="100000" sheet="1" objects="1" scenarios="1"/>
  <dataConsolidate function="max" link="1"/>
  <mergeCells count="54">
    <mergeCell ref="BJ5:BP5"/>
    <mergeCell ref="AM4:BQ4"/>
    <mergeCell ref="BQ5:BQ6"/>
    <mergeCell ref="AM5:AT5"/>
    <mergeCell ref="AE38:AK38"/>
    <mergeCell ref="AE39:AK39"/>
    <mergeCell ref="AE40:AK40"/>
    <mergeCell ref="H4:AL4"/>
    <mergeCell ref="AL5:AL6"/>
    <mergeCell ref="BA5:BI5"/>
    <mergeCell ref="AU5:AZ5"/>
    <mergeCell ref="Q5:V5"/>
    <mergeCell ref="H5:P5"/>
    <mergeCell ref="W5:AE5"/>
    <mergeCell ref="H3:AZ3"/>
    <mergeCell ref="AF5:AK5"/>
    <mergeCell ref="B29:G29"/>
    <mergeCell ref="BJ40:BP40"/>
    <mergeCell ref="C6:G6"/>
    <mergeCell ref="B36:G36"/>
    <mergeCell ref="B37:G37"/>
    <mergeCell ref="BJ38:BP38"/>
    <mergeCell ref="BJ39:BP39"/>
    <mergeCell ref="B30:G30"/>
    <mergeCell ref="B31:G31"/>
    <mergeCell ref="B32:G32"/>
    <mergeCell ref="B33:G33"/>
    <mergeCell ref="B34:G34"/>
    <mergeCell ref="B35:G35"/>
    <mergeCell ref="B25:G25"/>
    <mergeCell ref="B26:G26"/>
    <mergeCell ref="B27:G27"/>
    <mergeCell ref="B28:G28"/>
    <mergeCell ref="B15:G15"/>
    <mergeCell ref="B16:G16"/>
    <mergeCell ref="B17:G17"/>
    <mergeCell ref="B24:G24"/>
    <mergeCell ref="B18:G18"/>
    <mergeCell ref="B19:G19"/>
    <mergeCell ref="B20:G20"/>
    <mergeCell ref="B21:G21"/>
    <mergeCell ref="B22:G22"/>
    <mergeCell ref="T45:U45"/>
    <mergeCell ref="A3:G3"/>
    <mergeCell ref="D4:G5"/>
    <mergeCell ref="B7:G7"/>
    <mergeCell ref="B8:G8"/>
    <mergeCell ref="B9:G9"/>
    <mergeCell ref="B10:G10"/>
    <mergeCell ref="B11:G11"/>
    <mergeCell ref="B23:G23"/>
    <mergeCell ref="B12:G12"/>
    <mergeCell ref="B13:G13"/>
    <mergeCell ref="B14:G14"/>
  </mergeCells>
  <dataValidations count="3">
    <dataValidation type="decimal" allowBlank="1" showErrorMessage="1" errorTitle="Erro." error="Ultrapassou cotação máxima." sqref="AS8:AT37 AM8:AQ36 I8:O37 BH8:BI37 AV8:AZ36 BB8:BF36 BK8:BO36 Q8:U36 X8:AD37 AF8:AJ36" xr:uid="{00000000-0002-0000-0300-000000000000}">
      <formula1>0</formula1>
      <formula2>I$7</formula2>
    </dataValidation>
    <dataValidation type="decimal" operator="lessThanOrEqual" allowBlank="1" showInputMessage="1" showErrorMessage="1" errorTitle="ERRO!" error="A pergunta não vale tanto!..." sqref="P8:P37 AE8:AE37" xr:uid="{00000000-0002-0000-0300-000001000000}">
      <formula1>P$7</formula1>
    </dataValidation>
    <dataValidation type="whole" allowBlank="1" showInputMessage="1" showErrorMessage="1" sqref="AM37:AQ37 AR8:AR37 H8:H37 BG8:BG37 AV37:AZ37 BB37:BF37 BK37:BO37 Q37:U37 W8:W37 AF37:AJ37" xr:uid="{00000000-0002-0000-0300-000002000000}">
      <formula1>0</formula1>
      <formula2>H$7</formula2>
    </dataValidation>
  </dataValidations>
  <pageMargins left="0.7" right="0.7" top="0.75" bottom="0.75" header="0.3" footer="0.3"/>
  <pageSetup paperSize="9" scale="8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2</vt:i4>
      </vt:variant>
    </vt:vector>
  </HeadingPairs>
  <TitlesOfParts>
    <vt:vector size="6" baseType="lpstr">
      <vt:lpstr>Avaliação Períodos</vt:lpstr>
      <vt:lpstr>Comp. Escrita</vt:lpstr>
      <vt:lpstr>Oralidade</vt:lpstr>
      <vt:lpstr>Prod. Escrita</vt:lpstr>
      <vt:lpstr>'Avaliação Períodos'!Área_de_Impressão</vt:lpstr>
      <vt:lpstr>'Prod. Escrita'!Área_de_Impressão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Rosa</dc:creator>
  <cp:lastModifiedBy>miguelPC</cp:lastModifiedBy>
  <cp:revision/>
  <cp:lastPrinted>2021-12-16T14:14:54Z</cp:lastPrinted>
  <dcterms:created xsi:type="dcterms:W3CDTF">2011-09-16T07:34:53Z</dcterms:created>
  <dcterms:modified xsi:type="dcterms:W3CDTF">2021-12-28T20:48:00Z</dcterms:modified>
</cp:coreProperties>
</file>