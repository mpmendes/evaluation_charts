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fileSharing readOnlyRecommended="1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src\"/>
    </mc:Choice>
  </mc:AlternateContent>
  <xr:revisionPtr revIDLastSave="0" documentId="13_ncr:1_{E50D53DB-FA7C-46FC-B502-3BFE94875188}" xr6:coauthVersionLast="46" xr6:coauthVersionMax="47" xr10:uidLastSave="{00000000-0000-0000-0000-000000000000}"/>
  <workbookProtection workbookAlgorithmName="SHA-512" workbookHashValue="jKTP1fjrlpXMptF2xdJ7NVQzVne6QEsrC2tbhC9URV1/ojsq++seTH1dwhg/FFiwhYPPIqcOA+XCI1Bc5s1k8A==" workbookSaltValue="swKJ3eCklz9BcssuzZSIsw==" workbookSpinCount="100000" lockStructure="1"/>
  <bookViews>
    <workbookView xWindow="-38520" yWindow="-5625" windowWidth="38640" windowHeight="21240" xr2:uid="{00000000-000D-0000-FFFF-FFFF00000000}"/>
  </bookViews>
  <sheets>
    <sheet name="Avaliação Períodos" sheetId="2" r:id="rId1"/>
    <sheet name="Comp. Escrita" sheetId="8" r:id="rId2"/>
    <sheet name="Oralidade" sheetId="4" r:id="rId3"/>
    <sheet name="Prod. Escrita" sheetId="7" r:id="rId4"/>
  </sheets>
  <functionGroups builtInGroupCount="19"/>
  <definedNames>
    <definedName name="_xlnm.Print_Area" localSheetId="0">'Avaliação Períodos'!$A$4:$AG$48</definedName>
    <definedName name="_xlnm.Print_Area" localSheetId="3">'Prod. Escrita'!$A$4:$M$40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0" i="2" l="1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AG40" i="7"/>
  <c r="AG39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8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S10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AG37" i="7" a="1"/>
  <c r="AG9" i="7" a="1"/>
  <c r="AG13" i="7" a="1"/>
  <c r="AG17" i="7" a="1"/>
  <c r="AG21" i="7" a="1"/>
  <c r="AG25" i="7" a="1"/>
  <c r="AG29" i="7" a="1"/>
  <c r="AG33" i="7" a="1"/>
  <c r="AG10" i="7" a="1"/>
  <c r="AG14" i="7" a="1"/>
  <c r="AG18" i="7" a="1"/>
  <c r="AG22" i="7" a="1"/>
  <c r="AG26" i="7" a="1"/>
  <c r="AG30" i="7" a="1"/>
  <c r="AG34" i="7" a="1"/>
  <c r="AG11" i="7" a="1"/>
  <c r="AG15" i="7" a="1"/>
  <c r="AG19" i="7" a="1"/>
  <c r="AG23" i="7" a="1"/>
  <c r="AG27" i="7" a="1"/>
  <c r="AG31" i="7" a="1"/>
  <c r="AG35" i="7" a="1"/>
  <c r="AG12" i="7" a="1"/>
  <c r="AG16" i="7" a="1"/>
  <c r="AG20" i="7" a="1"/>
  <c r="AG24" i="7" a="1"/>
  <c r="AG28" i="7" a="1"/>
  <c r="AG32" i="7" a="1"/>
  <c r="AG36" i="7" a="1"/>
  <c r="AG8" i="7" a="1"/>
  <c r="T13" i="7" a="1"/>
  <c r="T17" i="7" a="1"/>
  <c r="T21" i="7" a="1"/>
  <c r="T25" i="7" a="1"/>
  <c r="T29" i="7" a="1"/>
  <c r="T33" i="7" a="1"/>
  <c r="T37" i="7" a="1"/>
  <c r="T30" i="7" a="1"/>
  <c r="T36" i="7" a="1"/>
  <c r="T14" i="7" a="1"/>
  <c r="T18" i="7" a="1"/>
  <c r="T26" i="7" a="1"/>
  <c r="T32" i="7" a="1"/>
  <c r="T10" i="7" a="1"/>
  <c r="T22" i="7" a="1"/>
  <c r="T34" i="7" a="1"/>
  <c r="T12" i="7" a="1"/>
  <c r="T28" i="7" a="1"/>
  <c r="T15" i="7" a="1"/>
  <c r="T19" i="7" a="1"/>
  <c r="T23" i="7" a="1"/>
  <c r="T27" i="7" a="1"/>
  <c r="T31" i="7" a="1"/>
  <c r="T35" i="7" a="1"/>
  <c r="T16" i="7" a="1"/>
  <c r="T20" i="7" a="1"/>
  <c r="T24" i="7" a="1"/>
  <c r="BA9" i="8" a="1"/>
  <c r="BA13" i="8" a="1"/>
  <c r="BA17" i="8" a="1"/>
  <c r="BA21" i="8" a="1"/>
  <c r="BA25" i="8" a="1"/>
  <c r="BA29" i="8" a="1"/>
  <c r="BA33" i="8" a="1"/>
  <c r="BA37" i="8" a="1"/>
  <c r="BA14" i="8" a="1"/>
  <c r="BA26" i="8" a="1"/>
  <c r="BA34" i="8" a="1"/>
  <c r="BA19" i="8" a="1"/>
  <c r="BA27" i="8" a="1"/>
  <c r="BA12" i="8" a="1"/>
  <c r="BA28" i="8" a="1"/>
  <c r="BA10" i="8" a="1"/>
  <c r="BA18" i="8" a="1"/>
  <c r="BA22" i="8" a="1"/>
  <c r="BA30" i="8" a="1"/>
  <c r="BA15" i="8" a="1"/>
  <c r="BA23" i="8" a="1"/>
  <c r="BA35" i="8" a="1"/>
  <c r="BA20" i="8" a="1"/>
  <c r="BA36" i="8" a="1"/>
  <c r="BA11" i="8" a="1"/>
  <c r="BA31" i="8" a="1"/>
  <c r="BA16" i="8" a="1"/>
  <c r="BA24" i="8" a="1"/>
  <c r="BA32" i="8" a="1"/>
  <c r="AG37" i="7" l="1"/>
  <c r="AG36" i="7"/>
  <c r="AG32" i="7"/>
  <c r="AG28" i="7"/>
  <c r="AG24" i="7"/>
  <c r="AG20" i="7"/>
  <c r="AG16" i="7"/>
  <c r="AG12" i="7"/>
  <c r="AG35" i="7"/>
  <c r="AG31" i="7"/>
  <c r="AG27" i="7"/>
  <c r="AG23" i="7"/>
  <c r="AG19" i="7"/>
  <c r="AG15" i="7"/>
  <c r="AG11" i="7"/>
  <c r="AG34" i="7"/>
  <c r="AG30" i="7"/>
  <c r="AG26" i="7"/>
  <c r="AG22" i="7"/>
  <c r="AG18" i="7"/>
  <c r="AG14" i="7"/>
  <c r="AG10" i="7"/>
  <c r="AG33" i="7"/>
  <c r="AG29" i="7"/>
  <c r="AG25" i="7"/>
  <c r="AG21" i="7"/>
  <c r="AG17" i="7"/>
  <c r="AG13" i="7"/>
  <c r="AG9" i="7"/>
  <c r="AG8" i="7"/>
  <c r="T24" i="7"/>
  <c r="T20" i="7"/>
  <c r="T16" i="7"/>
  <c r="T35" i="7"/>
  <c r="T31" i="7"/>
  <c r="T27" i="7"/>
  <c r="T23" i="7"/>
  <c r="T19" i="7"/>
  <c r="T15" i="7"/>
  <c r="T28" i="7"/>
  <c r="T12" i="7"/>
  <c r="T34" i="7"/>
  <c r="T22" i="7"/>
  <c r="T10" i="7"/>
  <c r="T32" i="7"/>
  <c r="T26" i="7"/>
  <c r="T18" i="7"/>
  <c r="T14" i="7"/>
  <c r="T36" i="7"/>
  <c r="T30" i="7"/>
  <c r="T37" i="7"/>
  <c r="T33" i="7"/>
  <c r="T29" i="7"/>
  <c r="T25" i="7"/>
  <c r="T21" i="7"/>
  <c r="T17" i="7"/>
  <c r="T13" i="7"/>
  <c r="BA32" i="8"/>
  <c r="BA24" i="8"/>
  <c r="BA16" i="8"/>
  <c r="BA31" i="8"/>
  <c r="BA11" i="8"/>
  <c r="BA36" i="8"/>
  <c r="BA20" i="8"/>
  <c r="BA35" i="8"/>
  <c r="BA23" i="8"/>
  <c r="BA15" i="8"/>
  <c r="BA30" i="8"/>
  <c r="BA22" i="8"/>
  <c r="BA18" i="8"/>
  <c r="BA10" i="8"/>
  <c r="BA28" i="8"/>
  <c r="BA12" i="8"/>
  <c r="BA27" i="8"/>
  <c r="BA19" i="8"/>
  <c r="BA34" i="8"/>
  <c r="BA26" i="8"/>
  <c r="BA14" i="8"/>
  <c r="BA37" i="8"/>
  <c r="BA33" i="8"/>
  <c r="BA29" i="8"/>
  <c r="BA25" i="8"/>
  <c r="BA21" i="8"/>
  <c r="BA17" i="8"/>
  <c r="BA13" i="8"/>
  <c r="BA9" i="8"/>
  <c r="AO38" i="8"/>
  <c r="AO40" i="8"/>
  <c r="AO39" i="8"/>
  <c r="AD9" i="8" a="1"/>
  <c r="AD10" i="8" a="1"/>
  <c r="AD14" i="8" a="1"/>
  <c r="AD18" i="8" a="1"/>
  <c r="AD22" i="8" a="1"/>
  <c r="AD26" i="8" a="1"/>
  <c r="AD30" i="8" a="1"/>
  <c r="AD34" i="8" a="1"/>
  <c r="AD20" i="8" a="1"/>
  <c r="AD32" i="8" a="1"/>
  <c r="AD13" i="8" a="1"/>
  <c r="AD21" i="8" a="1"/>
  <c r="AD33" i="8" a="1"/>
  <c r="AD11" i="8" a="1"/>
  <c r="AD15" i="8" a="1"/>
  <c r="AD19" i="8" a="1"/>
  <c r="AD23" i="8" a="1"/>
  <c r="AD27" i="8" a="1"/>
  <c r="AD31" i="8" a="1"/>
  <c r="AD35" i="8" a="1"/>
  <c r="AD16" i="8" a="1"/>
  <c r="AD24" i="8" a="1"/>
  <c r="AD36" i="8" a="1"/>
  <c r="AD17" i="8" a="1"/>
  <c r="AD25" i="8" a="1"/>
  <c r="AD29" i="8" a="1"/>
  <c r="AD37" i="8" a="1"/>
  <c r="AD28" i="8" a="1"/>
  <c r="AD12" i="8" a="1"/>
  <c r="AD12" i="8" l="1"/>
  <c r="AD28" i="8"/>
  <c r="AD37" i="8"/>
  <c r="AD29" i="8"/>
  <c r="AD25" i="8"/>
  <c r="AD17" i="8"/>
  <c r="AD36" i="8"/>
  <c r="AD24" i="8"/>
  <c r="AD16" i="8"/>
  <c r="AD35" i="8"/>
  <c r="AD31" i="8"/>
  <c r="AD27" i="8"/>
  <c r="AD23" i="8"/>
  <c r="AD19" i="8"/>
  <c r="AD15" i="8"/>
  <c r="AD11" i="8"/>
  <c r="AD33" i="8"/>
  <c r="AD21" i="8"/>
  <c r="AD13" i="8"/>
  <c r="AD32" i="8"/>
  <c r="AD20" i="8"/>
  <c r="AD34" i="8"/>
  <c r="AD30" i="8"/>
  <c r="AD26" i="8"/>
  <c r="AD22" i="8"/>
  <c r="AD18" i="8"/>
  <c r="AD14" i="8"/>
  <c r="AD10" i="8"/>
  <c r="AD9" i="8"/>
  <c r="AC9" i="8" l="1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8" i="8"/>
  <c r="AD8" i="8" a="1"/>
  <c r="AD8" i="8" l="1"/>
  <c r="C10" i="2"/>
  <c r="AD39" i="8" l="1"/>
  <c r="AD40" i="8" s="1"/>
  <c r="AD38" i="8"/>
  <c r="BA40" i="8"/>
  <c r="BA39" i="8"/>
  <c r="AO9" i="8"/>
  <c r="AO10" i="8"/>
  <c r="AO11" i="8"/>
  <c r="AO12" i="8"/>
  <c r="AO13" i="8"/>
  <c r="AO14" i="8"/>
  <c r="AO15" i="8"/>
  <c r="AO16" i="8"/>
  <c r="AO17" i="8"/>
  <c r="AO18" i="8"/>
  <c r="AO19" i="8"/>
  <c r="AO20" i="8"/>
  <c r="AO21" i="8"/>
  <c r="AO22" i="8"/>
  <c r="AO23" i="8"/>
  <c r="AO24" i="8"/>
  <c r="AO25" i="8"/>
  <c r="AO26" i="8"/>
  <c r="AO27" i="8"/>
  <c r="AO28" i="8"/>
  <c r="AO29" i="8"/>
  <c r="AO30" i="8"/>
  <c r="AO31" i="8"/>
  <c r="AO32" i="8"/>
  <c r="AO33" i="8"/>
  <c r="AO34" i="8"/>
  <c r="AO35" i="8"/>
  <c r="AO36" i="8"/>
  <c r="AO37" i="8"/>
  <c r="AZ9" i="8"/>
  <c r="AZ10" i="8"/>
  <c r="AZ11" i="8"/>
  <c r="AZ12" i="8"/>
  <c r="AZ13" i="8"/>
  <c r="AZ14" i="8"/>
  <c r="AZ15" i="8"/>
  <c r="AZ16" i="8"/>
  <c r="AZ17" i="8"/>
  <c r="AZ18" i="8"/>
  <c r="AZ19" i="8"/>
  <c r="AZ20" i="8"/>
  <c r="AZ21" i="8"/>
  <c r="AZ22" i="8"/>
  <c r="AZ23" i="8"/>
  <c r="AZ24" i="8"/>
  <c r="AZ25" i="8"/>
  <c r="AZ26" i="8"/>
  <c r="AZ27" i="8"/>
  <c r="AZ28" i="8"/>
  <c r="AZ29" i="8"/>
  <c r="AZ30" i="8"/>
  <c r="AZ31" i="8"/>
  <c r="AZ32" i="8"/>
  <c r="AZ33" i="8"/>
  <c r="AZ34" i="8"/>
  <c r="AZ35" i="8"/>
  <c r="AZ36" i="8"/>
  <c r="AZ37" i="8"/>
  <c r="AO7" i="8"/>
  <c r="AZ8" i="8"/>
  <c r="AZ7" i="8"/>
  <c r="AO8" i="8"/>
  <c r="AG7" i="7"/>
  <c r="T7" i="7"/>
  <c r="S7" i="7"/>
  <c r="Z7" i="7"/>
  <c r="AF7" i="7"/>
  <c r="Y40" i="4"/>
  <c r="Y39" i="4"/>
  <c r="Y38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B22" i="8"/>
  <c r="A23" i="8"/>
  <c r="B23" i="8"/>
  <c r="A24" i="8"/>
  <c r="B24" i="8"/>
  <c r="A25" i="8"/>
  <c r="B25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W8" i="4"/>
  <c r="BA8" i="8" a="1"/>
  <c r="S11" i="7" l="1"/>
  <c r="S8" i="7"/>
  <c r="S9" i="7"/>
  <c r="BA8" i="8"/>
  <c r="O38" i="4"/>
  <c r="C9" i="2"/>
  <c r="D33" i="2"/>
  <c r="D17" i="2"/>
  <c r="D36" i="2"/>
  <c r="D32" i="2"/>
  <c r="D28" i="2"/>
  <c r="D24" i="2"/>
  <c r="D20" i="2"/>
  <c r="D16" i="2"/>
  <c r="D12" i="2"/>
  <c r="D29" i="2"/>
  <c r="D13" i="2"/>
  <c r="D35" i="2"/>
  <c r="D31" i="2"/>
  <c r="D27" i="2"/>
  <c r="D23" i="2"/>
  <c r="D19" i="2"/>
  <c r="D15" i="2"/>
  <c r="D11" i="2"/>
  <c r="D25" i="2"/>
  <c r="D37" i="2"/>
  <c r="D21" i="2"/>
  <c r="D38" i="2"/>
  <c r="D34" i="2"/>
  <c r="D30" i="2"/>
  <c r="D26" i="2"/>
  <c r="D22" i="2"/>
  <c r="D18" i="2"/>
  <c r="D14" i="2"/>
  <c r="D10" i="2"/>
  <c r="D9" i="2"/>
  <c r="C13" i="2"/>
  <c r="C29" i="2"/>
  <c r="C32" i="2"/>
  <c r="C28" i="2"/>
  <c r="C24" i="2"/>
  <c r="C20" i="2"/>
  <c r="C16" i="2"/>
  <c r="C12" i="2"/>
  <c r="C25" i="2"/>
  <c r="C37" i="2"/>
  <c r="C21" i="2"/>
  <c r="C36" i="2"/>
  <c r="C35" i="2"/>
  <c r="C31" i="2"/>
  <c r="C27" i="2"/>
  <c r="C23" i="2"/>
  <c r="C19" i="2"/>
  <c r="C15" i="2"/>
  <c r="C11" i="2"/>
  <c r="C17" i="2"/>
  <c r="C33" i="2"/>
  <c r="C38" i="2"/>
  <c r="C34" i="2"/>
  <c r="C30" i="2"/>
  <c r="C26" i="2"/>
  <c r="C22" i="2"/>
  <c r="C18" i="2"/>
  <c r="C14" i="2"/>
  <c r="R38" i="8"/>
  <c r="R39" i="8"/>
  <c r="R40" i="8" s="1"/>
  <c r="G9" i="2"/>
  <c r="J9" i="2"/>
  <c r="N8" i="4"/>
  <c r="I9" i="2"/>
  <c r="U9" i="2" s="1"/>
  <c r="W9" i="4"/>
  <c r="G10" i="2" s="1"/>
  <c r="J10" i="2"/>
  <c r="W10" i="4"/>
  <c r="G11" i="2" s="1"/>
  <c r="J11" i="2"/>
  <c r="W11" i="4"/>
  <c r="G12" i="2" s="1"/>
  <c r="J12" i="2"/>
  <c r="W12" i="4"/>
  <c r="G13" i="2" s="1"/>
  <c r="J13" i="2"/>
  <c r="W13" i="4"/>
  <c r="G14" i="2" s="1"/>
  <c r="J14" i="2"/>
  <c r="W14" i="4"/>
  <c r="G15" i="2" s="1"/>
  <c r="J15" i="2"/>
  <c r="W15" i="4"/>
  <c r="G16" i="2" s="1"/>
  <c r="J16" i="2"/>
  <c r="W16" i="4"/>
  <c r="G17" i="2" s="1"/>
  <c r="J17" i="2"/>
  <c r="W17" i="4"/>
  <c r="G18" i="2" s="1"/>
  <c r="J18" i="2"/>
  <c r="W18" i="4"/>
  <c r="G19" i="2" s="1"/>
  <c r="J19" i="2"/>
  <c r="W19" i="4"/>
  <c r="G20" i="2" s="1"/>
  <c r="J20" i="2"/>
  <c r="W20" i="4"/>
  <c r="G21" i="2" s="1"/>
  <c r="J21" i="2"/>
  <c r="W21" i="4"/>
  <c r="G22" i="2" s="1"/>
  <c r="J22" i="2"/>
  <c r="W22" i="4"/>
  <c r="G23" i="2" s="1"/>
  <c r="J23" i="2"/>
  <c r="W23" i="4"/>
  <c r="G24" i="2" s="1"/>
  <c r="J24" i="2"/>
  <c r="W24" i="4"/>
  <c r="G25" i="2" s="1"/>
  <c r="J25" i="2"/>
  <c r="W25" i="4"/>
  <c r="G26" i="2" s="1"/>
  <c r="J26" i="2"/>
  <c r="W26" i="4"/>
  <c r="G27" i="2" s="1"/>
  <c r="J27" i="2"/>
  <c r="W27" i="4"/>
  <c r="G28" i="2" s="1"/>
  <c r="J28" i="2"/>
  <c r="W28" i="4"/>
  <c r="G29" i="2" s="1"/>
  <c r="J29" i="2"/>
  <c r="W29" i="4"/>
  <c r="G30" i="2" s="1"/>
  <c r="J30" i="2"/>
  <c r="W30" i="4"/>
  <c r="G31" i="2" s="1"/>
  <c r="J31" i="2"/>
  <c r="W31" i="4"/>
  <c r="G32" i="2" s="1"/>
  <c r="J32" i="2"/>
  <c r="W32" i="4"/>
  <c r="G33" i="2" s="1"/>
  <c r="J33" i="2"/>
  <c r="W33" i="4"/>
  <c r="G34" i="2" s="1"/>
  <c r="J34" i="2"/>
  <c r="W34" i="4"/>
  <c r="G35" i="2" s="1"/>
  <c r="J35" i="2"/>
  <c r="W35" i="4"/>
  <c r="G36" i="2" s="1"/>
  <c r="J36" i="2"/>
  <c r="W36" i="4"/>
  <c r="G37" i="2" s="1"/>
  <c r="J37" i="2"/>
  <c r="W37" i="4"/>
  <c r="G38" i="2" s="1"/>
  <c r="J38" i="2"/>
  <c r="M7" i="7"/>
  <c r="N10" i="4"/>
  <c r="F11" i="2" s="1"/>
  <c r="I11" i="2"/>
  <c r="N9" i="4"/>
  <c r="F10" i="2" s="1"/>
  <c r="I10" i="2"/>
  <c r="N11" i="4"/>
  <c r="F12" i="2" s="1"/>
  <c r="I12" i="2"/>
  <c r="N12" i="4"/>
  <c r="F13" i="2" s="1"/>
  <c r="I13" i="2"/>
  <c r="N13" i="4"/>
  <c r="F14" i="2" s="1"/>
  <c r="I14" i="2"/>
  <c r="N14" i="4"/>
  <c r="F15" i="2" s="1"/>
  <c r="I15" i="2"/>
  <c r="N15" i="4"/>
  <c r="F16" i="2" s="1"/>
  <c r="I16" i="2"/>
  <c r="N16" i="4"/>
  <c r="F17" i="2" s="1"/>
  <c r="I17" i="2"/>
  <c r="N17" i="4"/>
  <c r="F18" i="2" s="1"/>
  <c r="I18" i="2"/>
  <c r="N18" i="4"/>
  <c r="F19" i="2" s="1"/>
  <c r="I19" i="2"/>
  <c r="N19" i="4"/>
  <c r="F20" i="2" s="1"/>
  <c r="I20" i="2"/>
  <c r="N20" i="4"/>
  <c r="F21" i="2" s="1"/>
  <c r="I21" i="2"/>
  <c r="N21" i="4"/>
  <c r="F22" i="2" s="1"/>
  <c r="I22" i="2"/>
  <c r="N22" i="4"/>
  <c r="F23" i="2" s="1"/>
  <c r="I23" i="2"/>
  <c r="N23" i="4"/>
  <c r="F24" i="2" s="1"/>
  <c r="I24" i="2"/>
  <c r="N24" i="4"/>
  <c r="F25" i="2" s="1"/>
  <c r="I25" i="2"/>
  <c r="N25" i="4"/>
  <c r="F26" i="2" s="1"/>
  <c r="I26" i="2"/>
  <c r="N26" i="4"/>
  <c r="F27" i="2" s="1"/>
  <c r="I27" i="2"/>
  <c r="N27" i="4"/>
  <c r="F28" i="2" s="1"/>
  <c r="I28" i="2"/>
  <c r="N28" i="4"/>
  <c r="F29" i="2" s="1"/>
  <c r="I29" i="2"/>
  <c r="N29" i="4"/>
  <c r="F30" i="2" s="1"/>
  <c r="I30" i="2"/>
  <c r="N30" i="4"/>
  <c r="F31" i="2" s="1"/>
  <c r="I31" i="2"/>
  <c r="N31" i="4"/>
  <c r="F32" i="2" s="1"/>
  <c r="I32" i="2"/>
  <c r="N32" i="4"/>
  <c r="F33" i="2" s="1"/>
  <c r="I33" i="2"/>
  <c r="N33" i="4"/>
  <c r="F34" i="2" s="1"/>
  <c r="I34" i="2"/>
  <c r="N34" i="4"/>
  <c r="F35" i="2" s="1"/>
  <c r="I35" i="2"/>
  <c r="N35" i="4"/>
  <c r="F36" i="2" s="1"/>
  <c r="I36" i="2"/>
  <c r="N36" i="4"/>
  <c r="F37" i="2" s="1"/>
  <c r="I37" i="2"/>
  <c r="N37" i="4"/>
  <c r="F38" i="2" s="1"/>
  <c r="I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W7" i="4"/>
  <c r="N7" i="4"/>
  <c r="O39" i="4"/>
  <c r="O40" i="4" s="1"/>
  <c r="N54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T11" i="7" a="1"/>
  <c r="T11" i="7" l="1"/>
  <c r="M9" i="7"/>
  <c r="M8" i="7"/>
  <c r="BA38" i="8"/>
  <c r="F9" i="2"/>
  <c r="N38" i="4"/>
  <c r="N39" i="4"/>
  <c r="N40" i="4" s="1"/>
  <c r="T9" i="7" a="1"/>
  <c r="T9" i="7" l="1"/>
  <c r="Q22" i="2"/>
  <c r="Q26" i="2"/>
  <c r="Q21" i="2"/>
  <c r="Q33" i="2"/>
  <c r="Q9" i="2"/>
  <c r="Q29" i="2"/>
  <c r="Q28" i="2"/>
  <c r="Q18" i="2"/>
  <c r="Q11" i="2"/>
  <c r="Q24" i="2"/>
  <c r="Q31" i="2"/>
  <c r="Q20" i="2"/>
  <c r="Q37" i="2"/>
  <c r="Q36" i="2"/>
  <c r="Q16" i="2"/>
  <c r="Q25" i="2"/>
  <c r="Q19" i="2"/>
  <c r="Q32" i="2"/>
  <c r="Q12" i="2"/>
  <c r="Q27" i="2"/>
  <c r="Q14" i="2"/>
  <c r="Q10" i="2"/>
  <c r="Q23" i="2"/>
  <c r="Q30" i="2"/>
  <c r="Q34" i="2"/>
  <c r="Q15" i="2"/>
  <c r="Q38" i="2"/>
  <c r="Q35" i="2"/>
  <c r="Q17" i="2"/>
  <c r="Q13" i="2"/>
  <c r="Z22" i="2" l="1"/>
  <c r="AB22" i="2" s="1"/>
  <c r="Z14" i="2"/>
  <c r="Z34" i="2"/>
  <c r="AB34" i="2" s="1"/>
  <c r="Z32" i="2"/>
  <c r="AB32" i="2" s="1"/>
  <c r="Z23" i="2"/>
  <c r="AB23" i="2" s="1"/>
  <c r="Z12" i="2"/>
  <c r="AB12" i="2" s="1"/>
  <c r="Z10" i="2"/>
  <c r="AB10" i="2" s="1"/>
  <c r="Z25" i="2"/>
  <c r="AB25" i="2" s="1"/>
  <c r="Z24" i="2"/>
  <c r="AB24" i="2" s="1"/>
  <c r="Z19" i="2"/>
  <c r="AB19" i="2" s="1"/>
  <c r="Z37" i="2"/>
  <c r="AB37" i="2" s="1"/>
  <c r="Z27" i="2"/>
  <c r="Z16" i="2"/>
  <c r="AB16" i="2" s="1"/>
  <c r="Z29" i="2"/>
  <c r="AB29" i="2" s="1"/>
  <c r="Z31" i="2"/>
  <c r="AB31" i="2" s="1"/>
  <c r="Z21" i="2"/>
  <c r="Z15" i="2"/>
  <c r="AB15" i="2" s="1"/>
  <c r="Z20" i="2"/>
  <c r="AB20" i="2" s="1"/>
  <c r="Z18" i="2"/>
  <c r="AB18" i="2" s="1"/>
  <c r="Z36" i="2"/>
  <c r="AB36" i="2" s="1"/>
  <c r="Z33" i="2"/>
  <c r="AB33" i="2" s="1"/>
  <c r="Z13" i="2"/>
  <c r="AB13" i="2" s="1"/>
  <c r="Z38" i="2"/>
  <c r="AB38" i="2" s="1"/>
  <c r="Z30" i="2"/>
  <c r="AB30" i="2" s="1"/>
  <c r="Z28" i="2"/>
  <c r="AB28" i="2" s="1"/>
  <c r="Z11" i="2"/>
  <c r="AB11" i="2" s="1"/>
  <c r="Z26" i="2"/>
  <c r="AB26" i="2" s="1"/>
  <c r="Z35" i="2"/>
  <c r="AB35" i="2" s="1"/>
  <c r="AG38" i="7"/>
  <c r="Z9" i="2"/>
  <c r="AB9" i="2" s="1"/>
  <c r="Z17" i="2"/>
  <c r="AB17" i="2" s="1"/>
  <c r="U46" i="2" l="1"/>
  <c r="U45" i="2"/>
  <c r="U47" i="2"/>
  <c r="U44" i="2"/>
  <c r="U48" i="2"/>
  <c r="U43" i="2" l="1"/>
  <c r="T8" i="7" a="1"/>
  <c r="T8" i="7" l="1"/>
  <c r="O9" i="2" s="1"/>
  <c r="V9" i="2" s="1"/>
  <c r="X9" i="2" s="1"/>
  <c r="O13" i="2" l="1"/>
  <c r="V13" i="2" s="1"/>
  <c r="X13" i="2" s="1"/>
  <c r="O10" i="2" l="1"/>
  <c r="V10" i="2" s="1"/>
  <c r="X10" i="2" s="1"/>
  <c r="O33" i="2" l="1"/>
  <c r="V33" i="2" s="1"/>
  <c r="X33" i="2" s="1"/>
  <c r="O35" i="2" l="1"/>
  <c r="V35" i="2" s="1"/>
  <c r="O17" i="2" l="1"/>
  <c r="V17" i="2" s="1"/>
  <c r="X17" i="2" s="1"/>
  <c r="O32" i="2" l="1"/>
  <c r="V32" i="2" s="1"/>
  <c r="X32" i="2" s="1"/>
  <c r="O31" i="2" l="1"/>
  <c r="V31" i="2" s="1"/>
  <c r="X31" i="2" s="1"/>
  <c r="O18" i="2" l="1"/>
  <c r="V18" i="2" s="1"/>
  <c r="X18" i="2" s="1"/>
  <c r="O12" i="2" l="1"/>
  <c r="V12" i="2" s="1"/>
  <c r="X12" i="2" s="1"/>
  <c r="O27" i="2" l="1"/>
  <c r="V27" i="2" s="1"/>
  <c r="X27" i="2" s="1"/>
  <c r="O16" i="2" l="1"/>
  <c r="V16" i="2" s="1"/>
  <c r="X16" i="2" s="1"/>
  <c r="O11" i="2" l="1"/>
  <c r="V11" i="2" s="1"/>
  <c r="X11" i="2" s="1"/>
  <c r="O24" i="2" l="1"/>
  <c r="V24" i="2" s="1"/>
  <c r="X24" i="2" s="1"/>
  <c r="O34" i="2" l="1"/>
  <c r="V34" i="2" s="1"/>
  <c r="X34" i="2" s="1"/>
  <c r="O28" i="2" l="1"/>
  <c r="V28" i="2" s="1"/>
  <c r="X28" i="2" s="1"/>
  <c r="O30" i="2" l="1"/>
  <c r="V30" i="2" s="1"/>
  <c r="X30" i="2" s="1"/>
  <c r="O21" i="2" l="1"/>
  <c r="V21" i="2" s="1"/>
  <c r="X21" i="2" s="1"/>
  <c r="O37" i="2" l="1"/>
  <c r="V37" i="2" s="1"/>
  <c r="O26" i="2" l="1"/>
  <c r="V26" i="2" s="1"/>
  <c r="X26" i="2" s="1"/>
  <c r="O22" i="2" l="1"/>
  <c r="V22" i="2" s="1"/>
  <c r="X22" i="2" s="1"/>
  <c r="O36" i="2" l="1"/>
  <c r="V36" i="2" s="1"/>
  <c r="O20" i="2" l="1"/>
  <c r="V20" i="2" s="1"/>
  <c r="X20" i="2" s="1"/>
  <c r="O19" i="2" l="1"/>
  <c r="V19" i="2" s="1"/>
  <c r="X19" i="2" s="1"/>
  <c r="O14" i="2"/>
  <c r="V14" i="2" s="1"/>
  <c r="X14" i="2" s="1"/>
  <c r="O15" i="2" l="1"/>
  <c r="V15" i="2" s="1"/>
  <c r="X15" i="2" s="1"/>
  <c r="O29" i="2"/>
  <c r="V29" i="2" s="1"/>
  <c r="X29" i="2" s="1"/>
  <c r="O38" i="2" l="1"/>
  <c r="V38" i="2" s="1"/>
  <c r="O23" i="2" l="1"/>
  <c r="V23" i="2" s="1"/>
  <c r="X23" i="2" s="1"/>
  <c r="T38" i="7" l="1"/>
  <c r="O48" i="2"/>
  <c r="O47" i="2"/>
  <c r="O44" i="2"/>
  <c r="O45" i="2"/>
  <c r="O46" i="2"/>
  <c r="O25" i="2"/>
  <c r="V25" i="2" s="1"/>
  <c r="T39" i="7"/>
  <c r="T40" i="7" s="1"/>
  <c r="O4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<sst xmlns="http://schemas.openxmlformats.org/spreadsheetml/2006/main" count="152" uniqueCount="84">
  <si>
    <t xml:space="preserve">AVALIAÇÃO GLOBAL </t>
  </si>
  <si>
    <t>ORALIDADE</t>
  </si>
  <si>
    <t>ESCRITA</t>
  </si>
  <si>
    <t>FINAL</t>
  </si>
  <si>
    <t>Nº</t>
  </si>
  <si>
    <t>NOME</t>
  </si>
  <si>
    <t>1º P</t>
  </si>
  <si>
    <t>2º P</t>
  </si>
  <si>
    <t>dadas</t>
  </si>
  <si>
    <t>previstas</t>
  </si>
  <si>
    <t>sucesso</t>
  </si>
  <si>
    <t>nível 2</t>
  </si>
  <si>
    <t>nível 3</t>
  </si>
  <si>
    <t>nível 4</t>
  </si>
  <si>
    <t>nível 5</t>
  </si>
  <si>
    <t>Ano: 7.º</t>
  </si>
  <si>
    <t>GRELHA DE CORREÇÃO</t>
  </si>
  <si>
    <t>SUBTOTAL</t>
  </si>
  <si>
    <t>TOTAL</t>
  </si>
  <si>
    <t>Questão</t>
  </si>
  <si>
    <t>CL</t>
  </si>
  <si>
    <t>4 a 8</t>
  </si>
  <si>
    <t>Média dos testes</t>
  </si>
  <si>
    <t>N.º de negativas</t>
  </si>
  <si>
    <t>% de negativas</t>
  </si>
  <si>
    <t xml:space="preserve"> </t>
  </si>
  <si>
    <t xml:space="preserve">                   Cotação
Nome
</t>
  </si>
  <si>
    <t>nível 1</t>
  </si>
  <si>
    <t>E</t>
  </si>
  <si>
    <t>AV ajuste</t>
  </si>
  <si>
    <t>1º P Auto Av.</t>
  </si>
  <si>
    <t>2º P Auto Av.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</si>
  <si>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</si>
  <si>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t>C. Oral</t>
  </si>
  <si>
    <t>SUBTOTAL C. Oral</t>
  </si>
  <si>
    <t>7.º</t>
  </si>
  <si>
    <t>2º Semestre</t>
  </si>
  <si>
    <t>1º Semestre</t>
  </si>
  <si>
    <t>1ºS</t>
  </si>
  <si>
    <t>2ºS</t>
  </si>
  <si>
    <t>1º S</t>
  </si>
  <si>
    <t>2º S</t>
  </si>
  <si>
    <t>1.º S</t>
  </si>
  <si>
    <t>2.º S</t>
  </si>
  <si>
    <t>P. Oral</t>
  </si>
  <si>
    <t>COMP. ESTRATÉGICA</t>
  </si>
  <si>
    <t>COMPREENSÃO ORAL + PRODUÇÃO ORAL</t>
  </si>
  <si>
    <t>SUBTOTAL Prod. Oral</t>
  </si>
  <si>
    <t>FRANCÊS</t>
  </si>
  <si>
    <t>7.º E</t>
  </si>
  <si>
    <t>Ano Letivo 2021/22</t>
  </si>
  <si>
    <t>Miguel</t>
  </si>
  <si>
    <t>PRODUÇÃO ESCRITA + GRAMÁTICA</t>
  </si>
  <si>
    <t>COMPREENSÃO ESCRITA + VOCABULÁRIO</t>
  </si>
  <si>
    <t>COMP. ESCRITA + VOCABULÁRIO</t>
  </si>
  <si>
    <t>7E</t>
  </si>
  <si>
    <t>Afonso</t>
  </si>
  <si>
    <t>André</t>
  </si>
  <si>
    <t>Bruno</t>
  </si>
  <si>
    <t>Catarina</t>
  </si>
  <si>
    <t>Cheila</t>
  </si>
  <si>
    <t>Clara</t>
  </si>
  <si>
    <t>Daniel</t>
  </si>
  <si>
    <t>Filipa</t>
  </si>
  <si>
    <t>Guilherme</t>
  </si>
  <si>
    <t xml:space="preserve">Iara </t>
  </si>
  <si>
    <t>João</t>
  </si>
  <si>
    <t>Josué</t>
  </si>
  <si>
    <t>Leonor</t>
  </si>
  <si>
    <t>Lívia</t>
  </si>
  <si>
    <t>Lourenço</t>
  </si>
  <si>
    <t>Matheus</t>
  </si>
  <si>
    <t>Santiago</t>
  </si>
  <si>
    <t>Sophie</t>
  </si>
  <si>
    <t>Tiago</t>
  </si>
  <si>
    <t>Yarianny</t>
  </si>
  <si>
    <t>Dhébora</t>
  </si>
  <si>
    <t>2º COMPREENSÃO ESCRITA + VOCABULÁRIO</t>
  </si>
  <si>
    <t>1º COMPREENSÃO ESCRITA + VOCABULÁRIO</t>
  </si>
  <si>
    <t>1ª Composição + Gramática</t>
  </si>
  <si>
    <t>2ª Composição + Gramática</t>
  </si>
  <si>
    <t>Média do 2ª semestre</t>
  </si>
  <si>
    <t>Média 1º semestre</t>
  </si>
  <si>
    <t>Turma: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</si>
</sst>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;;@"/>
    <numFmt numFmtId="165" formatCode="0.0&quot;%&quot;"/>
    <numFmt numFmtId="166" formatCode="0.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sz val="18"/>
      <name val="Arial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sz val="9"/>
      <color rgb="FFFF0000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  <font>
      <sz val="11"/>
      <color rgb="FF9C5700"/>
      <name val="Calibri"/>
      <family val="2"/>
      <scheme val="minor"/>
    </font>
    <font>
      <sz val="12"/>
      <color rgb="FFFF0000"/>
      <name val="Arial"/>
      <family val="2"/>
    </font>
    <font>
      <b/>
      <sz val="13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name val="Arial"/>
      <family val="2"/>
    </font>
    <font>
      <sz val="11"/>
      <color theme="3" tint="0.2499465926084170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9.9948118533890809E-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39"/>
      <color theme="3" tint="0.24994659260841701"/>
      <name val="Cambria"/>
      <family val="2"/>
      <scheme val="major"/>
    </font>
    <font>
      <sz val="10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30"/>
      <color theme="1" tint="0.34998626667073579"/>
      <name val="Cambria"/>
      <family val="2"/>
      <scheme val="major"/>
    </font>
    <font>
      <u/>
      <sz val="11"/>
      <color theme="10"/>
      <name val="Calibri"/>
      <family val="2"/>
    </font>
    <font>
      <sz val="12"/>
      <color theme="1"/>
      <name val="Calibri"/>
      <family val="2"/>
      <scheme val="minor"/>
    </font>
    <font>
      <sz val="12"/>
      <name val="Trebuchet MS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27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1" tint="0.34998626667073579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</borders>
  <cellStyleXfs count="29">
    <xf numFmtId="0" fontId="0" fillId="0" borderId="0"/>
    <xf numFmtId="0" fontId="1" fillId="0" borderId="0"/>
    <xf numFmtId="0" fontId="17" fillId="0" borderId="0"/>
    <xf numFmtId="0" fontId="48" fillId="12" borderId="0" applyNumberFormat="0" applyBorder="0" applyAlignment="0" applyProtection="0"/>
    <xf numFmtId="0" fontId="53" fillId="0" borderId="0">
      <alignment vertical="top"/>
    </xf>
    <xf numFmtId="0" fontId="57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Alignment="0" applyProtection="0"/>
    <xf numFmtId="0" fontId="58" fillId="0" borderId="0"/>
    <xf numFmtId="0" fontId="54" fillId="14" borderId="0" applyNumberFormat="0" applyBorder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58" fillId="0" borderId="0"/>
    <xf numFmtId="0" fontId="1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3" borderId="0" applyNumberFormat="0" applyBorder="0" applyAlignment="0" applyProtection="0"/>
  </cellStyleXfs>
  <cellXfs count="483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3" borderId="0" xfId="0" applyFont="1" applyFill="1" applyAlignment="1" applyProtection="1">
      <alignment vertical="center"/>
      <protection locked="0"/>
    </xf>
    <xf numFmtId="0" fontId="1" fillId="4" borderId="35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37" xfId="0" applyFont="1" applyFill="1" applyBorder="1" applyAlignment="1" applyProtection="1">
      <alignment horizontal="left" vertical="top"/>
      <protection locked="0"/>
    </xf>
    <xf numFmtId="1" fontId="26" fillId="0" borderId="0" xfId="0" applyNumberFormat="1" applyFont="1" applyAlignment="1" applyProtection="1">
      <alignment horizontal="center" vertical="center"/>
      <protection locked="0"/>
    </xf>
    <xf numFmtId="1" fontId="26" fillId="6" borderId="0" xfId="0" applyNumberFormat="1" applyFont="1" applyFill="1" applyAlignment="1" applyProtection="1">
      <alignment horizontal="center" vertical="center"/>
      <protection locked="0"/>
    </xf>
    <xf numFmtId="0" fontId="22" fillId="10" borderId="0" xfId="0" applyFont="1" applyFill="1" applyAlignment="1" applyProtection="1">
      <alignment horizontal="center" vertical="center"/>
      <protection locked="0"/>
    </xf>
    <xf numFmtId="16" fontId="22" fillId="10" borderId="0" xfId="0" applyNumberFormat="1" applyFont="1" applyFill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wrapText="1"/>
      <protection locked="0"/>
    </xf>
    <xf numFmtId="0" fontId="22" fillId="0" borderId="0" xfId="0" applyFont="1" applyProtection="1">
      <protection locked="0"/>
    </xf>
    <xf numFmtId="0" fontId="20" fillId="4" borderId="34" xfId="0" applyFont="1" applyFill="1" applyBorder="1" applyAlignment="1" applyProtection="1">
      <alignment vertical="top"/>
      <protection locked="0"/>
    </xf>
    <xf numFmtId="0" fontId="20" fillId="4" borderId="14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5" fillId="4" borderId="6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55" xfId="0" applyFont="1" applyFill="1" applyBorder="1" applyAlignment="1" applyProtection="1">
      <alignment horizontal="center" vertical="center"/>
      <protection locked="0"/>
    </xf>
    <xf numFmtId="0" fontId="19" fillId="3" borderId="21" xfId="0" applyFont="1" applyFill="1" applyBorder="1" applyAlignment="1" applyProtection="1">
      <alignment vertical="center"/>
      <protection locked="0"/>
    </xf>
    <xf numFmtId="0" fontId="19" fillId="3" borderId="0" xfId="0" applyFont="1" applyFill="1" applyBorder="1" applyAlignment="1" applyProtection="1">
      <alignment vertical="center"/>
      <protection locked="0"/>
    </xf>
    <xf numFmtId="0" fontId="19" fillId="3" borderId="63" xfId="0" applyFont="1" applyFill="1" applyBorder="1" applyAlignment="1" applyProtection="1">
      <alignment vertical="center"/>
      <protection locked="0"/>
    </xf>
    <xf numFmtId="0" fontId="18" fillId="0" borderId="63" xfId="0" applyFont="1" applyBorder="1" applyAlignment="1" applyProtection="1">
      <alignment vertical="center"/>
      <protection locked="0"/>
    </xf>
    <xf numFmtId="1" fontId="30" fillId="5" borderId="42" xfId="0" applyNumberFormat="1" applyFont="1" applyFill="1" applyBorder="1" applyAlignment="1" applyProtection="1">
      <alignment horizontal="center" vertical="center"/>
      <protection locked="0"/>
    </xf>
    <xf numFmtId="1" fontId="25" fillId="5" borderId="68" xfId="0" applyNumberFormat="1" applyFont="1" applyFill="1" applyBorder="1" applyAlignment="1" applyProtection="1">
      <alignment horizontal="center" vertical="center"/>
      <protection locked="0"/>
    </xf>
    <xf numFmtId="1" fontId="25" fillId="5" borderId="86" xfId="0" applyNumberFormat="1" applyFont="1" applyFill="1" applyBorder="1" applyAlignment="1" applyProtection="1">
      <alignment horizontal="center" vertical="center"/>
      <protection locked="0"/>
    </xf>
    <xf numFmtId="1" fontId="32" fillId="4" borderId="70" xfId="0" applyNumberFormat="1" applyFont="1" applyFill="1" applyBorder="1" applyAlignment="1" applyProtection="1">
      <alignment horizontal="center" vertical="center" wrapText="1"/>
      <protection locked="0"/>
    </xf>
    <xf numFmtId="1" fontId="25" fillId="5" borderId="89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0" borderId="74" xfId="0" applyNumberFormat="1" applyFont="1" applyFill="1" applyBorder="1" applyAlignment="1" applyProtection="1">
      <alignment horizontal="center" vertical="center" wrapText="1"/>
    </xf>
    <xf numFmtId="1" fontId="14" fillId="10" borderId="74" xfId="0" applyNumberFormat="1" applyFont="1" applyFill="1" applyBorder="1" applyAlignment="1" applyProtection="1">
      <alignment horizontal="center" vertical="center" wrapText="1"/>
    </xf>
    <xf numFmtId="1" fontId="23" fillId="6" borderId="6" xfId="0" applyNumberFormat="1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72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33" fillId="0" borderId="0" xfId="0" applyNumberFormat="1" applyFont="1" applyProtection="1">
      <protection locked="0"/>
    </xf>
    <xf numFmtId="1" fontId="7" fillId="10" borderId="109" xfId="0" applyNumberFormat="1" applyFont="1" applyFill="1" applyBorder="1" applyAlignment="1" applyProtection="1">
      <alignment horizontal="center"/>
      <protection locked="0"/>
    </xf>
    <xf numFmtId="1" fontId="14" fillId="10" borderId="112" xfId="0" applyNumberFormat="1" applyFont="1" applyFill="1" applyBorder="1" applyAlignment="1" applyProtection="1">
      <alignment horizontal="center" vertical="center" wrapText="1"/>
    </xf>
    <xf numFmtId="1" fontId="7" fillId="10" borderId="94" xfId="0" applyNumberFormat="1" applyFont="1" applyFill="1" applyBorder="1" applyAlignment="1" applyProtection="1">
      <alignment horizontal="center"/>
      <protection locked="0"/>
    </xf>
    <xf numFmtId="1" fontId="14" fillId="10" borderId="116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20" xfId="0" applyNumberFormat="1" applyFont="1" applyFill="1" applyBorder="1" applyAlignment="1" applyProtection="1">
      <alignment horizontal="center" vertical="center" wrapText="1"/>
    </xf>
    <xf numFmtId="0" fontId="27" fillId="7" borderId="46" xfId="0" applyFont="1" applyFill="1" applyBorder="1" applyAlignment="1" applyProtection="1">
      <alignment horizontal="center" vertical="center"/>
      <protection hidden="1"/>
    </xf>
    <xf numFmtId="0" fontId="27" fillId="3" borderId="46" xfId="0" applyFont="1" applyFill="1" applyBorder="1" applyAlignment="1" applyProtection="1">
      <alignment horizontal="center" vertical="center"/>
      <protection hidden="1"/>
    </xf>
    <xf numFmtId="0" fontId="27" fillId="7" borderId="65" xfId="0" applyFont="1" applyFill="1" applyBorder="1" applyAlignment="1" applyProtection="1">
      <alignment horizontal="center" vertical="center"/>
      <protection hidden="1"/>
    </xf>
    <xf numFmtId="0" fontId="27" fillId="3" borderId="55" xfId="0" applyFont="1" applyFill="1" applyBorder="1" applyAlignment="1" applyProtection="1">
      <alignment horizontal="center" vertical="center"/>
      <protection hidden="1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30" fillId="5" borderId="65" xfId="0" applyNumberFormat="1" applyFont="1" applyFill="1" applyBorder="1" applyAlignment="1" applyProtection="1">
      <alignment horizontal="center" vertical="center"/>
      <protection locked="0"/>
    </xf>
    <xf numFmtId="1" fontId="30" fillId="5" borderId="87" xfId="0" applyNumberFormat="1" applyFont="1" applyFill="1" applyBorder="1" applyAlignment="1" applyProtection="1">
      <alignment horizontal="center" vertical="center"/>
      <protection locked="0"/>
    </xf>
    <xf numFmtId="1" fontId="30" fillId="3" borderId="88" xfId="0" applyNumberFormat="1" applyFont="1" applyFill="1" applyBorder="1" applyAlignment="1" applyProtection="1">
      <alignment horizontal="center" vertical="center"/>
      <protection locked="0"/>
    </xf>
    <xf numFmtId="0" fontId="34" fillId="10" borderId="73" xfId="0" applyFont="1" applyFill="1" applyBorder="1" applyAlignment="1" applyProtection="1">
      <alignment horizontal="left" wrapText="1"/>
      <protection locked="0"/>
    </xf>
    <xf numFmtId="0" fontId="34" fillId="0" borderId="41" xfId="0" applyFont="1" applyBorder="1" applyAlignment="1" applyProtection="1">
      <alignment horizontal="left" wrapText="1"/>
      <protection locked="0"/>
    </xf>
    <xf numFmtId="0" fontId="34" fillId="10" borderId="41" xfId="0" applyFont="1" applyFill="1" applyBorder="1" applyAlignment="1" applyProtection="1">
      <alignment horizontal="left" wrapText="1"/>
      <protection locked="0"/>
    </xf>
    <xf numFmtId="2" fontId="34" fillId="0" borderId="41" xfId="0" applyNumberFormat="1" applyFont="1" applyBorder="1" applyAlignment="1" applyProtection="1">
      <alignment horizontal="left" wrapText="1"/>
      <protection locked="0"/>
    </xf>
    <xf numFmtId="2" fontId="34" fillId="10" borderId="114" xfId="0" applyNumberFormat="1" applyFont="1" applyFill="1" applyBorder="1" applyAlignment="1" applyProtection="1">
      <alignment horizontal="left" wrapText="1"/>
      <protection locked="0"/>
    </xf>
    <xf numFmtId="2" fontId="35" fillId="0" borderId="0" xfId="0" applyNumberFormat="1" applyFont="1" applyProtection="1">
      <protection locked="0"/>
    </xf>
    <xf numFmtId="2" fontId="37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38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40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33" xfId="0" applyNumberFormat="1" applyFont="1" applyFill="1" applyBorder="1" applyAlignment="1" applyProtection="1">
      <alignment horizontal="center" vertical="center" wrapText="1"/>
      <protection locked="0"/>
    </xf>
    <xf numFmtId="2" fontId="37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37" fillId="2" borderId="13" xfId="0" applyNumberFormat="1" applyFont="1" applyFill="1" applyBorder="1" applyAlignment="1" applyProtection="1">
      <alignment horizontal="center" vertical="center" wrapText="1"/>
      <protection locked="0"/>
    </xf>
    <xf numFmtId="2" fontId="37" fillId="2" borderId="26" xfId="0" applyNumberFormat="1" applyFont="1" applyFill="1" applyBorder="1" applyAlignment="1" applyProtection="1">
      <alignment horizontal="center" vertical="center" wrapText="1"/>
      <protection locked="0"/>
    </xf>
    <xf numFmtId="2" fontId="42" fillId="0" borderId="0" xfId="0" applyNumberFormat="1" applyFont="1" applyFill="1" applyBorder="1" applyProtection="1">
      <protection locked="0"/>
    </xf>
    <xf numFmtId="2" fontId="41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28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5" xfId="0" applyNumberFormat="1" applyFont="1" applyBorder="1" applyAlignment="1" applyProtection="1">
      <alignment horizontal="center" vertical="center" wrapText="1"/>
      <protection locked="0"/>
    </xf>
    <xf numFmtId="1" fontId="14" fillId="10" borderId="25" xfId="0" applyNumberFormat="1" applyFont="1" applyFill="1" applyBorder="1" applyAlignment="1" applyProtection="1">
      <alignment horizontal="center" vertical="center" wrapText="1"/>
      <protection locked="0"/>
    </xf>
    <xf numFmtId="1" fontId="23" fillId="0" borderId="25" xfId="0" applyNumberFormat="1" applyFont="1" applyBorder="1" applyAlignment="1" applyProtection="1">
      <alignment horizontal="center" vertical="center" wrapText="1"/>
      <protection locked="0"/>
    </xf>
    <xf numFmtId="1" fontId="43" fillId="0" borderId="25" xfId="0" applyNumberFormat="1" applyFont="1" applyBorder="1" applyAlignment="1" applyProtection="1">
      <alignment horizontal="center" vertical="center" wrapText="1"/>
      <protection locked="0"/>
    </xf>
    <xf numFmtId="1" fontId="23" fillId="10" borderId="25" xfId="0" applyNumberFormat="1" applyFont="1" applyFill="1" applyBorder="1" applyAlignment="1" applyProtection="1">
      <alignment horizontal="center" vertical="center" wrapText="1"/>
      <protection locked="0"/>
    </xf>
    <xf numFmtId="1" fontId="43" fillId="10" borderId="25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24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5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39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79" xfId="0" applyNumberFormat="1" applyFont="1" applyFill="1" applyBorder="1" applyAlignment="1" applyProtection="1">
      <alignment horizontal="center" vertical="center" wrapText="1"/>
    </xf>
    <xf numFmtId="1" fontId="14" fillId="0" borderId="80" xfId="0" applyNumberFormat="1" applyFont="1" applyFill="1" applyBorder="1" applyAlignment="1" applyProtection="1">
      <alignment horizontal="center" vertical="center" wrapText="1"/>
    </xf>
    <xf numFmtId="1" fontId="14" fillId="10" borderId="80" xfId="0" applyNumberFormat="1" applyFont="1" applyFill="1" applyBorder="1" applyAlignment="1" applyProtection="1">
      <alignment horizontal="center" vertical="center" wrapText="1"/>
    </xf>
    <xf numFmtId="1" fontId="14" fillId="10" borderId="111" xfId="0" applyNumberFormat="1" applyFont="1" applyFill="1" applyBorder="1" applyAlignment="1" applyProtection="1">
      <alignment horizontal="center" vertical="center" wrapText="1"/>
    </xf>
    <xf numFmtId="1" fontId="14" fillId="0" borderId="26" xfId="0" applyNumberFormat="1" applyFont="1" applyFill="1" applyBorder="1" applyAlignment="1" applyProtection="1">
      <alignment horizontal="center" vertical="center" wrapText="1"/>
    </xf>
    <xf numFmtId="1" fontId="14" fillId="10" borderId="115" xfId="0" applyNumberFormat="1" applyFont="1" applyFill="1" applyBorder="1" applyAlignment="1" applyProtection="1">
      <alignment horizontal="center" vertical="center" wrapText="1"/>
    </xf>
    <xf numFmtId="1" fontId="44" fillId="10" borderId="121" xfId="0" applyNumberFormat="1" applyFont="1" applyFill="1" applyBorder="1" applyAlignment="1" applyProtection="1">
      <alignment horizontal="center" vertical="center" wrapText="1"/>
      <protection locked="0"/>
    </xf>
    <xf numFmtId="1" fontId="44" fillId="0" borderId="10" xfId="0" applyNumberFormat="1" applyFont="1" applyBorder="1" applyAlignment="1" applyProtection="1">
      <alignment horizontal="center" vertical="center" wrapText="1"/>
      <protection locked="0"/>
    </xf>
    <xf numFmtId="1" fontId="44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78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77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77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13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17" xfId="0" applyNumberFormat="1" applyFont="1" applyFill="1" applyBorder="1" applyAlignment="1" applyProtection="1">
      <alignment horizontal="center" vertical="center" wrapText="1"/>
      <protection locked="0"/>
    </xf>
    <xf numFmtId="2" fontId="4" fillId="0" borderId="0" xfId="0" applyNumberFormat="1" applyFont="1" applyBorder="1" applyAlignment="1" applyProtection="1">
      <protection locked="0"/>
    </xf>
    <xf numFmtId="1" fontId="14" fillId="10" borderId="79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8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8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11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15" xfId="0" applyNumberFormat="1" applyFont="1" applyFill="1" applyBorder="1" applyAlignment="1" applyProtection="1">
      <alignment horizontal="center" vertical="center" wrapText="1"/>
      <protection locked="0"/>
    </xf>
    <xf numFmtId="1" fontId="45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45" fillId="0" borderId="26" xfId="0" applyNumberFormat="1" applyFont="1" applyFill="1" applyBorder="1" applyAlignment="1" applyProtection="1">
      <alignment horizontal="center" vertical="center" wrapText="1"/>
      <protection locked="0"/>
    </xf>
    <xf numFmtId="18" fontId="19" fillId="0" borderId="0" xfId="0" applyNumberFormat="1" applyFont="1" applyAlignment="1" applyProtection="1">
      <alignment vertical="center"/>
      <protection locked="0"/>
    </xf>
    <xf numFmtId="0" fontId="34" fillId="3" borderId="41" xfId="0" applyFont="1" applyFill="1" applyBorder="1" applyAlignment="1" applyProtection="1">
      <alignment horizontal="left" wrapText="1"/>
      <protection locked="0"/>
    </xf>
    <xf numFmtId="1" fontId="45" fillId="0" borderId="148" xfId="0" applyNumberFormat="1" applyFont="1" applyFill="1" applyBorder="1" applyAlignment="1" applyProtection="1">
      <alignment horizontal="center" vertical="center" wrapText="1"/>
      <protection locked="0"/>
    </xf>
    <xf numFmtId="1" fontId="45" fillId="10" borderId="10" xfId="0" applyNumberFormat="1" applyFont="1" applyFill="1" applyBorder="1" applyAlignment="1" applyProtection="1">
      <alignment horizontal="center" vertical="center" wrapText="1"/>
      <protection locked="0"/>
    </xf>
    <xf numFmtId="164" fontId="2" fillId="0" borderId="6" xfId="0" applyNumberFormat="1" applyFont="1" applyBorder="1" applyAlignment="1" applyProtection="1">
      <alignment horizontal="center" vertical="center"/>
      <protection hidden="1"/>
    </xf>
    <xf numFmtId="165" fontId="2" fillId="0" borderId="6" xfId="0" applyNumberFormat="1" applyFont="1" applyBorder="1" applyAlignment="1" applyProtection="1">
      <alignment horizontal="center" vertical="center"/>
      <protection hidden="1"/>
    </xf>
    <xf numFmtId="1" fontId="25" fillId="4" borderId="5" xfId="0" applyNumberFormat="1" applyFont="1" applyFill="1" applyBorder="1" applyAlignment="1" applyProtection="1">
      <alignment horizontal="center" vertical="center"/>
      <protection locked="0"/>
    </xf>
    <xf numFmtId="1" fontId="30" fillId="5" borderId="68" xfId="0" applyNumberFormat="1" applyFont="1" applyFill="1" applyBorder="1" applyAlignment="1" applyProtection="1">
      <alignment horizontal="center" vertical="center"/>
      <protection locked="0"/>
    </xf>
    <xf numFmtId="0" fontId="49" fillId="4" borderId="5" xfId="0" applyFont="1" applyFill="1" applyBorder="1" applyAlignment="1" applyProtection="1">
      <alignment vertical="center" shrinkToFit="1"/>
      <protection locked="0"/>
    </xf>
    <xf numFmtId="1" fontId="14" fillId="3" borderId="79" xfId="0" applyNumberFormat="1" applyFont="1" applyFill="1" applyBorder="1" applyAlignment="1" applyProtection="1">
      <alignment horizontal="center" vertical="center" wrapText="1"/>
    </xf>
    <xf numFmtId="1" fontId="12" fillId="0" borderId="102" xfId="0" applyNumberFormat="1" applyFont="1" applyBorder="1" applyAlignment="1" applyProtection="1">
      <alignment horizontal="center"/>
    </xf>
    <xf numFmtId="1" fontId="12" fillId="0" borderId="101" xfId="0" applyNumberFormat="1" applyFont="1" applyBorder="1" applyAlignment="1" applyProtection="1">
      <alignment horizontal="center"/>
    </xf>
    <xf numFmtId="0" fontId="16" fillId="0" borderId="1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2" fillId="0" borderId="35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2" fontId="1" fillId="2" borderId="124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25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15" xfId="0" applyNumberFormat="1" applyFont="1" applyFill="1" applyBorder="1" applyAlignment="1" applyProtection="1">
      <alignment horizontal="center" vertical="center" textRotation="90" wrapText="1"/>
      <protection locked="0"/>
    </xf>
    <xf numFmtId="2" fontId="38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38" fillId="2" borderId="126" xfId="0" applyNumberFormat="1" applyFont="1" applyFill="1" applyBorder="1" applyAlignment="1" applyProtection="1">
      <alignment horizontal="center" vertical="center" textRotation="90" wrapText="1"/>
      <protection locked="0"/>
    </xf>
    <xf numFmtId="2" fontId="2" fillId="2" borderId="7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7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09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1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107" xfId="0" applyNumberFormat="1" applyFont="1" applyBorder="1" applyAlignment="1" applyProtection="1">
      <alignment horizontal="center"/>
      <protection locked="0"/>
    </xf>
    <xf numFmtId="2" fontId="16" fillId="0" borderId="108" xfId="0" applyNumberFormat="1" applyFont="1" applyBorder="1" applyAlignment="1" applyProtection="1">
      <alignment horizontal="center"/>
      <protection locked="0"/>
    </xf>
    <xf numFmtId="2" fontId="15" fillId="3" borderId="95" xfId="0" applyNumberFormat="1" applyFont="1" applyFill="1" applyBorder="1" applyAlignment="1" applyProtection="1">
      <alignment horizontal="center"/>
      <protection locked="0"/>
    </xf>
    <xf numFmtId="2" fontId="15" fillId="3" borderId="96" xfId="0" applyNumberFormat="1" applyFont="1" applyFill="1" applyBorder="1" applyAlignment="1" applyProtection="1">
      <alignment horizontal="center"/>
      <protection locked="0"/>
    </xf>
    <xf numFmtId="2" fontId="15" fillId="3" borderId="97" xfId="0" applyNumberFormat="1" applyFont="1" applyFill="1" applyBorder="1" applyAlignment="1" applyProtection="1">
      <alignment horizontal="center"/>
      <protection locked="0"/>
    </xf>
    <xf numFmtId="1" fontId="12" fillId="0" borderId="100" xfId="0" applyNumberFormat="1" applyFont="1" applyBorder="1" applyAlignment="1" applyProtection="1">
      <alignment horizontal="center"/>
    </xf>
    <xf numFmtId="1" fontId="12" fillId="0" borderId="98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35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35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35" xfId="0" applyNumberFormat="1" applyFont="1" applyBorder="1" applyAlignment="1" applyProtection="1">
      <alignment horizontal="center"/>
    </xf>
    <xf numFmtId="2" fontId="15" fillId="3" borderId="105" xfId="0" applyNumberFormat="1" applyFont="1" applyFill="1" applyBorder="1" applyAlignment="1" applyProtection="1">
      <alignment horizontal="center"/>
      <protection locked="0"/>
    </xf>
    <xf numFmtId="2" fontId="15" fillId="3" borderId="106" xfId="0" applyNumberFormat="1" applyFont="1" applyFill="1" applyBorder="1" applyAlignment="1" applyProtection="1">
      <alignment horizontal="center"/>
      <protection locked="0"/>
    </xf>
    <xf numFmtId="2" fontId="16" fillId="0" borderId="105" xfId="0" applyNumberFormat="1" applyFont="1" applyBorder="1" applyAlignment="1" applyProtection="1">
      <alignment horizontal="center"/>
      <protection locked="0"/>
    </xf>
    <xf numFmtId="2" fontId="16" fillId="0" borderId="106" xfId="0" applyNumberFormat="1" applyFont="1" applyBorder="1" applyAlignment="1" applyProtection="1">
      <alignment horizontal="center"/>
      <protection locked="0"/>
    </xf>
    <xf numFmtId="2" fontId="15" fillId="3" borderId="103" xfId="0" applyNumberFormat="1" applyFont="1" applyFill="1" applyBorder="1" applyAlignment="1" applyProtection="1">
      <alignment horizontal="center"/>
      <protection locked="0"/>
    </xf>
    <xf numFmtId="2" fontId="15" fillId="3" borderId="104" xfId="0" applyNumberFormat="1" applyFont="1" applyFill="1" applyBorder="1" applyAlignment="1" applyProtection="1">
      <alignment horizontal="center"/>
      <protection locked="0"/>
    </xf>
    <xf numFmtId="0" fontId="16" fillId="0" borderId="93" xfId="0" applyFont="1" applyBorder="1" applyAlignment="1">
      <alignment horizontal="center"/>
    </xf>
    <xf numFmtId="0" fontId="16" fillId="0" borderId="100" xfId="0" applyFont="1" applyBorder="1" applyAlignment="1">
      <alignment horizontal="center"/>
    </xf>
    <xf numFmtId="0" fontId="16" fillId="0" borderId="40" xfId="0" applyFont="1" applyBorder="1" applyAlignment="1">
      <alignment horizontal="center"/>
    </xf>
    <xf numFmtId="2" fontId="38" fillId="2" borderId="142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144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136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39" fillId="4" borderId="18" xfId="0" applyNumberFormat="1" applyFont="1" applyFill="1" applyBorder="1" applyAlignment="1" applyProtection="1">
      <alignment horizontal="center" vertical="center" wrapText="1"/>
      <protection locked="0"/>
    </xf>
    <xf numFmtId="2" fontId="39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39" fillId="4" borderId="23" xfId="0" applyNumberFormat="1" applyFont="1" applyFill="1" applyBorder="1" applyAlignment="1" applyProtection="1">
      <alignment horizontal="center" vertical="center" wrapText="1"/>
      <protection locked="0"/>
    </xf>
    <xf numFmtId="2" fontId="39" fillId="4" borderId="24" xfId="0" applyNumberFormat="1" applyFont="1" applyFill="1" applyBorder="1" applyAlignment="1" applyProtection="1">
      <alignment horizontal="center" vertical="center" wrapText="1"/>
      <protection locked="0"/>
    </xf>
    <xf numFmtId="2" fontId="37" fillId="0" borderId="129" xfId="0" applyNumberFormat="1" applyFont="1" applyFill="1" applyBorder="1" applyAlignment="1" applyProtection="1">
      <alignment horizontal="center" vertical="center" wrapText="1"/>
      <protection locked="0"/>
    </xf>
    <xf numFmtId="2" fontId="37" fillId="0" borderId="130" xfId="0" applyNumberFormat="1" applyFont="1" applyFill="1" applyBorder="1" applyAlignment="1" applyProtection="1">
      <alignment horizontal="center" vertical="center" wrapText="1"/>
      <protection locked="0"/>
    </xf>
    <xf numFmtId="2" fontId="39" fillId="4" borderId="22" xfId="0" applyNumberFormat="1" applyFont="1" applyFill="1" applyBorder="1" applyAlignment="1" applyProtection="1">
      <alignment horizontal="center" vertical="center" wrapText="1"/>
      <protection locked="0"/>
    </xf>
    <xf numFmtId="2" fontId="39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39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37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37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37" fillId="0" borderId="24" xfId="0" applyNumberFormat="1" applyFont="1" applyFill="1" applyBorder="1" applyAlignment="1" applyProtection="1">
      <alignment horizontal="center" vertical="center" wrapText="1"/>
      <protection locked="0"/>
    </xf>
    <xf numFmtId="2" fontId="37" fillId="0" borderId="115" xfId="0" applyNumberFormat="1" applyFont="1" applyFill="1" applyBorder="1" applyAlignment="1" applyProtection="1">
      <alignment horizontal="center" vertical="center" wrapText="1"/>
      <protection locked="0"/>
    </xf>
    <xf numFmtId="2" fontId="40" fillId="2" borderId="28" xfId="0" applyNumberFormat="1" applyFont="1" applyFill="1" applyBorder="1" applyAlignment="1" applyProtection="1">
      <alignment horizontal="center" vertical="center" wrapText="1"/>
      <protection locked="0"/>
    </xf>
    <xf numFmtId="2" fontId="40" fillId="2" borderId="17" xfId="0" applyNumberFormat="1" applyFont="1" applyFill="1" applyBorder="1" applyAlignment="1" applyProtection="1">
      <alignment horizontal="center" vertical="center" wrapText="1"/>
      <protection locked="0"/>
    </xf>
    <xf numFmtId="2" fontId="36" fillId="2" borderId="25" xfId="0" applyNumberFormat="1" applyFont="1" applyFill="1" applyBorder="1" applyAlignment="1" applyProtection="1">
      <alignment horizontal="center" vertical="center" wrapText="1"/>
      <protection locked="0"/>
    </xf>
    <xf numFmtId="2" fontId="36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36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2" fontId="47" fillId="0" borderId="0" xfId="0" applyNumberFormat="1" applyFont="1" applyFill="1" applyBorder="1" applyAlignment="1" applyProtection="1">
      <alignment horizontal="center" wrapText="1"/>
      <protection locked="0"/>
    </xf>
    <xf numFmtId="2" fontId="38" fillId="2" borderId="138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25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26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141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127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143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98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35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35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9" xfId="0" applyFont="1" applyBorder="1" applyAlignment="1">
      <alignment horizontal="center"/>
    </xf>
    <xf numFmtId="2" fontId="39" fillId="2" borderId="122" xfId="0" applyNumberFormat="1" applyFont="1" applyFill="1" applyBorder="1" applyAlignment="1" applyProtection="1">
      <alignment horizontal="center" vertical="center" wrapText="1"/>
      <protection locked="0"/>
    </xf>
    <xf numFmtId="2" fontId="39" fillId="2" borderId="123" xfId="0" applyNumberFormat="1" applyFont="1" applyFill="1" applyBorder="1" applyAlignment="1" applyProtection="1">
      <alignment horizontal="center" vertical="center" wrapText="1"/>
      <protection locked="0"/>
    </xf>
    <xf numFmtId="164" fontId="27" fillId="8" borderId="56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9" xfId="0" applyNumberFormat="1" applyFont="1" applyFill="1" applyBorder="1" applyAlignment="1" applyProtection="1">
      <alignment horizontal="left" vertical="center" shrinkToFit="1"/>
      <protection hidden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164" fontId="27" fillId="11" borderId="56" xfId="0" applyNumberFormat="1" applyFont="1" applyFill="1" applyBorder="1" applyAlignment="1" applyProtection="1">
      <alignment horizontal="left" vertical="center" shrinkToFit="1"/>
      <protection hidden="1"/>
    </xf>
    <xf numFmtId="164" fontId="27" fillId="11" borderId="9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82" xfId="0" applyFont="1" applyFill="1" applyBorder="1" applyAlignment="1" applyProtection="1">
      <alignment horizontal="left" vertical="top" wrapText="1"/>
      <protection locked="0"/>
    </xf>
    <xf numFmtId="0" fontId="14" fillId="6" borderId="83" xfId="0" applyFont="1" applyFill="1" applyBorder="1" applyAlignment="1" applyProtection="1">
      <alignment horizontal="left" vertical="top" wrapText="1"/>
      <protection locked="0"/>
    </xf>
    <xf numFmtId="0" fontId="24" fillId="4" borderId="35" xfId="0" applyFont="1" applyFill="1" applyBorder="1" applyAlignment="1" applyProtection="1">
      <alignment horizontal="center" vertical="center"/>
      <protection locked="0"/>
    </xf>
    <xf numFmtId="0" fontId="24" fillId="4" borderId="0" xfId="0" applyFont="1" applyFill="1" applyBorder="1" applyAlignment="1" applyProtection="1">
      <alignment horizontal="center" vertical="center"/>
      <protection locked="0"/>
    </xf>
    <xf numFmtId="0" fontId="24" fillId="4" borderId="37" xfId="0" applyFont="1" applyFill="1" applyBorder="1" applyAlignment="1" applyProtection="1">
      <alignment horizontal="right" vertical="center"/>
      <protection locked="0"/>
    </xf>
    <xf numFmtId="0" fontId="24" fillId="4" borderId="21" xfId="0" applyFont="1" applyFill="1" applyBorder="1" applyAlignment="1" applyProtection="1">
      <alignment horizontal="right" vertical="center"/>
      <protection locked="0"/>
    </xf>
    <xf numFmtId="0" fontId="28" fillId="0" borderId="95" xfId="0" applyFont="1" applyBorder="1" applyAlignment="1" applyProtection="1">
      <alignment horizontal="center" vertical="center" shrinkToFit="1"/>
      <protection locked="0"/>
    </xf>
    <xf numFmtId="0" fontId="28" fillId="0" borderId="96" xfId="0" applyFont="1" applyBorder="1" applyAlignment="1" applyProtection="1">
      <alignment horizontal="center" vertical="center" shrinkToFit="1"/>
      <protection locked="0"/>
    </xf>
    <xf numFmtId="0" fontId="28" fillId="0" borderId="97" xfId="0" applyFont="1" applyBorder="1" applyAlignment="1" applyProtection="1">
      <alignment horizontal="center" vertical="center" shrinkToFit="1"/>
      <protection locked="0"/>
    </xf>
    <xf numFmtId="0" fontId="20" fillId="4" borderId="14" xfId="0" applyFont="1" applyFill="1" applyBorder="1" applyAlignment="1" applyProtection="1">
      <alignment horizontal="left" vertical="top"/>
      <protection locked="0"/>
    </xf>
    <xf numFmtId="0" fontId="20" fillId="4" borderId="34" xfId="0" applyFont="1" applyFill="1" applyBorder="1" applyAlignment="1" applyProtection="1">
      <alignment horizontal="left" vertical="top"/>
      <protection locked="0"/>
    </xf>
    <xf numFmtId="0" fontId="24" fillId="4" borderId="36" xfId="0" applyFont="1" applyFill="1" applyBorder="1" applyAlignment="1" applyProtection="1">
      <alignment horizontal="center" vertical="center"/>
      <protection locked="0"/>
    </xf>
    <xf numFmtId="0" fontId="21" fillId="0" borderId="35" xfId="0" applyFont="1" applyBorder="1" applyAlignment="1" applyProtection="1">
      <alignment horizontal="center" vertical="center" shrinkToFit="1"/>
      <protection locked="0"/>
    </xf>
    <xf numFmtId="0" fontId="21" fillId="0" borderId="0" xfId="0" applyFont="1" applyBorder="1" applyAlignment="1" applyProtection="1">
      <alignment horizontal="center" vertical="center" shrinkToFit="1"/>
      <protection locked="0"/>
    </xf>
    <xf numFmtId="0" fontId="27" fillId="3" borderId="14" xfId="0" applyFont="1" applyFill="1" applyBorder="1" applyAlignment="1" applyProtection="1">
      <alignment horizontal="center" vertical="center" shrinkToFit="1"/>
      <protection locked="0"/>
    </xf>
    <xf numFmtId="0" fontId="27" fillId="3" borderId="34" xfId="0" applyFont="1" applyFill="1" applyBorder="1" applyAlignment="1" applyProtection="1">
      <alignment horizontal="center" vertical="center" shrinkToFit="1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7" fillId="3" borderId="37" xfId="0" applyFont="1" applyFill="1" applyBorder="1" applyAlignment="1" applyProtection="1">
      <alignment horizontal="center" vertical="center" shrinkToFit="1"/>
      <protection locked="0"/>
    </xf>
    <xf numFmtId="0" fontId="27" fillId="3" borderId="21" xfId="0" applyFont="1" applyFill="1" applyBorder="1" applyAlignment="1" applyProtection="1">
      <alignment horizontal="center" vertical="center" shrinkToFit="1"/>
      <protection locked="0"/>
    </xf>
    <xf numFmtId="0" fontId="27" fillId="3" borderId="53" xfId="0" applyFont="1" applyFill="1" applyBorder="1" applyAlignment="1" applyProtection="1">
      <alignment horizontal="center" vertical="center" shrinkToFit="1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14" fillId="6" borderId="81" xfId="0" applyFont="1" applyFill="1" applyBorder="1" applyAlignment="1" applyProtection="1">
      <alignment horizontal="left" vertical="top" wrapText="1"/>
      <protection locked="0"/>
    </xf>
    <xf numFmtId="0" fontId="14" fillId="6" borderId="81" xfId="0" applyFont="1" applyFill="1" applyBorder="1" applyAlignment="1" applyProtection="1">
      <alignment horizontal="left" vertical="top"/>
      <protection locked="0"/>
    </xf>
    <xf numFmtId="0" fontId="14" fillId="6" borderId="82" xfId="0" applyFont="1" applyFill="1" applyBorder="1" applyAlignment="1" applyProtection="1">
      <alignment horizontal="left" vertical="top"/>
      <protection locked="0"/>
    </xf>
    <xf numFmtId="0" fontId="24" fillId="4" borderId="0" xfId="0" applyFont="1" applyFill="1" applyAlignment="1" applyProtection="1">
      <alignment horizontal="center" vertical="center"/>
      <protection locked="0"/>
    </xf>
    <xf numFmtId="164" fontId="27" fillId="11" borderId="13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48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50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67" xfId="0" applyNumberFormat="1" applyFont="1" applyFill="1" applyBorder="1" applyAlignment="1" applyProtection="1">
      <alignment horizontal="left" vertical="center" shrinkToFit="1"/>
      <protection hidden="1"/>
    </xf>
    <xf numFmtId="164" fontId="27" fillId="11" borderId="57" xfId="0" applyNumberFormat="1" applyFont="1" applyFill="1" applyBorder="1" applyAlignment="1" applyProtection="1">
      <alignment horizontal="left" vertical="center" shrinkToFit="1"/>
      <protection hidden="1"/>
    </xf>
    <xf numFmtId="164" fontId="27" fillId="11" borderId="45" xfId="0" applyNumberFormat="1" applyFont="1" applyFill="1" applyBorder="1" applyAlignment="1" applyProtection="1">
      <alignment horizontal="left" vertical="center" shrinkToFit="1"/>
      <protection hidden="1"/>
    </xf>
    <xf numFmtId="164" fontId="27" fillId="11" borderId="58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90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91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92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13" xfId="0" applyNumberFormat="1" applyFont="1" applyFill="1" applyBorder="1" applyAlignment="1" applyProtection="1">
      <alignment horizontal="left" vertical="center" shrinkToFit="1"/>
      <protection hidden="1"/>
    </xf>
    <xf numFmtId="0" fontId="20" fillId="4" borderId="31" xfId="0" applyFont="1" applyFill="1" applyBorder="1" applyAlignment="1" applyProtection="1">
      <alignment horizontal="left" vertical="top"/>
      <protection locked="0"/>
    </xf>
    <xf numFmtId="164" fontId="27" fillId="8" borderId="57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45" xfId="0" applyNumberFormat="1" applyFont="1" applyFill="1" applyBorder="1" applyAlignment="1" applyProtection="1">
      <alignment horizontal="left" vertical="center" shrinkToFit="1"/>
      <protection hidden="1"/>
    </xf>
    <xf numFmtId="0" fontId="27" fillId="3" borderId="7" xfId="0" applyFont="1" applyFill="1" applyBorder="1" applyAlignment="1" applyProtection="1">
      <alignment horizontal="center" vertical="center" shrinkToFit="1"/>
      <protection locked="0"/>
    </xf>
    <xf numFmtId="0" fontId="27" fillId="3" borderId="9" xfId="0" applyFont="1" applyFill="1" applyBorder="1" applyAlignment="1" applyProtection="1">
      <alignment horizontal="center" vertical="center" shrinkToFit="1"/>
      <protection locked="0"/>
    </xf>
    <xf numFmtId="0" fontId="31" fillId="4" borderId="21" xfId="0" applyFont="1" applyFill="1" applyBorder="1" applyAlignment="1" applyProtection="1">
      <alignment horizontal="center" vertical="top"/>
      <protection locked="0"/>
    </xf>
    <xf numFmtId="0" fontId="1" fillId="4" borderId="21" xfId="0" applyFont="1" applyFill="1" applyBorder="1" applyAlignment="1" applyProtection="1">
      <alignment horizontal="center" vertical="top"/>
      <protection locked="0"/>
    </xf>
    <xf numFmtId="164" fontId="27" fillId="8" borderId="43" xfId="0" applyNumberFormat="1" applyFont="1" applyFill="1" applyBorder="1" applyAlignment="1" applyProtection="1">
      <alignment horizontal="left" vertical="center" shrinkToFit="1"/>
      <protection hidden="1"/>
    </xf>
    <xf numFmtId="164" fontId="27" fillId="8" borderId="34" xfId="0" applyNumberFormat="1" applyFont="1" applyFill="1" applyBorder="1" applyAlignment="1" applyProtection="1">
      <alignment horizontal="left" vertical="center" shrinkToFit="1"/>
      <protection hidden="1"/>
    </xf>
    <xf numFmtId="0" fontId="27" fillId="3" borderId="28" xfId="0" applyFont="1" applyFill="1" applyBorder="1" applyAlignment="1" applyProtection="1">
      <alignment horizontal="center" vertical="center" shrinkToFit="1"/>
      <protection locked="0"/>
    </xf>
    <xf numFmtId="0" fontId="27" fillId="3" borderId="17" xfId="0" applyFont="1" applyFill="1" applyBorder="1" applyAlignment="1" applyProtection="1">
      <alignment horizontal="center" vertical="center" shrinkToFit="1"/>
      <protection locked="0"/>
    </xf>
    <xf numFmtId="0" fontId="27" fillId="3" borderId="140" xfId="0" applyFont="1" applyFill="1" applyBorder="1" applyAlignment="1" applyProtection="1">
      <alignment horizontal="center" vertical="center" shrinkToFit="1"/>
      <protection locked="0"/>
    </xf>
    <xf numFmtId="0" fontId="27" fillId="3" borderId="25" xfId="0" applyFont="1" applyFill="1" applyBorder="1" applyAlignment="1" applyProtection="1">
      <alignment horizontal="center" vertical="center" shrinkToFit="1"/>
      <protection locked="0"/>
    </xf>
    <xf numFmtId="0" fontId="27" fillId="3" borderId="13" xfId="0" applyFont="1" applyFill="1" applyBorder="1" applyAlignment="1" applyProtection="1">
      <alignment horizontal="center" vertical="center" shrinkToFit="1"/>
      <protection locked="0"/>
    </xf>
    <xf numFmtId="0" fontId="27" fillId="3" borderId="95" xfId="0" applyFont="1" applyFill="1" applyBorder="1" applyAlignment="1" applyProtection="1">
      <alignment horizontal="center" vertical="center" shrinkToFit="1"/>
      <protection locked="0"/>
    </xf>
    <xf numFmtId="0" fontId="27" fillId="3" borderId="96" xfId="0" applyFont="1" applyFill="1" applyBorder="1" applyAlignment="1" applyProtection="1">
      <alignment horizontal="center" vertical="center" shrinkToFit="1"/>
      <protection locked="0"/>
    </xf>
    <xf numFmtId="0" fontId="27" fillId="3" borderId="97" xfId="0" applyFont="1" applyFill="1" applyBorder="1" applyAlignment="1" applyProtection="1">
      <alignment horizontal="center" vertical="center" shrinkToFit="1"/>
      <protection locked="0"/>
    </xf>
    <xf numFmtId="0" fontId="22" fillId="3" borderId="5" xfId="0" applyFont="1" applyFill="1" applyBorder="1" applyAlignment="1" applyProtection="1">
      <alignment vertical="center" shrinkToFit="1"/>
      <protection locked="0"/>
    </xf>
    <xf numFmtId="166" fontId="1" fillId="11" borderId="52" xfId="0" applyNumberFormat="1" applyFont="1" applyFill="1" applyBorder="1" applyAlignment="1" applyProtection="1">
      <alignment horizontal="center" shrinkToFit="1"/>
      <protection locked="0" hidden="1"/>
    </xf>
    <xf numFmtId="0" fontId="51" fillId="0" borderId="95" xfId="0" applyFont="1" applyBorder="1" applyAlignment="1" applyProtection="1">
      <alignment horizontal="center" vertical="center"/>
      <protection locked="0"/>
    </xf>
    <xf numFmtId="0" fontId="51" fillId="0" borderId="96" xfId="0" applyFont="1" applyBorder="1" applyAlignment="1" applyProtection="1">
      <alignment horizontal="center" vertical="center"/>
      <protection locked="0"/>
    </xf>
    <xf numFmtId="0" fontId="51" fillId="0" borderId="97" xfId="0" applyFont="1" applyBorder="1" applyAlignment="1" applyProtection="1">
      <alignment horizontal="center" vertical="center"/>
      <protection locked="0"/>
    </xf>
    <xf numFmtId="0" fontId="52" fillId="3" borderId="95" xfId="0" applyFont="1" applyFill="1" applyBorder="1" applyAlignment="1" applyProtection="1">
      <alignment horizontal="center" vertical="center" wrapText="1" shrinkToFit="1"/>
      <protection locked="0"/>
    </xf>
    <xf numFmtId="0" fontId="52" fillId="3" borderId="96" xfId="0" applyFont="1" applyFill="1" applyBorder="1" applyAlignment="1" applyProtection="1">
      <alignment horizontal="center" vertical="center" wrapText="1" shrinkToFit="1"/>
      <protection locked="0"/>
    </xf>
    <xf numFmtId="0" fontId="52" fillId="3" borderId="97" xfId="0" applyFont="1" applyFill="1" applyBorder="1" applyAlignment="1" applyProtection="1">
      <alignment horizontal="center" vertical="center" wrapText="1" shrinkToFit="1"/>
      <protection locked="0"/>
    </xf>
    <xf numFmtId="0" fontId="27" fillId="3" borderId="173" xfId="0" applyFont="1" applyFill="1" applyBorder="1" applyAlignment="1" applyProtection="1">
      <alignment horizontal="center" vertical="center" shrinkToFit="1"/>
      <protection locked="0"/>
    </xf>
    <xf numFmtId="0" fontId="27" fillId="3" borderId="174" xfId="0" applyFont="1" applyFill="1" applyBorder="1" applyAlignment="1" applyProtection="1">
      <alignment horizontal="center" vertical="center" shrinkToFit="1"/>
      <protection locked="0"/>
    </xf>
    <xf numFmtId="0" fontId="27" fillId="3" borderId="175" xfId="0" applyFont="1" applyFill="1" applyBorder="1" applyAlignment="1" applyProtection="1">
      <alignment horizontal="center" vertical="center" shrinkToFit="1"/>
      <protection locked="0"/>
    </xf>
    <xf numFmtId="0" fontId="27" fillId="3" borderId="97" xfId="0" applyFont="1" applyFill="1" applyBorder="1" applyAlignment="1" applyProtection="1">
      <alignment vertical="center" wrapText="1" shrinkToFit="1"/>
      <protection locked="0"/>
    </xf>
    <xf numFmtId="0" fontId="27" fillId="3" borderId="176" xfId="0" applyFont="1" applyFill="1" applyBorder="1" applyAlignment="1" applyProtection="1">
      <alignment horizontal="center" vertical="center" shrinkToFi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62" fillId="0" borderId="95" xfId="0" applyFont="1" applyBorder="1" applyAlignment="1" applyProtection="1">
      <alignment horizontal="center" vertical="center"/>
      <protection locked="0"/>
    </xf>
    <xf numFmtId="0" fontId="49" fillId="4" borderId="35" xfId="0" applyFont="1" applyFill="1" applyBorder="1" applyAlignment="1" applyProtection="1">
      <alignment horizontal="center" vertical="center" shrinkToFit="1"/>
      <protection locked="0"/>
    </xf>
    <xf numFmtId="0" fontId="49" fillId="4" borderId="37" xfId="0" applyFont="1" applyFill="1" applyBorder="1" applyAlignment="1" applyProtection="1">
      <alignment vertical="center" shrinkToFit="1"/>
      <protection locked="0"/>
    </xf>
    <xf numFmtId="0" fontId="22" fillId="3" borderId="72" xfId="0" applyFont="1" applyFill="1" applyBorder="1" applyAlignment="1" applyProtection="1">
      <alignment vertical="center" shrinkToFit="1"/>
      <protection locked="0"/>
    </xf>
    <xf numFmtId="0" fontId="22" fillId="3" borderId="178" xfId="0" applyFont="1" applyFill="1" applyBorder="1" applyAlignment="1" applyProtection="1">
      <alignment vertical="center" shrinkToFit="1"/>
      <protection locked="0"/>
    </xf>
    <xf numFmtId="0" fontId="49" fillId="4" borderId="178" xfId="0" applyFont="1" applyFill="1" applyBorder="1" applyAlignment="1" applyProtection="1">
      <alignment vertical="center" shrinkToFit="1"/>
      <protection locked="0"/>
    </xf>
    <xf numFmtId="0" fontId="49" fillId="4" borderId="73" xfId="0" applyFont="1" applyFill="1" applyBorder="1" applyAlignment="1" applyProtection="1">
      <alignment vertical="center" shrinkToFit="1"/>
      <protection locked="0"/>
    </xf>
    <xf numFmtId="0" fontId="49" fillId="4" borderId="37" xfId="0" applyFont="1" applyFill="1" applyBorder="1" applyAlignment="1" applyProtection="1">
      <alignment horizontal="center" vertical="center" shrinkToFit="1"/>
      <protection locked="0"/>
    </xf>
    <xf numFmtId="166" fontId="23" fillId="6" borderId="6" xfId="0" applyNumberFormat="1" applyFont="1" applyFill="1" applyBorder="1" applyAlignment="1" applyProtection="1">
      <alignment horizontal="center" vertical="center"/>
      <protection locked="0"/>
    </xf>
    <xf numFmtId="166" fontId="1" fillId="10" borderId="160" xfId="0" applyNumberFormat="1" applyFont="1" applyFill="1" applyBorder="1" applyAlignment="1" applyProtection="1">
      <alignment horizontal="center" wrapText="1"/>
      <protection locked="0"/>
    </xf>
    <xf numFmtId="166" fontId="1" fillId="8" borderId="60" xfId="0" applyNumberFormat="1" applyFont="1" applyFill="1" applyBorder="1" applyAlignment="1" applyProtection="1">
      <alignment horizontal="center" shrinkToFit="1"/>
      <protection locked="0" hidden="1"/>
    </xf>
    <xf numFmtId="166" fontId="1" fillId="8" borderId="60" xfId="0" applyNumberFormat="1" applyFont="1" applyFill="1" applyBorder="1" applyAlignment="1" applyProtection="1">
      <alignment horizontal="center"/>
      <protection locked="0"/>
    </xf>
    <xf numFmtId="166" fontId="1" fillId="8" borderId="128" xfId="0" applyNumberFormat="1" applyFont="1" applyFill="1" applyBorder="1" applyAlignment="1" applyProtection="1">
      <alignment horizontal="center"/>
      <protection locked="0"/>
    </xf>
    <xf numFmtId="166" fontId="14" fillId="9" borderId="49" xfId="0" applyNumberFormat="1" applyFont="1" applyFill="1" applyBorder="1" applyAlignment="1" applyProtection="1">
      <alignment horizontal="center" vertical="center"/>
      <protection hidden="1"/>
    </xf>
    <xf numFmtId="166" fontId="14" fillId="9" borderId="167" xfId="0" applyNumberFormat="1" applyFont="1" applyFill="1" applyBorder="1" applyAlignment="1" applyProtection="1">
      <alignment horizontal="center" vertical="center"/>
      <protection hidden="1"/>
    </xf>
    <xf numFmtId="166" fontId="14" fillId="9" borderId="61" xfId="0" applyNumberFormat="1" applyFont="1" applyFill="1" applyBorder="1" applyAlignment="1" applyProtection="1">
      <alignment horizontal="center" vertical="center"/>
      <protection hidden="1"/>
    </xf>
    <xf numFmtId="166" fontId="14" fillId="9" borderId="161" xfId="0" applyNumberFormat="1" applyFont="1" applyFill="1" applyBorder="1" applyAlignment="1" applyProtection="1">
      <alignment horizontal="center" vertical="center"/>
      <protection hidden="1"/>
    </xf>
    <xf numFmtId="166" fontId="1" fillId="0" borderId="155" xfId="0" applyNumberFormat="1" applyFont="1" applyBorder="1" applyAlignment="1" applyProtection="1">
      <alignment horizontal="center"/>
      <protection locked="0"/>
    </xf>
    <xf numFmtId="166" fontId="1" fillId="5" borderId="52" xfId="0" applyNumberFormat="1" applyFont="1" applyFill="1" applyBorder="1" applyAlignment="1" applyProtection="1">
      <alignment horizontal="center"/>
      <protection locked="0"/>
    </xf>
    <xf numFmtId="166" fontId="1" fillId="5" borderId="69" xfId="0" applyNumberFormat="1" applyFont="1" applyFill="1" applyBorder="1" applyAlignment="1" applyProtection="1">
      <alignment horizontal="center"/>
      <protection locked="0"/>
    </xf>
    <xf numFmtId="166" fontId="1" fillId="0" borderId="51" xfId="0" applyNumberFormat="1" applyFont="1" applyBorder="1" applyAlignment="1" applyProtection="1">
      <alignment horizontal="center"/>
      <protection locked="0"/>
    </xf>
    <xf numFmtId="166" fontId="14" fillId="9" borderId="177" xfId="0" applyNumberFormat="1" applyFont="1" applyFill="1" applyBorder="1" applyAlignment="1" applyProtection="1">
      <alignment horizontal="center" vertical="center"/>
      <protection hidden="1"/>
    </xf>
    <xf numFmtId="166" fontId="1" fillId="10" borderId="155" xfId="0" applyNumberFormat="1" applyFont="1" applyFill="1" applyBorder="1" applyAlignment="1" applyProtection="1">
      <alignment horizontal="center"/>
      <protection locked="0"/>
    </xf>
    <xf numFmtId="166" fontId="1" fillId="8" borderId="52" xfId="0" applyNumberFormat="1" applyFont="1" applyFill="1" applyBorder="1" applyAlignment="1" applyProtection="1">
      <alignment horizontal="center" shrinkToFit="1"/>
      <protection locked="0" hidden="1"/>
    </xf>
    <xf numFmtId="166" fontId="1" fillId="8" borderId="52" xfId="0" applyNumberFormat="1" applyFont="1" applyFill="1" applyBorder="1" applyAlignment="1" applyProtection="1">
      <alignment horizontal="center"/>
      <protection locked="0"/>
    </xf>
    <xf numFmtId="166" fontId="1" fillId="10" borderId="69" xfId="0" applyNumberFormat="1" applyFont="1" applyFill="1" applyBorder="1" applyAlignment="1" applyProtection="1">
      <alignment horizontal="center"/>
      <protection locked="0"/>
    </xf>
    <xf numFmtId="166" fontId="1" fillId="10" borderId="51" xfId="0" applyNumberFormat="1" applyFont="1" applyFill="1" applyBorder="1" applyAlignment="1" applyProtection="1">
      <alignment horizontal="center"/>
      <protection locked="0"/>
    </xf>
    <xf numFmtId="166" fontId="1" fillId="10" borderId="52" xfId="0" applyNumberFormat="1" applyFont="1" applyFill="1" applyBorder="1" applyAlignment="1" applyProtection="1">
      <alignment horizontal="center"/>
      <protection locked="0"/>
    </xf>
    <xf numFmtId="166" fontId="1" fillId="3" borderId="52" xfId="0" applyNumberFormat="1" applyFont="1" applyFill="1" applyBorder="1" applyAlignment="1" applyProtection="1">
      <alignment horizontal="center"/>
      <protection locked="0"/>
    </xf>
    <xf numFmtId="166" fontId="1" fillId="3" borderId="69" xfId="0" applyNumberFormat="1" applyFont="1" applyFill="1" applyBorder="1" applyAlignment="1" applyProtection="1">
      <alignment horizontal="center"/>
      <protection locked="0"/>
    </xf>
    <xf numFmtId="166" fontId="1" fillId="8" borderId="155" xfId="0" applyNumberFormat="1" applyFont="1" applyFill="1" applyBorder="1" applyAlignment="1" applyProtection="1">
      <alignment horizontal="center" shrinkToFit="1"/>
      <protection locked="0" hidden="1"/>
    </xf>
    <xf numFmtId="166" fontId="1" fillId="8" borderId="51" xfId="0" applyNumberFormat="1" applyFont="1" applyFill="1" applyBorder="1" applyAlignment="1" applyProtection="1">
      <alignment horizontal="center" shrinkToFit="1"/>
      <protection locked="0" hidden="1"/>
    </xf>
    <xf numFmtId="166" fontId="1" fillId="11" borderId="155" xfId="0" applyNumberFormat="1" applyFont="1" applyFill="1" applyBorder="1" applyAlignment="1" applyProtection="1">
      <alignment horizontal="center" shrinkToFit="1"/>
      <protection locked="0" hidden="1"/>
    </xf>
    <xf numFmtId="166" fontId="1" fillId="11" borderId="51" xfId="0" applyNumberFormat="1" applyFont="1" applyFill="1" applyBorder="1" applyAlignment="1" applyProtection="1">
      <alignment horizontal="center" shrinkToFit="1"/>
      <protection locked="0" hidden="1"/>
    </xf>
    <xf numFmtId="166" fontId="1" fillId="11" borderId="163" xfId="0" applyNumberFormat="1" applyFont="1" applyFill="1" applyBorder="1" applyAlignment="1" applyProtection="1">
      <alignment horizontal="center" shrinkToFit="1"/>
      <protection locked="0" hidden="1"/>
    </xf>
    <xf numFmtId="166" fontId="1" fillId="11" borderId="164" xfId="0" applyNumberFormat="1" applyFont="1" applyFill="1" applyBorder="1" applyAlignment="1" applyProtection="1">
      <alignment horizontal="center" shrinkToFit="1"/>
      <protection locked="0" hidden="1"/>
    </xf>
    <xf numFmtId="166" fontId="1" fillId="5" borderId="164" xfId="0" applyNumberFormat="1" applyFont="1" applyFill="1" applyBorder="1" applyAlignment="1" applyProtection="1">
      <alignment horizontal="center"/>
      <protection locked="0"/>
    </xf>
    <xf numFmtId="166" fontId="1" fillId="5" borderId="165" xfId="0" applyNumberFormat="1" applyFont="1" applyFill="1" applyBorder="1" applyAlignment="1" applyProtection="1">
      <alignment horizontal="center"/>
      <protection locked="0"/>
    </xf>
    <xf numFmtId="166" fontId="14" fillId="9" borderId="102" xfId="0" applyNumberFormat="1" applyFont="1" applyFill="1" applyBorder="1" applyAlignment="1" applyProtection="1">
      <alignment horizontal="center" vertical="center"/>
      <protection hidden="1"/>
    </xf>
    <xf numFmtId="166" fontId="1" fillId="11" borderId="166" xfId="0" applyNumberFormat="1" applyFont="1" applyFill="1" applyBorder="1" applyAlignment="1" applyProtection="1">
      <alignment horizontal="center" shrinkToFit="1"/>
      <protection locked="0" hidden="1"/>
    </xf>
    <xf numFmtId="166" fontId="14" fillId="9" borderId="168" xfId="0" applyNumberFormat="1" applyFont="1" applyFill="1" applyBorder="1" applyAlignment="1" applyProtection="1">
      <alignment horizontal="center" vertical="center"/>
      <protection hidden="1"/>
    </xf>
    <xf numFmtId="166" fontId="14" fillId="9" borderId="179" xfId="0" applyNumberFormat="1" applyFont="1" applyFill="1" applyBorder="1" applyAlignment="1" applyProtection="1">
      <alignment horizontal="center" vertical="center"/>
      <protection hidden="1"/>
    </xf>
    <xf numFmtId="166" fontId="14" fillId="9" borderId="127" xfId="0" applyNumberFormat="1" applyFont="1" applyFill="1" applyBorder="1" applyAlignment="1" applyProtection="1">
      <alignment horizontal="center" vertical="center"/>
      <protection hidden="1"/>
    </xf>
    <xf numFmtId="166" fontId="2" fillId="0" borderId="5" xfId="0" applyNumberFormat="1" applyFont="1" applyBorder="1" applyAlignment="1" applyProtection="1">
      <alignment horizontal="center" vertical="center"/>
    </xf>
    <xf numFmtId="1" fontId="30" fillId="5" borderId="6" xfId="0" applyNumberFormat="1" applyFont="1" applyFill="1" applyBorder="1" applyAlignment="1" applyProtection="1">
      <alignment horizontal="center" vertical="center"/>
      <protection locked="0"/>
    </xf>
    <xf numFmtId="1" fontId="30" fillId="5" borderId="180" xfId="0" applyNumberFormat="1" applyFont="1" applyFill="1" applyBorder="1" applyAlignment="1" applyProtection="1">
      <alignment horizontal="center" vertical="center"/>
      <protection locked="0"/>
    </xf>
    <xf numFmtId="0" fontId="50" fillId="12" borderId="124" xfId="3" applyFont="1" applyBorder="1" applyAlignment="1" applyProtection="1">
      <alignment horizontal="center" vertical="center" shrinkToFit="1"/>
      <protection locked="0"/>
    </xf>
    <xf numFmtId="1" fontId="30" fillId="5" borderId="5" xfId="0" applyNumberFormat="1" applyFont="1" applyFill="1" applyBorder="1" applyAlignment="1" applyProtection="1">
      <alignment horizontal="center" vertical="center"/>
      <protection locked="0"/>
    </xf>
    <xf numFmtId="1" fontId="30" fillId="5" borderId="181" xfId="0" applyNumberFormat="1" applyFont="1" applyFill="1" applyBorder="1" applyAlignment="1" applyProtection="1">
      <alignment horizontal="center" vertical="center"/>
      <protection locked="0"/>
    </xf>
    <xf numFmtId="1" fontId="50" fillId="12" borderId="15" xfId="3" applyNumberFormat="1" applyFont="1" applyBorder="1" applyAlignment="1" applyProtection="1">
      <alignment horizontal="center" vertical="center"/>
      <protection locked="0"/>
    </xf>
    <xf numFmtId="1" fontId="48" fillId="12" borderId="126" xfId="3" applyNumberFormat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66" fontId="23" fillId="6" borderId="13" xfId="0" applyNumberFormat="1" applyFont="1" applyFill="1" applyBorder="1" applyAlignment="1" applyProtection="1">
      <alignment horizontal="center" vertical="center"/>
      <protection hidden="1"/>
    </xf>
    <xf numFmtId="166" fontId="23" fillId="6" borderId="9" xfId="0" applyNumberFormat="1" applyFont="1" applyFill="1" applyBorder="1" applyAlignment="1" applyProtection="1">
      <alignment horizontal="center" vertical="center"/>
      <protection locked="0"/>
    </xf>
    <xf numFmtId="166" fontId="23" fillId="6" borderId="6" xfId="0" applyNumberFormat="1" applyFont="1" applyFill="1" applyBorder="1" applyAlignment="1" applyProtection="1">
      <alignment horizontal="center" vertical="center"/>
    </xf>
    <xf numFmtId="166" fontId="23" fillId="6" borderId="7" xfId="0" applyNumberFormat="1" applyFont="1" applyFill="1" applyBorder="1" applyAlignment="1" applyProtection="1">
      <alignment horizontal="center" vertical="center"/>
      <protection locked="0"/>
    </xf>
    <xf numFmtId="166" fontId="23" fillId="6" borderId="114" xfId="0" applyNumberFormat="1" applyFont="1" applyFill="1" applyBorder="1" applyAlignment="1" applyProtection="1">
      <alignment horizontal="center" vertical="center"/>
    </xf>
    <xf numFmtId="166" fontId="1" fillId="8" borderId="152" xfId="0" applyNumberFormat="1" applyFont="1" applyFill="1" applyBorder="1" applyAlignment="1" applyProtection="1">
      <alignment horizontal="center" vertical="center"/>
      <protection locked="0"/>
    </xf>
    <xf numFmtId="166" fontId="1" fillId="8" borderId="47" xfId="0" applyNumberFormat="1" applyFont="1" applyFill="1" applyBorder="1" applyAlignment="1" applyProtection="1">
      <alignment horizontal="center" vertical="center"/>
      <protection locked="0"/>
    </xf>
    <xf numFmtId="166" fontId="1" fillId="8" borderId="48" xfId="0" applyNumberFormat="1" applyFont="1" applyFill="1" applyBorder="1" applyAlignment="1" applyProtection="1">
      <alignment horizontal="center" vertical="center"/>
      <protection locked="0"/>
    </xf>
    <xf numFmtId="166" fontId="1" fillId="8" borderId="46" xfId="0" applyNumberFormat="1" applyFont="1" applyFill="1" applyBorder="1" applyAlignment="1" applyProtection="1">
      <alignment horizontal="center" vertical="center"/>
      <protection locked="0"/>
    </xf>
    <xf numFmtId="166" fontId="14" fillId="9" borderId="153" xfId="0" applyNumberFormat="1" applyFont="1" applyFill="1" applyBorder="1" applyAlignment="1" applyProtection="1">
      <alignment horizontal="center" vertical="center"/>
      <protection hidden="1"/>
    </xf>
    <xf numFmtId="166" fontId="1" fillId="8" borderId="149" xfId="0" applyNumberFormat="1" applyFont="1" applyFill="1" applyBorder="1" applyAlignment="1" applyProtection="1">
      <alignment horizontal="center" vertical="center"/>
      <protection locked="0"/>
    </xf>
    <xf numFmtId="166" fontId="1" fillId="8" borderId="60" xfId="0" applyNumberFormat="1" applyFont="1" applyFill="1" applyBorder="1" applyAlignment="1" applyProtection="1">
      <alignment horizontal="center" vertical="center"/>
      <protection locked="0"/>
    </xf>
    <xf numFmtId="166" fontId="1" fillId="8" borderId="59" xfId="0" applyNumberFormat="1" applyFont="1" applyFill="1" applyBorder="1" applyAlignment="1" applyProtection="1">
      <alignment horizontal="center" vertical="center"/>
      <protection locked="0"/>
    </xf>
    <xf numFmtId="166" fontId="1" fillId="5" borderId="154" xfId="0" applyNumberFormat="1" applyFont="1" applyFill="1" applyBorder="1" applyAlignment="1" applyProtection="1">
      <alignment horizontal="center" vertical="center"/>
      <protection locked="0"/>
    </xf>
    <xf numFmtId="166" fontId="1" fillId="5" borderId="63" xfId="0" applyNumberFormat="1" applyFont="1" applyFill="1" applyBorder="1" applyAlignment="1" applyProtection="1">
      <alignment horizontal="center" vertical="center"/>
      <protection locked="0"/>
    </xf>
    <xf numFmtId="166" fontId="1" fillId="5" borderId="64" xfId="0" applyNumberFormat="1" applyFont="1" applyFill="1" applyBorder="1" applyAlignment="1" applyProtection="1">
      <alignment horizontal="center" vertical="center"/>
      <protection locked="0"/>
    </xf>
    <xf numFmtId="166" fontId="1" fillId="5" borderId="62" xfId="0" applyNumberFormat="1" applyFont="1" applyFill="1" applyBorder="1" applyAlignment="1" applyProtection="1">
      <alignment horizontal="center" vertical="center"/>
      <protection locked="0"/>
    </xf>
    <xf numFmtId="166" fontId="1" fillId="5" borderId="150" xfId="0" applyNumberFormat="1" applyFont="1" applyFill="1" applyBorder="1" applyAlignment="1" applyProtection="1">
      <alignment horizontal="center" vertical="center"/>
      <protection locked="0"/>
    </xf>
    <xf numFmtId="166" fontId="1" fillId="8" borderId="155" xfId="0" applyNumberFormat="1" applyFont="1" applyFill="1" applyBorder="1" applyAlignment="1" applyProtection="1">
      <alignment horizontal="center" vertical="center"/>
      <protection locked="0"/>
    </xf>
    <xf numFmtId="166" fontId="1" fillId="10" borderId="52" xfId="0" applyNumberFormat="1" applyFont="1" applyFill="1" applyBorder="1" applyAlignment="1" applyProtection="1">
      <alignment horizontal="center" vertical="center"/>
      <protection locked="0"/>
    </xf>
    <xf numFmtId="166" fontId="1" fillId="10" borderId="44" xfId="0" applyNumberFormat="1" applyFont="1" applyFill="1" applyBorder="1" applyAlignment="1" applyProtection="1">
      <alignment horizontal="center" vertical="center"/>
      <protection locked="0"/>
    </xf>
    <xf numFmtId="166" fontId="1" fillId="8" borderId="51" xfId="0" applyNumberFormat="1" applyFont="1" applyFill="1" applyBorder="1" applyAlignment="1" applyProtection="1">
      <alignment horizontal="center" vertical="center"/>
      <protection locked="0"/>
    </xf>
    <xf numFmtId="166" fontId="1" fillId="8" borderId="151" xfId="0" applyNumberFormat="1" applyFont="1" applyFill="1" applyBorder="1" applyAlignment="1" applyProtection="1">
      <alignment horizontal="center" vertical="center"/>
      <protection locked="0"/>
    </xf>
    <xf numFmtId="166" fontId="1" fillId="5" borderId="155" xfId="0" applyNumberFormat="1" applyFont="1" applyFill="1" applyBorder="1" applyAlignment="1" applyProtection="1">
      <alignment horizontal="center" vertical="center"/>
      <protection locked="0"/>
    </xf>
    <xf numFmtId="166" fontId="1" fillId="5" borderId="52" xfId="0" applyNumberFormat="1" applyFont="1" applyFill="1" applyBorder="1" applyAlignment="1" applyProtection="1">
      <alignment horizontal="center" vertical="center"/>
      <protection locked="0"/>
    </xf>
    <xf numFmtId="166" fontId="1" fillId="5" borderId="44" xfId="0" applyNumberFormat="1" applyFont="1" applyFill="1" applyBorder="1" applyAlignment="1" applyProtection="1">
      <alignment horizontal="center" vertical="center"/>
      <protection locked="0"/>
    </xf>
    <xf numFmtId="166" fontId="1" fillId="5" borderId="51" xfId="0" applyNumberFormat="1" applyFont="1" applyFill="1" applyBorder="1" applyAlignment="1" applyProtection="1">
      <alignment horizontal="center" vertical="center"/>
      <protection locked="0"/>
    </xf>
    <xf numFmtId="166" fontId="1" fillId="5" borderId="151" xfId="0" applyNumberFormat="1" applyFont="1" applyFill="1" applyBorder="1" applyAlignment="1" applyProtection="1">
      <alignment horizontal="center" vertical="center"/>
      <protection locked="0"/>
    </xf>
    <xf numFmtId="166" fontId="1" fillId="0" borderId="52" xfId="0" applyNumberFormat="1" applyFont="1" applyBorder="1" applyAlignment="1" applyProtection="1">
      <alignment horizontal="center" vertical="center"/>
      <protection locked="0"/>
    </xf>
    <xf numFmtId="166" fontId="1" fillId="10" borderId="155" xfId="0" applyNumberFormat="1" applyFont="1" applyFill="1" applyBorder="1" applyAlignment="1" applyProtection="1">
      <alignment horizontal="center" vertical="center"/>
      <protection locked="0"/>
    </xf>
    <xf numFmtId="166" fontId="1" fillId="10" borderId="51" xfId="0" applyNumberFormat="1" applyFont="1" applyFill="1" applyBorder="1" applyAlignment="1" applyProtection="1">
      <alignment horizontal="center" vertical="center"/>
      <protection locked="0"/>
    </xf>
    <xf numFmtId="166" fontId="1" fillId="10" borderId="151" xfId="0" applyNumberFormat="1" applyFont="1" applyFill="1" applyBorder="1" applyAlignment="1" applyProtection="1">
      <alignment horizontal="center" vertical="center"/>
      <protection locked="0"/>
    </xf>
    <xf numFmtId="166" fontId="1" fillId="3" borderId="155" xfId="0" applyNumberFormat="1" applyFont="1" applyFill="1" applyBorder="1" applyAlignment="1" applyProtection="1">
      <alignment horizontal="center" vertical="center"/>
      <protection locked="0"/>
    </xf>
    <xf numFmtId="166" fontId="1" fillId="3" borderId="52" xfId="0" applyNumberFormat="1" applyFont="1" applyFill="1" applyBorder="1" applyAlignment="1" applyProtection="1">
      <alignment horizontal="center" vertical="center"/>
      <protection locked="0"/>
    </xf>
    <xf numFmtId="166" fontId="1" fillId="3" borderId="44" xfId="0" applyNumberFormat="1" applyFont="1" applyFill="1" applyBorder="1" applyAlignment="1" applyProtection="1">
      <alignment horizontal="center" vertical="center"/>
      <protection locked="0"/>
    </xf>
    <xf numFmtId="166" fontId="1" fillId="3" borderId="51" xfId="0" applyNumberFormat="1" applyFont="1" applyFill="1" applyBorder="1" applyAlignment="1" applyProtection="1">
      <alignment horizontal="center" vertical="center"/>
      <protection locked="0"/>
    </xf>
    <xf numFmtId="166" fontId="1" fillId="3" borderId="151" xfId="0" applyNumberFormat="1" applyFont="1" applyFill="1" applyBorder="1" applyAlignment="1" applyProtection="1">
      <alignment horizontal="center" vertical="center"/>
      <protection locked="0"/>
    </xf>
    <xf numFmtId="166" fontId="1" fillId="10" borderId="154" xfId="0" applyNumberFormat="1" applyFont="1" applyFill="1" applyBorder="1" applyAlignment="1" applyProtection="1">
      <alignment horizontal="center" vertical="center"/>
      <protection locked="0"/>
    </xf>
    <xf numFmtId="166" fontId="1" fillId="10" borderId="63" xfId="0" applyNumberFormat="1" applyFont="1" applyFill="1" applyBorder="1" applyAlignment="1" applyProtection="1">
      <alignment horizontal="center" vertical="center"/>
      <protection locked="0"/>
    </xf>
    <xf numFmtId="166" fontId="1" fillId="10" borderId="62" xfId="0" applyNumberFormat="1" applyFont="1" applyFill="1" applyBorder="1" applyAlignment="1" applyProtection="1">
      <alignment horizontal="center" vertical="center"/>
      <protection locked="0"/>
    </xf>
    <xf numFmtId="166" fontId="1" fillId="10" borderId="150" xfId="0" applyNumberFormat="1" applyFont="1" applyFill="1" applyBorder="1" applyAlignment="1" applyProtection="1">
      <alignment horizontal="center" vertical="center"/>
      <protection locked="0"/>
    </xf>
    <xf numFmtId="166" fontId="22" fillId="5" borderId="156" xfId="0" applyNumberFormat="1" applyFont="1" applyFill="1" applyBorder="1" applyAlignment="1" applyProtection="1">
      <alignment horizontal="center" vertical="center"/>
      <protection locked="0"/>
    </xf>
    <xf numFmtId="166" fontId="22" fillId="5" borderId="157" xfId="0" applyNumberFormat="1" applyFont="1" applyFill="1" applyBorder="1" applyAlignment="1" applyProtection="1">
      <alignment horizontal="center" vertical="center"/>
      <protection locked="0"/>
    </xf>
    <xf numFmtId="166" fontId="14" fillId="9" borderId="158" xfId="0" applyNumberFormat="1" applyFont="1" applyFill="1" applyBorder="1" applyAlignment="1" applyProtection="1">
      <alignment horizontal="center" vertical="center"/>
      <protection hidden="1"/>
    </xf>
    <xf numFmtId="166" fontId="22" fillId="5" borderId="159" xfId="0" applyNumberFormat="1" applyFont="1" applyFill="1" applyBorder="1" applyAlignment="1" applyProtection="1">
      <alignment horizontal="center" vertical="center"/>
      <protection locked="0"/>
    </xf>
    <xf numFmtId="166" fontId="22" fillId="5" borderId="42" xfId="0" applyNumberFormat="1" applyFont="1" applyFill="1" applyBorder="1" applyAlignment="1" applyProtection="1">
      <alignment horizontal="center" vertical="center"/>
      <protection locked="0"/>
    </xf>
    <xf numFmtId="166" fontId="14" fillId="9" borderId="8" xfId="0" applyNumberFormat="1" applyFont="1" applyFill="1" applyBorder="1" applyAlignment="1" applyProtection="1">
      <alignment horizontal="center" vertical="center"/>
      <protection hidden="1"/>
    </xf>
    <xf numFmtId="166" fontId="14" fillId="9" borderId="110" xfId="0" applyNumberFormat="1" applyFont="1" applyFill="1" applyBorder="1" applyAlignment="1" applyProtection="1">
      <alignment horizontal="center" vertical="center"/>
      <protection hidden="1"/>
    </xf>
    <xf numFmtId="166" fontId="22" fillId="5" borderId="162" xfId="0" applyNumberFormat="1" applyFont="1" applyFill="1" applyBorder="1" applyAlignment="1" applyProtection="1">
      <alignment horizontal="center" vertical="center"/>
      <protection locked="0"/>
    </xf>
    <xf numFmtId="1" fontId="30" fillId="5" borderId="43" xfId="0" applyNumberFormat="1" applyFont="1" applyFill="1" applyBorder="1" applyAlignment="1" applyProtection="1">
      <alignment horizontal="center" vertical="center"/>
      <protection locked="0"/>
    </xf>
    <xf numFmtId="0" fontId="48" fillId="12" borderId="21" xfId="3" applyBorder="1" applyAlignment="1" applyProtection="1">
      <alignment horizontal="center" vertical="center" shrinkToFit="1"/>
      <protection locked="0"/>
    </xf>
    <xf numFmtId="166" fontId="23" fillId="6" borderId="7" xfId="0" applyNumberFormat="1" applyFont="1" applyFill="1" applyBorder="1" applyAlignment="1" applyProtection="1">
      <alignment horizontal="center" vertical="center"/>
    </xf>
    <xf numFmtId="166" fontId="38" fillId="10" borderId="72" xfId="0" applyNumberFormat="1" applyFont="1" applyFill="1" applyBorder="1" applyAlignment="1" applyProtection="1">
      <alignment horizontal="center" vertical="center" wrapText="1"/>
    </xf>
    <xf numFmtId="166" fontId="38" fillId="10" borderId="139" xfId="0" applyNumberFormat="1" applyFont="1" applyFill="1" applyBorder="1" applyAlignment="1" applyProtection="1">
      <alignment horizontal="center" vertical="center" wrapText="1"/>
    </xf>
    <xf numFmtId="166" fontId="38" fillId="10" borderId="140" xfId="0" applyNumberFormat="1" applyFont="1" applyFill="1" applyBorder="1" applyAlignment="1" applyProtection="1">
      <alignment horizontal="center" vertical="center" wrapText="1"/>
    </xf>
    <xf numFmtId="166" fontId="38" fillId="10" borderId="72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28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140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76" xfId="0" applyNumberFormat="1" applyFont="1" applyFill="1" applyBorder="1" applyAlignment="1" applyProtection="1">
      <alignment horizontal="center" vertical="center" wrapText="1"/>
    </xf>
    <xf numFmtId="166" fontId="38" fillId="10" borderId="75" xfId="0" applyNumberFormat="1" applyFont="1" applyFill="1" applyBorder="1" applyAlignment="1" applyProtection="1">
      <alignment horizontal="center" vertical="center" wrapText="1"/>
    </xf>
    <xf numFmtId="166" fontId="38" fillId="10" borderId="135" xfId="0" applyNumberFormat="1" applyFont="1" applyFill="1" applyBorder="1" applyAlignment="1" applyProtection="1">
      <alignment horizontal="center" vertical="center" wrapText="1"/>
    </xf>
    <xf numFmtId="166" fontId="38" fillId="10" borderId="145" xfId="0" applyNumberFormat="1" applyFont="1" applyFill="1" applyBorder="1" applyAlignment="1" applyProtection="1">
      <alignment horizontal="center" vertical="center" wrapText="1"/>
    </xf>
    <xf numFmtId="166" fontId="38" fillId="10" borderId="79" xfId="0" applyNumberFormat="1" applyFont="1" applyFill="1" applyBorder="1" applyAlignment="1" applyProtection="1">
      <alignment horizontal="center" vertical="center" wrapText="1"/>
    </xf>
    <xf numFmtId="166" fontId="38" fillId="0" borderId="11" xfId="0" applyNumberFormat="1" applyFont="1" applyBorder="1" applyAlignment="1" applyProtection="1">
      <alignment horizontal="center" vertical="center"/>
    </xf>
    <xf numFmtId="166" fontId="38" fillId="0" borderId="7" xfId="0" applyNumberFormat="1" applyFont="1" applyBorder="1" applyAlignment="1" applyProtection="1">
      <alignment horizontal="center" vertical="center"/>
    </xf>
    <xf numFmtId="166" fontId="38" fillId="0" borderId="26" xfId="0" applyNumberFormat="1" applyFont="1" applyBorder="1" applyAlignment="1" applyProtection="1">
      <alignment horizontal="center" vertical="center"/>
    </xf>
    <xf numFmtId="166" fontId="38" fillId="0" borderId="11" xfId="0" applyNumberFormat="1" applyFont="1" applyBorder="1" applyAlignment="1" applyProtection="1">
      <alignment horizontal="center" vertical="center" wrapText="1"/>
    </xf>
    <xf numFmtId="166" fontId="38" fillId="0" borderId="11" xfId="0" applyNumberFormat="1" applyFont="1" applyBorder="1" applyAlignment="1" applyProtection="1">
      <alignment horizontal="center" vertical="center" wrapText="1"/>
      <protection locked="0"/>
    </xf>
    <xf numFmtId="166" fontId="38" fillId="0" borderId="25" xfId="0" applyNumberFormat="1" applyFont="1" applyBorder="1" applyAlignment="1" applyProtection="1">
      <alignment horizontal="center" vertical="center" wrapText="1"/>
      <protection locked="0"/>
    </xf>
    <xf numFmtId="166" fontId="38" fillId="0" borderId="26" xfId="0" applyNumberFormat="1" applyFont="1" applyBorder="1" applyAlignment="1" applyProtection="1">
      <alignment horizontal="center" vertical="center" wrapText="1"/>
      <protection locked="0"/>
    </xf>
    <xf numFmtId="166" fontId="38" fillId="0" borderId="84" xfId="0" applyNumberFormat="1" applyFont="1" applyBorder="1" applyAlignment="1" applyProtection="1">
      <alignment horizontal="center" vertical="center" wrapText="1"/>
    </xf>
    <xf numFmtId="166" fontId="38" fillId="0" borderId="32" xfId="0" applyNumberFormat="1" applyFont="1" applyBorder="1" applyAlignment="1" applyProtection="1">
      <alignment horizontal="center" vertical="center" wrapText="1"/>
    </xf>
    <xf numFmtId="166" fontId="38" fillId="0" borderId="30" xfId="0" applyNumberFormat="1" applyFont="1" applyBorder="1" applyAlignment="1" applyProtection="1">
      <alignment horizontal="center" vertical="center" wrapText="1"/>
    </xf>
    <xf numFmtId="166" fontId="38" fillId="0" borderId="137" xfId="0" applyNumberFormat="1" applyFont="1" applyBorder="1" applyAlignment="1" applyProtection="1">
      <alignment horizontal="center" vertical="center" wrapText="1"/>
    </xf>
    <xf numFmtId="166" fontId="38" fillId="0" borderId="80" xfId="0" applyNumberFormat="1" applyFont="1" applyBorder="1" applyAlignment="1" applyProtection="1">
      <alignment horizontal="center" vertical="center" wrapText="1"/>
    </xf>
    <xf numFmtId="166" fontId="38" fillId="10" borderId="11" xfId="0" applyNumberFormat="1" applyFont="1" applyFill="1" applyBorder="1" applyAlignment="1" applyProtection="1">
      <alignment horizontal="center" vertical="center"/>
    </xf>
    <xf numFmtId="166" fontId="38" fillId="10" borderId="7" xfId="0" applyNumberFormat="1" applyFont="1" applyFill="1" applyBorder="1" applyAlignment="1" applyProtection="1">
      <alignment horizontal="center" vertical="center"/>
    </xf>
    <xf numFmtId="166" fontId="38" fillId="10" borderId="26" xfId="0" applyNumberFormat="1" applyFont="1" applyFill="1" applyBorder="1" applyAlignment="1" applyProtection="1">
      <alignment horizontal="center" vertical="center"/>
    </xf>
    <xf numFmtId="166" fontId="38" fillId="10" borderId="11" xfId="0" applyNumberFormat="1" applyFont="1" applyFill="1" applyBorder="1" applyAlignment="1" applyProtection="1">
      <alignment horizontal="center" vertical="center" wrapText="1"/>
    </xf>
    <xf numFmtId="166" fontId="38" fillId="10" borderId="11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25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26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84" xfId="0" applyNumberFormat="1" applyFont="1" applyFill="1" applyBorder="1" applyAlignment="1" applyProtection="1">
      <alignment horizontal="center" vertical="center" wrapText="1"/>
    </xf>
    <xf numFmtId="166" fontId="38" fillId="10" borderId="32" xfId="0" applyNumberFormat="1" applyFont="1" applyFill="1" applyBorder="1" applyAlignment="1" applyProtection="1">
      <alignment horizontal="center" vertical="center" wrapText="1"/>
    </xf>
    <xf numFmtId="166" fontId="38" fillId="10" borderId="30" xfId="0" applyNumberFormat="1" applyFont="1" applyFill="1" applyBorder="1" applyAlignment="1" applyProtection="1">
      <alignment horizontal="center" vertical="center" wrapText="1"/>
    </xf>
    <xf numFmtId="166" fontId="38" fillId="10" borderId="137" xfId="0" applyNumberFormat="1" applyFont="1" applyFill="1" applyBorder="1" applyAlignment="1" applyProtection="1">
      <alignment horizontal="center" vertical="center" wrapText="1"/>
    </xf>
    <xf numFmtId="166" fontId="38" fillId="10" borderId="80" xfId="0" applyNumberFormat="1" applyFont="1" applyFill="1" applyBorder="1" applyAlignment="1" applyProtection="1">
      <alignment horizontal="center" vertical="center" wrapText="1"/>
    </xf>
    <xf numFmtId="166" fontId="38" fillId="10" borderId="109" xfId="0" applyNumberFormat="1" applyFont="1" applyFill="1" applyBorder="1" applyAlignment="1" applyProtection="1">
      <alignment horizontal="center" vertical="center"/>
    </xf>
    <xf numFmtId="166" fontId="38" fillId="10" borderId="109" xfId="0" applyNumberFormat="1" applyFont="1" applyFill="1" applyBorder="1" applyAlignment="1" applyProtection="1">
      <alignment horizontal="center" vertical="center" wrapText="1"/>
    </xf>
    <xf numFmtId="166" fontId="38" fillId="10" borderId="109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171" xfId="0" applyNumberFormat="1" applyFont="1" applyFill="1" applyBorder="1" applyAlignment="1" applyProtection="1">
      <alignment horizontal="center" vertical="center" wrapText="1"/>
    </xf>
    <xf numFmtId="166" fontId="38" fillId="10" borderId="172" xfId="0" applyNumberFormat="1" applyFont="1" applyFill="1" applyBorder="1" applyAlignment="1" applyProtection="1">
      <alignment horizontal="center" vertical="center" wrapText="1"/>
    </xf>
    <xf numFmtId="166" fontId="38" fillId="10" borderId="133" xfId="0" applyNumberFormat="1" applyFont="1" applyFill="1" applyBorder="1" applyAlignment="1" applyProtection="1">
      <alignment horizontal="center" vertical="center" wrapText="1"/>
    </xf>
    <xf numFmtId="166" fontId="38" fillId="10" borderId="146" xfId="0" applyNumberFormat="1" applyFont="1" applyFill="1" applyBorder="1" applyAlignment="1" applyProtection="1">
      <alignment horizontal="center" vertical="center" wrapText="1"/>
    </xf>
    <xf numFmtId="166" fontId="38" fillId="10" borderId="134" xfId="0" applyNumberFormat="1" applyFont="1" applyFill="1" applyBorder="1" applyAlignment="1" applyProtection="1">
      <alignment horizontal="center" vertical="center" wrapText="1"/>
    </xf>
    <xf numFmtId="166" fontId="38" fillId="0" borderId="25" xfId="0" applyNumberFormat="1" applyFont="1" applyBorder="1" applyAlignment="1" applyProtection="1">
      <alignment horizontal="center" vertical="center" wrapText="1"/>
    </xf>
    <xf numFmtId="166" fontId="38" fillId="0" borderId="118" xfId="0" applyNumberFormat="1" applyFont="1" applyBorder="1" applyAlignment="1" applyProtection="1">
      <alignment horizontal="center" vertical="center" wrapText="1"/>
    </xf>
    <xf numFmtId="166" fontId="38" fillId="0" borderId="119" xfId="0" applyNumberFormat="1" applyFont="1" applyBorder="1" applyAlignment="1" applyProtection="1">
      <alignment horizontal="center" vertical="center" wrapText="1"/>
    </xf>
    <xf numFmtId="166" fontId="38" fillId="0" borderId="9" xfId="0" applyNumberFormat="1" applyFont="1" applyBorder="1" applyAlignment="1" applyProtection="1">
      <alignment horizontal="center" vertical="center" wrapText="1"/>
    </xf>
    <xf numFmtId="166" fontId="38" fillId="0" borderId="26" xfId="0" applyNumberFormat="1" applyFont="1" applyBorder="1" applyAlignment="1" applyProtection="1">
      <alignment horizontal="center" vertical="center" wrapText="1"/>
    </xf>
    <xf numFmtId="166" fontId="38" fillId="10" borderId="94" xfId="0" applyNumberFormat="1" applyFont="1" applyFill="1" applyBorder="1" applyAlignment="1" applyProtection="1">
      <alignment horizontal="center" vertical="center"/>
    </xf>
    <xf numFmtId="166" fontId="38" fillId="10" borderId="94" xfId="0" applyNumberFormat="1" applyFont="1" applyFill="1" applyBorder="1" applyAlignment="1" applyProtection="1">
      <alignment horizontal="center" vertical="center" wrapText="1"/>
    </xf>
    <xf numFmtId="166" fontId="38" fillId="10" borderId="94" xfId="0" applyNumberFormat="1" applyFont="1" applyFill="1" applyBorder="1" applyAlignment="1" applyProtection="1">
      <alignment horizontal="center" vertical="center" wrapText="1"/>
      <protection locked="0"/>
    </xf>
    <xf numFmtId="166" fontId="38" fillId="10" borderId="169" xfId="0" applyNumberFormat="1" applyFont="1" applyFill="1" applyBorder="1" applyAlignment="1" applyProtection="1">
      <alignment horizontal="center" vertical="center" wrapText="1"/>
    </xf>
    <xf numFmtId="166" fontId="38" fillId="10" borderId="170" xfId="0" applyNumberFormat="1" applyFont="1" applyFill="1" applyBorder="1" applyAlignment="1" applyProtection="1">
      <alignment horizontal="center" vertical="center" wrapText="1"/>
    </xf>
    <xf numFmtId="166" fontId="38" fillId="10" borderId="131" xfId="0" applyNumberFormat="1" applyFont="1" applyFill="1" applyBorder="1" applyAlignment="1" applyProtection="1">
      <alignment horizontal="center" vertical="center" wrapText="1"/>
    </xf>
    <xf numFmtId="166" fontId="38" fillId="10" borderId="147" xfId="0" applyNumberFormat="1" applyFont="1" applyFill="1" applyBorder="1" applyAlignment="1" applyProtection="1">
      <alignment horizontal="center" vertical="center" wrapText="1"/>
    </xf>
    <xf numFmtId="166" fontId="38" fillId="10" borderId="132" xfId="0" applyNumberFormat="1" applyFont="1" applyFill="1" applyBorder="1" applyAlignment="1" applyProtection="1">
      <alignment horizontal="center" vertical="center" wrapText="1"/>
    </xf>
    <xf numFmtId="2" fontId="38" fillId="2" borderId="182" xfId="0" applyNumberFormat="1" applyFont="1" applyFill="1" applyBorder="1" applyAlignment="1" applyProtection="1">
      <alignment horizontal="center" vertical="center" wrapText="1"/>
      <protection locked="0"/>
    </xf>
    <xf numFmtId="2" fontId="38" fillId="2" borderId="137" xfId="0" applyNumberFormat="1" applyFont="1" applyFill="1" applyBorder="1" applyAlignment="1" applyProtection="1">
      <alignment horizontal="center" vertical="center" wrapText="1"/>
      <protection locked="0"/>
    </xf>
    <xf numFmtId="166" fontId="14" fillId="10" borderId="6" xfId="0" applyNumberFormat="1" applyFont="1" applyFill="1" applyBorder="1" applyAlignment="1" applyProtection="1">
      <alignment horizontal="center" vertical="center" wrapText="1"/>
    </xf>
    <xf numFmtId="166" fontId="14" fillId="3" borderId="6" xfId="0" applyNumberFormat="1" applyFont="1" applyFill="1" applyBorder="1" applyAlignment="1" applyProtection="1">
      <alignment horizontal="center" vertical="center" wrapText="1"/>
    </xf>
    <xf numFmtId="166" fontId="14" fillId="10" borderId="10" xfId="0" applyNumberFormat="1" applyFont="1" applyFill="1" applyBorder="1" applyAlignment="1" applyProtection="1">
      <alignment horizontal="center" vertical="center" wrapText="1"/>
    </xf>
    <xf numFmtId="166" fontId="14" fillId="3" borderId="10" xfId="0" applyNumberFormat="1" applyFont="1" applyFill="1" applyBorder="1" applyAlignment="1" applyProtection="1">
      <alignment horizontal="center" vertical="center" wrapText="1"/>
    </xf>
    <xf numFmtId="166" fontId="14" fillId="3" borderId="148" xfId="0" applyNumberFormat="1" applyFont="1" applyFill="1" applyBorder="1" applyAlignment="1" applyProtection="1">
      <alignment horizontal="center" vertical="center" wrapText="1"/>
    </xf>
    <xf numFmtId="166" fontId="14" fillId="3" borderId="116" xfId="0" applyNumberFormat="1" applyFont="1" applyFill="1" applyBorder="1" applyAlignment="1" applyProtection="1">
      <alignment horizontal="center" vertical="center" wrapText="1"/>
    </xf>
    <xf numFmtId="166" fontId="29" fillId="6" borderId="13" xfId="0" applyNumberFormat="1" applyFont="1" applyFill="1" applyBorder="1" applyAlignment="1" applyProtection="1">
      <alignment horizontal="center" vertical="center"/>
      <protection locked="0" hidden="1"/>
    </xf>
    <xf numFmtId="166" fontId="23" fillId="6" borderId="9" xfId="0" applyNumberFormat="1" applyFont="1" applyFill="1" applyBorder="1" applyAlignment="1" applyProtection="1">
      <alignment horizontal="center" vertical="center"/>
      <protection locked="0" hidden="1"/>
    </xf>
    <xf numFmtId="166" fontId="14" fillId="9" borderId="85" xfId="0" applyNumberFormat="1" applyFont="1" applyFill="1" applyBorder="1" applyAlignment="1" applyProtection="1">
      <alignment horizontal="center" vertical="center"/>
      <protection hidden="1"/>
    </xf>
    <xf numFmtId="166" fontId="1" fillId="5" borderId="71" xfId="0" applyNumberFormat="1" applyFont="1" applyFill="1" applyBorder="1" applyAlignment="1" applyProtection="1">
      <alignment horizontal="center" vertical="center"/>
      <protection locked="0"/>
    </xf>
    <xf numFmtId="166" fontId="1" fillId="8" borderId="71" xfId="0" applyNumberFormat="1" applyFont="1" applyFill="1" applyBorder="1" applyAlignment="1" applyProtection="1">
      <alignment horizontal="center" vertical="center"/>
      <protection locked="0"/>
    </xf>
    <xf numFmtId="166" fontId="1" fillId="5" borderId="55" xfId="0" applyNumberFormat="1" applyFont="1" applyFill="1" applyBorder="1" applyAlignment="1" applyProtection="1">
      <alignment horizontal="center" vertical="center"/>
      <protection locked="0"/>
    </xf>
    <xf numFmtId="166" fontId="1" fillId="5" borderId="66" xfId="0" applyNumberFormat="1" applyFont="1" applyFill="1" applyBorder="1" applyAlignment="1" applyProtection="1">
      <alignment horizontal="center" vertical="center"/>
      <protection locked="0"/>
    </xf>
    <xf numFmtId="166" fontId="1" fillId="5" borderId="56" xfId="0" applyNumberFormat="1" applyFont="1" applyFill="1" applyBorder="1" applyAlignment="1" applyProtection="1">
      <alignment horizontal="center" vertical="center"/>
      <protection locked="0"/>
    </xf>
    <xf numFmtId="166" fontId="14" fillId="9" borderId="6" xfId="0" applyNumberFormat="1" applyFont="1" applyFill="1" applyBorder="1" applyAlignment="1" applyProtection="1">
      <alignment horizontal="center" vertical="center"/>
      <protection hidden="1"/>
    </xf>
    <xf numFmtId="166" fontId="1" fillId="5" borderId="54" xfId="0" applyNumberFormat="1" applyFont="1" applyFill="1" applyBorder="1" applyAlignment="1" applyProtection="1">
      <alignment horizontal="center" vertical="center"/>
      <protection locked="0"/>
    </xf>
    <xf numFmtId="166" fontId="2" fillId="0" borderId="5" xfId="0" applyNumberFormat="1" applyFont="1" applyBorder="1" applyAlignment="1" applyProtection="1">
      <alignment horizontal="center" vertical="center"/>
      <protection hidden="1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63" fillId="0" borderId="0" xfId="0" applyNumberFormat="1" applyFont="1" applyBorder="1" applyAlignment="1" applyProtection="1">
      <protection locked="0"/>
    </xf>
  </cellXfs>
  <cellStyles count="29">
    <cellStyle name="20% - Cor3 2" xfId="28" xr:uid="{00000000-0005-0000-0000-000000000000}"/>
    <cellStyle name="Cabeçalho 1 2" xfId="11" xr:uid="{00000000-0005-0000-0000-000001000000}"/>
    <cellStyle name="Cabeçalho 1 3" xfId="6" xr:uid="{00000000-0005-0000-0000-000002000000}"/>
    <cellStyle name="Cabeçalho 2 2" xfId="10" xr:uid="{00000000-0005-0000-0000-000003000000}"/>
    <cellStyle name="Cabeçalho 2 3" xfId="7" xr:uid="{00000000-0005-0000-0000-000004000000}"/>
    <cellStyle name="Cabeçalho 3 2" xfId="8" xr:uid="{00000000-0005-0000-0000-000005000000}"/>
    <cellStyle name="Hiperligação 2" xfId="15" xr:uid="{00000000-0005-0000-0000-000006000000}"/>
    <cellStyle name="Neutro" xfId="3" builtinId="28"/>
    <cellStyle name="Normal" xfId="0" builtinId="0"/>
    <cellStyle name="Normal 2" xfId="2" xr:uid="{00000000-0005-0000-0000-000009000000}"/>
    <cellStyle name="Normal 2 2" xfId="1" xr:uid="{00000000-0005-0000-0000-00000A000000}"/>
    <cellStyle name="Normal 2 3" xfId="16" xr:uid="{00000000-0005-0000-0000-00000B000000}"/>
    <cellStyle name="Normal 2 3 2" xfId="22" xr:uid="{00000000-0005-0000-0000-00000C000000}"/>
    <cellStyle name="Normal 2 4" xfId="21" xr:uid="{00000000-0005-0000-0000-00000D000000}"/>
    <cellStyle name="Normal 2 4 2" xfId="24" xr:uid="{00000000-0005-0000-0000-00000E000000}"/>
    <cellStyle name="Normal 2 5" xfId="27" xr:uid="{00000000-0005-0000-0000-00000F000000}"/>
    <cellStyle name="Normal 2 6" xfId="25" xr:uid="{00000000-0005-0000-0000-000010000000}"/>
    <cellStyle name="Normal 3" xfId="9" xr:uid="{00000000-0005-0000-0000-000011000000}"/>
    <cellStyle name="Normal 3 2" xfId="13" xr:uid="{00000000-0005-0000-0000-000012000000}"/>
    <cellStyle name="Normal 4" xfId="14" xr:uid="{00000000-0005-0000-0000-000013000000}"/>
    <cellStyle name="Normal 4 2" xfId="19" xr:uid="{00000000-0005-0000-0000-000014000000}"/>
    <cellStyle name="Normal 5" xfId="17" xr:uid="{00000000-0005-0000-0000-000015000000}"/>
    <cellStyle name="Normal 5 2" xfId="20" xr:uid="{00000000-0005-0000-0000-000016000000}"/>
    <cellStyle name="Normal 6" xfId="18" xr:uid="{00000000-0005-0000-0000-000017000000}"/>
    <cellStyle name="Normal 7" xfId="23" xr:uid="{00000000-0005-0000-0000-000018000000}"/>
    <cellStyle name="Normal 8" xfId="26" xr:uid="{00000000-0005-0000-0000-000019000000}"/>
    <cellStyle name="Normal 9" xfId="4" xr:uid="{00000000-0005-0000-0000-00001A000000}"/>
    <cellStyle name="Título 2" xfId="12" xr:uid="{00000000-0005-0000-0000-00001B000000}"/>
    <cellStyle name="Título 3" xfId="5" xr:uid="{00000000-0005-0000-0000-00001C000000}"/>
  </cellStyles>
  <dxfs count="5"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L49"/>
  <sheetViews>
    <sheetView tabSelected="1" zoomScale="115" zoomScaleNormal="115" workbookViewId="0">
      <pane xSplit="2" ySplit="8" topLeftCell="C9" activePane="bottomRight" state="frozen"/>
      <selection activeCell="U42" sqref="U42"/>
      <selection pane="topRight" activeCell="U42" sqref="U42"/>
      <selection pane="bottomLeft" activeCell="U42" sqref="U42"/>
      <selection pane="bottomRight" activeCell="AN21" sqref="AN21"/>
    </sheetView>
  </sheetViews>
  <sheetFormatPr defaultRowHeight="15" x14ac:dyDescent="0.25"/>
  <cols>
    <col min="1" max="1" width="2.7109375" style="35" customWidth="1"/>
    <col min="2" max="2" width="16.140625" style="35" customWidth="1"/>
    <col min="3" max="3" width="8.140625" style="35" customWidth="1"/>
    <col min="4" max="5" width="4.5703125" style="35" customWidth="1"/>
    <col min="6" max="6" width="5" style="35" customWidth="1"/>
    <col min="7" max="7" width="2.85546875" style="35" customWidth="1"/>
    <col min="8" max="8" width="4.85546875" style="35" customWidth="1"/>
    <col min="9" max="9" width="5.28515625" style="35" customWidth="1"/>
    <col min="10" max="10" width="4.140625" style="35" customWidth="1"/>
    <col min="11" max="11" width="4.5703125" style="35" customWidth="1"/>
    <col min="12" max="12" width="8.7109375" style="35" customWidth="1"/>
    <col min="13" max="13" width="2.7109375" style="35" customWidth="1"/>
    <col min="14" max="14" width="4.140625" style="35" customWidth="1"/>
    <col min="15" max="15" width="2.7109375" style="35" customWidth="1"/>
    <col min="16" max="17" width="2.85546875" style="35" customWidth="1"/>
    <col min="18" max="18" width="3.28515625" style="35" customWidth="1"/>
    <col min="19" max="19" width="2.85546875" style="35" customWidth="1"/>
    <col min="20" max="20" width="2.7109375" style="35" customWidth="1"/>
    <col min="21" max="21" width="5.42578125" style="35" customWidth="1"/>
    <col min="22" max="22" width="5.28515625" style="35" customWidth="1"/>
    <col min="23" max="23" width="4" style="88" customWidth="1"/>
    <col min="24" max="24" width="3.85546875" style="35" customWidth="1"/>
    <col min="25" max="25" width="6.5703125" style="35" customWidth="1"/>
    <col min="26" max="27" width="3.42578125" style="35" customWidth="1"/>
    <col min="28" max="28" width="3.7109375" style="35" customWidth="1"/>
    <col min="29" max="31" width="4.28515625" style="35" customWidth="1"/>
    <col min="32" max="32" width="3.5703125" style="35" customWidth="1"/>
    <col min="33" max="33" width="7.7109375" style="35" customWidth="1"/>
    <col min="34" max="34" width="5.7109375" style="35" customWidth="1"/>
    <col min="35" max="36" width="7.7109375" style="35" customWidth="1"/>
    <col min="37" max="37" width="6.42578125" style="35" customWidth="1"/>
    <col min="38" max="38" width="7.7109375" style="35" customWidth="1"/>
    <col min="39" max="16384" width="9.140625" style="35"/>
  </cols>
  <sheetData>
    <row r="1" spans="1:38" ht="15.75" customHeight="1" x14ac:dyDescent="0.3">
      <c r="A1" s="185"/>
      <c r="B1" s="185"/>
      <c r="C1" s="34"/>
      <c r="D1" s="208" t="s">
        <v>32</v>
      </c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208"/>
      <c r="AH1" s="34"/>
      <c r="AI1" s="34"/>
      <c r="AJ1" s="34"/>
      <c r="AK1" s="34"/>
    </row>
    <row r="2" spans="1:38" ht="22.5" customHeight="1" x14ac:dyDescent="0.3">
      <c r="A2" s="185"/>
      <c r="B2" s="185"/>
      <c r="C2" s="36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34"/>
      <c r="AI2" s="34"/>
      <c r="AJ2" s="34"/>
      <c r="AK2" s="34"/>
    </row>
    <row r="3" spans="1:38" ht="19.5" customHeight="1" x14ac:dyDescent="0.3">
      <c r="A3" s="37"/>
      <c r="B3" s="34"/>
      <c r="C3" s="34"/>
      <c r="D3" s="34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86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</row>
    <row r="4" spans="1:38" ht="23.25" x14ac:dyDescent="0.35">
      <c r="A4" s="39" t="s">
        <v>0</v>
      </c>
      <c r="B4" s="38"/>
      <c r="C4" s="38"/>
      <c r="D4" s="38"/>
      <c r="E4" s="38"/>
      <c r="F4" s="38"/>
      <c r="G4" s="207" t="s">
        <v>50</v>
      </c>
      <c r="H4" s="207"/>
      <c r="I4" s="207"/>
      <c r="J4" s="207"/>
      <c r="K4" s="207"/>
      <c r="L4" s="207"/>
      <c r="M4" s="207"/>
      <c r="N4" s="40"/>
      <c r="O4" s="40"/>
      <c r="P4" s="40"/>
      <c r="Q4" s="40"/>
      <c r="R4" s="40"/>
      <c r="S4" s="40"/>
      <c r="T4" s="40"/>
      <c r="U4" s="40"/>
      <c r="V4" s="41"/>
      <c r="W4" s="87"/>
      <c r="X4" s="40"/>
      <c r="Y4" s="42"/>
      <c r="Z4" s="481" t="s">
        <v>15</v>
      </c>
      <c r="AA4" s="481"/>
      <c r="AB4" s="481"/>
      <c r="AC4" s="481"/>
      <c r="AD4" s="482" t="s">
        <v>83</v>
      </c>
      <c r="AE4" s="482"/>
      <c r="AF4" s="115"/>
      <c r="AG4" s="43"/>
      <c r="AH4" s="43"/>
      <c r="AI4" s="42"/>
      <c r="AJ4" s="38"/>
      <c r="AK4" s="38"/>
    </row>
    <row r="5" spans="1:38" ht="15.75" thickBot="1" x14ac:dyDescent="0.3">
      <c r="A5" s="44"/>
      <c r="B5" s="44"/>
      <c r="C5" s="186" t="s">
        <v>48</v>
      </c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45"/>
      <c r="AE5" s="89"/>
      <c r="AF5" s="44"/>
      <c r="AG5" s="44"/>
      <c r="AH5" s="44"/>
      <c r="AI5" s="44"/>
      <c r="AJ5" s="44"/>
      <c r="AK5" s="44"/>
      <c r="AL5" s="46"/>
    </row>
    <row r="6" spans="1:38" ht="19.5" customHeight="1" x14ac:dyDescent="0.25">
      <c r="A6" s="187"/>
      <c r="B6" s="188"/>
      <c r="C6" s="223" t="s">
        <v>2</v>
      </c>
      <c r="D6" s="224"/>
      <c r="E6" s="224"/>
      <c r="F6" s="202" t="s">
        <v>1</v>
      </c>
      <c r="G6" s="203"/>
      <c r="H6" s="203"/>
      <c r="I6" s="203"/>
      <c r="J6" s="203"/>
      <c r="K6" s="83">
        <v>0.4</v>
      </c>
      <c r="L6" s="189" t="s">
        <v>45</v>
      </c>
      <c r="M6" s="190"/>
      <c r="N6" s="193">
        <v>0.2</v>
      </c>
      <c r="O6" s="195" t="s">
        <v>52</v>
      </c>
      <c r="P6" s="196"/>
      <c r="Q6" s="196"/>
      <c r="R6" s="196"/>
      <c r="S6" s="198">
        <v>0.2</v>
      </c>
      <c r="T6" s="199"/>
      <c r="U6" s="148" t="s">
        <v>3</v>
      </c>
      <c r="V6" s="149"/>
      <c r="W6" s="145" t="s">
        <v>30</v>
      </c>
      <c r="X6" s="145" t="s">
        <v>29</v>
      </c>
      <c r="Y6" s="152" t="s">
        <v>3</v>
      </c>
      <c r="Z6" s="153"/>
      <c r="AA6" s="145" t="s">
        <v>31</v>
      </c>
      <c r="AB6" s="145" t="s">
        <v>29</v>
      </c>
      <c r="AC6" s="46"/>
    </row>
    <row r="7" spans="1:38" ht="29.25" customHeight="1" x14ac:dyDescent="0.25">
      <c r="A7" s="47"/>
      <c r="B7" s="48"/>
      <c r="C7" s="462" t="s">
        <v>54</v>
      </c>
      <c r="D7" s="463"/>
      <c r="E7" s="78">
        <v>0.2</v>
      </c>
      <c r="F7" s="204" t="s">
        <v>33</v>
      </c>
      <c r="G7" s="205"/>
      <c r="H7" s="84">
        <v>0.2</v>
      </c>
      <c r="I7" s="206" t="s">
        <v>44</v>
      </c>
      <c r="J7" s="205"/>
      <c r="K7" s="85">
        <v>0.2</v>
      </c>
      <c r="L7" s="191"/>
      <c r="M7" s="192"/>
      <c r="N7" s="194"/>
      <c r="O7" s="191"/>
      <c r="P7" s="192"/>
      <c r="Q7" s="197"/>
      <c r="R7" s="197"/>
      <c r="S7" s="200"/>
      <c r="T7" s="201"/>
      <c r="U7" s="150"/>
      <c r="V7" s="151"/>
      <c r="W7" s="146"/>
      <c r="X7" s="146"/>
      <c r="Y7" s="154"/>
      <c r="Z7" s="155"/>
      <c r="AA7" s="146"/>
      <c r="AB7" s="146"/>
      <c r="AC7" s="46"/>
    </row>
    <row r="8" spans="1:38" ht="15.75" customHeight="1" thickBot="1" x14ac:dyDescent="0.3">
      <c r="A8" s="49" t="s">
        <v>4</v>
      </c>
      <c r="B8" s="50" t="s">
        <v>5</v>
      </c>
      <c r="C8" s="79" t="s">
        <v>38</v>
      </c>
      <c r="D8" s="209" t="s">
        <v>39</v>
      </c>
      <c r="E8" s="184"/>
      <c r="F8" s="80" t="s">
        <v>38</v>
      </c>
      <c r="G8" s="212" t="s">
        <v>39</v>
      </c>
      <c r="H8" s="213"/>
      <c r="I8" s="81" t="s">
        <v>38</v>
      </c>
      <c r="J8" s="212" t="s">
        <v>39</v>
      </c>
      <c r="K8" s="213"/>
      <c r="L8" s="82" t="s">
        <v>40</v>
      </c>
      <c r="M8" s="182" t="s">
        <v>41</v>
      </c>
      <c r="N8" s="214"/>
      <c r="O8" s="143" t="s">
        <v>40</v>
      </c>
      <c r="P8" s="144"/>
      <c r="Q8" s="182" t="s">
        <v>41</v>
      </c>
      <c r="R8" s="183"/>
      <c r="S8" s="183"/>
      <c r="T8" s="184"/>
      <c r="U8" s="210" t="s">
        <v>42</v>
      </c>
      <c r="V8" s="211"/>
      <c r="W8" s="147"/>
      <c r="X8" s="147"/>
      <c r="Y8" s="141" t="s">
        <v>43</v>
      </c>
      <c r="Z8" s="142"/>
      <c r="AA8" s="147"/>
      <c r="AB8" s="147"/>
      <c r="AC8" s="46"/>
    </row>
    <row r="9" spans="1:38" ht="13.5" customHeight="1" thickBot="1" x14ac:dyDescent="0.3">
      <c r="A9" s="52">
        <v>1</v>
      </c>
      <c r="B9" s="72" t="s">
        <v>56</v>
      </c>
      <c r="C9" s="406">
        <f>IF('Comp. Escrita'!AD8="","",'Comp. Escrita'!AD8)</f>
        <v>63.5</v>
      </c>
      <c r="D9" s="407" t="str">
        <f>IF('Comp. Escrita'!BA8="","",'Comp. Escrita'!BA8)</f>
        <v/>
      </c>
      <c r="E9" s="408"/>
      <c r="F9" s="406">
        <f>IF(Oralidade!N8="","",Oralidade!N8)</f>
        <v>78</v>
      </c>
      <c r="G9" s="407" t="str">
        <f>IF(Oralidade!W8="","",Oralidade!W8)</f>
        <v/>
      </c>
      <c r="H9" s="408"/>
      <c r="I9" s="406" t="str">
        <f>IF(Oralidade!P8="","",Oralidade!P8)</f>
        <v/>
      </c>
      <c r="J9" s="407" t="str">
        <f>IF(Oralidade!Y8="","",Oralidade!Y8)</f>
        <v/>
      </c>
      <c r="K9" s="408"/>
      <c r="L9" s="409">
        <v>60</v>
      </c>
      <c r="M9" s="410"/>
      <c r="N9" s="411"/>
      <c r="O9" s="412">
        <f>IF('Prod. Escrita'!T8="","",'Prod. Escrita'!T8)</f>
        <v>38.75</v>
      </c>
      <c r="P9" s="413"/>
      <c r="Q9" s="414" t="str">
        <f>IF('Prod. Escrita'!AG8="","",'Prod. Escrita'!AG8)</f>
        <v/>
      </c>
      <c r="R9" s="415"/>
      <c r="S9" s="415"/>
      <c r="T9" s="416"/>
      <c r="U9" s="466" t="str">
        <f>IF(AREAS((C9,F9,I9,L9,O9))-COUNT(C9,F9,I9,L9,O9)=0,SUM($C9*$E7,$F9*$H$7,$I9*$K$7,$L9*$N$6,$O9*$S$6),"")</f>
        <v/>
      </c>
      <c r="V9" s="59" t="str">
        <f>IF((U9=""),"",IF(U9&gt;89,5,IF(U9&gt;69,4,IF(U9&gt;49,3,IF(U9&gt;19,2,IF(U9&gt;0,1))))))</f>
        <v/>
      </c>
      <c r="W9" s="106"/>
      <c r="X9" s="90" t="str">
        <f>V9</f>
        <v/>
      </c>
      <c r="Y9" s="464" t="str">
        <f>IF(AREAS((D9,G9,J9,M9,Q9))-COUNT(D9,G9,J9,M9,Q9)=0,SUM($D9*$E7,$G9*$H$7,$J9*$K$7,$M9*$N$6,$Q9*$S$6),"")</f>
        <v/>
      </c>
      <c r="Z9" s="100" t="str">
        <f>IF((Y9=""),"",IF(Y9&gt;89,5,IF(Y9&gt;69,4,IF(Y9&gt;49,3,IF(Y9&gt;19,2,IF(Y9&gt;0,1))))))</f>
        <v/>
      </c>
      <c r="AA9" s="116"/>
      <c r="AB9" s="109" t="str">
        <f>Z9</f>
        <v/>
      </c>
      <c r="AC9" s="46"/>
    </row>
    <row r="10" spans="1:38" ht="13.5" customHeight="1" thickBot="1" x14ac:dyDescent="0.3">
      <c r="A10" s="53">
        <v>2</v>
      </c>
      <c r="B10" s="73" t="s">
        <v>57</v>
      </c>
      <c r="C10" s="417" t="str">
        <f>IF('Comp. Escrita'!AD9="","",'Comp. Escrita'!AD9)</f>
        <v/>
      </c>
      <c r="D10" s="418" t="str">
        <f>IF('Comp. Escrita'!BA9="","",'Comp. Escrita'!BA9)</f>
        <v/>
      </c>
      <c r="E10" s="419"/>
      <c r="F10" s="420">
        <f>IF(Oralidade!N9="","",Oralidade!N9)</f>
        <v>78</v>
      </c>
      <c r="G10" s="418" t="str">
        <f>IF(Oralidade!W9="","",Oralidade!W9)</f>
        <v/>
      </c>
      <c r="H10" s="419"/>
      <c r="I10" s="420" t="str">
        <f>IF(Oralidade!P9="","",Oralidade!P9)</f>
        <v/>
      </c>
      <c r="J10" s="418" t="str">
        <f>IF(Oralidade!Y9="","",Oralidade!Y9)</f>
        <v/>
      </c>
      <c r="K10" s="419"/>
      <c r="L10" s="421"/>
      <c r="M10" s="422"/>
      <c r="N10" s="423"/>
      <c r="O10" s="424">
        <f>IF('Prod. Escrita'!T9="","",'Prod. Escrita'!T9)</f>
        <v>2.5</v>
      </c>
      <c r="P10" s="425"/>
      <c r="Q10" s="426" t="str">
        <f>IF('Prod. Escrita'!AG9="","",'Prod. Escrita'!AG9)</f>
        <v/>
      </c>
      <c r="R10" s="427"/>
      <c r="S10" s="427"/>
      <c r="T10" s="428"/>
      <c r="U10" s="467" t="str">
        <f>IF(AREAS((C10,F10,I10,L10,O10))-COUNT(C10,F10,I10,L10,O10)=0,SUM($C10*$E8,$F10*$H$7,$I10*$K$7,$L10*$N$6,$O10*$S$6),"")</f>
        <v/>
      </c>
      <c r="V10" s="31" t="str">
        <f t="shared" ref="V10:V38" si="0">IF((U10=""),"",IF(U10&gt;89,5,IF(U10&gt;69,4,IF(U10&gt;49,3,IF(U10&gt;19,2,IF(U10&gt;0,1))))))</f>
        <v/>
      </c>
      <c r="W10" s="107"/>
      <c r="X10" s="91" t="str">
        <f t="shared" ref="X10:X34" si="1">V10</f>
        <v/>
      </c>
      <c r="Y10" s="465" t="str">
        <f>IF(AREAS((D10,G10,J10,M10,Q10))-COUNT(D10,G10,J10,M10,Q10)=0,SUM($D10*$E8,$G10*$H$7,$J10*$K$7,$M10*$N$6,$Q10*$S$6),"")</f>
        <v/>
      </c>
      <c r="Z10" s="133" t="str">
        <f t="shared" ref="Z10:Z38" si="2">IF((Y10=""),"",IF(Y10&gt;89,5,IF(Y10&gt;69,4,IF(Y10&gt;49,3,IF(Y10&gt;19,2,IF(Y10&gt;0,1))))))</f>
        <v/>
      </c>
      <c r="AA10" s="117"/>
      <c r="AB10" s="110" t="str">
        <f t="shared" ref="AB10:AB38" si="3">Z10</f>
        <v/>
      </c>
      <c r="AC10" s="46"/>
    </row>
    <row r="11" spans="1:38" ht="13.5" customHeight="1" thickBot="1" x14ac:dyDescent="0.3">
      <c r="A11" s="54">
        <v>3</v>
      </c>
      <c r="B11" s="74" t="s">
        <v>58</v>
      </c>
      <c r="C11" s="429" t="str">
        <f>IF('Comp. Escrita'!AD10="","",'Comp. Escrita'!AD10)</f>
        <v/>
      </c>
      <c r="D11" s="430" t="str">
        <f>IF('Comp. Escrita'!BA10="","",'Comp. Escrita'!BA10)</f>
        <v/>
      </c>
      <c r="E11" s="431"/>
      <c r="F11" s="432">
        <f>IF(Oralidade!N10="","",Oralidade!N10)</f>
        <v>87</v>
      </c>
      <c r="G11" s="430" t="str">
        <f>IF(Oralidade!W10="","",Oralidade!W10)</f>
        <v/>
      </c>
      <c r="H11" s="431"/>
      <c r="I11" s="432" t="str">
        <f>IF(Oralidade!P10="","",Oralidade!P10)</f>
        <v/>
      </c>
      <c r="J11" s="430" t="str">
        <f>IF(Oralidade!Y10="","",Oralidade!Y10)</f>
        <v/>
      </c>
      <c r="K11" s="431"/>
      <c r="L11" s="433"/>
      <c r="M11" s="434"/>
      <c r="N11" s="435"/>
      <c r="O11" s="436" t="str">
        <f>IF('Prod. Escrita'!T10="","",'Prod. Escrita'!T10)</f>
        <v/>
      </c>
      <c r="P11" s="437"/>
      <c r="Q11" s="438" t="str">
        <f>IF('Prod. Escrita'!AG10="","",'Prod. Escrita'!AG10)</f>
        <v/>
      </c>
      <c r="R11" s="439"/>
      <c r="S11" s="439"/>
      <c r="T11" s="440"/>
      <c r="U11" s="466" t="str">
        <f>IF(AREAS((C11,F11,I11,L11,O11))-COUNT(C11,F11,I11,L11,O11)=0,SUM($C11*$E9,$F11*$H$7,$I11*$K$7,$L11*$N$6,$O11*$S$6),"")</f>
        <v/>
      </c>
      <c r="V11" s="32" t="str">
        <f t="shared" si="0"/>
        <v/>
      </c>
      <c r="W11" s="108"/>
      <c r="X11" s="92" t="str">
        <f t="shared" si="1"/>
        <v/>
      </c>
      <c r="Y11" s="464" t="str">
        <f>IF(AREAS((D11,G11,J11,M11,Q11))-COUNT(D11,G11,J11,M11,Q11)=0,SUM($D11*$E9,$G11*$H$7,$J11*$K$7,$M11*$N$6,$Q11*$S$6),"")</f>
        <v/>
      </c>
      <c r="Z11" s="100" t="str">
        <f t="shared" si="2"/>
        <v/>
      </c>
      <c r="AA11" s="118"/>
      <c r="AB11" s="111" t="str">
        <f t="shared" si="3"/>
        <v/>
      </c>
      <c r="AC11" s="46"/>
    </row>
    <row r="12" spans="1:38" ht="13.5" customHeight="1" thickBot="1" x14ac:dyDescent="0.3">
      <c r="A12" s="53">
        <v>4</v>
      </c>
      <c r="B12" s="73" t="s">
        <v>59</v>
      </c>
      <c r="C12" s="417" t="str">
        <f>IF('Comp. Escrita'!AD11="","",'Comp. Escrita'!AD11)</f>
        <v/>
      </c>
      <c r="D12" s="418" t="str">
        <f>IF('Comp. Escrita'!BA11="","",'Comp. Escrita'!BA11)</f>
        <v/>
      </c>
      <c r="E12" s="419"/>
      <c r="F12" s="420">
        <f>IF(Oralidade!N11="","",Oralidade!N11)</f>
        <v>78</v>
      </c>
      <c r="G12" s="418" t="str">
        <f>IF(Oralidade!W11="","",Oralidade!W11)</f>
        <v/>
      </c>
      <c r="H12" s="419"/>
      <c r="I12" s="420" t="str">
        <f>IF(Oralidade!P11="","",Oralidade!P11)</f>
        <v/>
      </c>
      <c r="J12" s="418" t="str">
        <f>IF(Oralidade!Y11="","",Oralidade!Y11)</f>
        <v/>
      </c>
      <c r="K12" s="419"/>
      <c r="L12" s="421"/>
      <c r="M12" s="422"/>
      <c r="N12" s="423"/>
      <c r="O12" s="424" t="str">
        <f>IF('Prod. Escrita'!T11="","",'Prod. Escrita'!T11)</f>
        <v/>
      </c>
      <c r="P12" s="425"/>
      <c r="Q12" s="426" t="str">
        <f>IF('Prod. Escrita'!AG11="","",'Prod. Escrita'!AG11)</f>
        <v/>
      </c>
      <c r="R12" s="427"/>
      <c r="S12" s="427"/>
      <c r="T12" s="428"/>
      <c r="U12" s="467" t="str">
        <f>IF(AREAS((C12,F12,I12,L12,O12))-COUNT(C12,F12,I12,L12,O12)=0,SUM($C12*$E10,$F12*$H$7,$I12*$K$7,$L12*$N$6,$O12*$S$6),"")</f>
        <v/>
      </c>
      <c r="V12" s="31" t="str">
        <f t="shared" si="0"/>
        <v/>
      </c>
      <c r="W12" s="107"/>
      <c r="X12" s="91" t="str">
        <f t="shared" si="1"/>
        <v/>
      </c>
      <c r="Y12" s="465" t="str">
        <f>IF(AREAS((D12,G12,J12,M12,Q12))-COUNT(D12,G12,J12,M12,Q12)=0,SUM($D12*$E10,$G12*$H$7,$J12*$K$7,$M12*$N$6,$Q12*$S$6),"")</f>
        <v/>
      </c>
      <c r="Z12" s="133" t="str">
        <f t="shared" si="2"/>
        <v/>
      </c>
      <c r="AA12" s="117"/>
      <c r="AB12" s="110" t="str">
        <f t="shared" si="3"/>
        <v/>
      </c>
      <c r="AC12" s="46"/>
    </row>
    <row r="13" spans="1:38" ht="13.5" customHeight="1" thickBot="1" x14ac:dyDescent="0.3">
      <c r="A13" s="54">
        <v>5</v>
      </c>
      <c r="B13" s="74" t="s">
        <v>60</v>
      </c>
      <c r="C13" s="429" t="str">
        <f>IF('Comp. Escrita'!AD12="","",'Comp. Escrita'!AD12)</f>
        <v/>
      </c>
      <c r="D13" s="430" t="str">
        <f>IF('Comp. Escrita'!BA12="","",'Comp. Escrita'!BA12)</f>
        <v/>
      </c>
      <c r="E13" s="431"/>
      <c r="F13" s="432">
        <f>IF(Oralidade!N12="","",Oralidade!N12)</f>
        <v>70</v>
      </c>
      <c r="G13" s="430" t="str">
        <f>IF(Oralidade!W12="","",Oralidade!W12)</f>
        <v/>
      </c>
      <c r="H13" s="431"/>
      <c r="I13" s="432" t="str">
        <f>IF(Oralidade!P12="","",Oralidade!P12)</f>
        <v/>
      </c>
      <c r="J13" s="430" t="str">
        <f>IF(Oralidade!Y12="","",Oralidade!Y12)</f>
        <v/>
      </c>
      <c r="K13" s="431"/>
      <c r="L13" s="433"/>
      <c r="M13" s="434"/>
      <c r="N13" s="435"/>
      <c r="O13" s="436" t="str">
        <f>IF('Prod. Escrita'!T12="","",'Prod. Escrita'!T12)</f>
        <v/>
      </c>
      <c r="P13" s="437"/>
      <c r="Q13" s="438" t="str">
        <f>IF('Prod. Escrita'!AG12="","",'Prod. Escrita'!AG12)</f>
        <v/>
      </c>
      <c r="R13" s="439"/>
      <c r="S13" s="439"/>
      <c r="T13" s="440"/>
      <c r="U13" s="466" t="str">
        <f>IF(AREAS((C13,F13,I13,L13,O13))-COUNT(C13,F13,I13,L13,O13)=0,SUM($C13*$E11,$F13*$H$7,$I13*$K$7,$L13*$N$6,$O13*$S$6),"")</f>
        <v/>
      </c>
      <c r="V13" s="32" t="str">
        <f t="shared" si="0"/>
        <v/>
      </c>
      <c r="W13" s="108"/>
      <c r="X13" s="92" t="str">
        <f t="shared" si="1"/>
        <v/>
      </c>
      <c r="Y13" s="464" t="str">
        <f>IF(AREAS((D13,G13,J13,M13,Q13))-COUNT(D13,G13,J13,M13,Q13)=0,SUM($D13*$E11,$G13*$H$7,$J13*$K$7,$M13*$N$6,$Q13*$S$6),"")</f>
        <v/>
      </c>
      <c r="Z13" s="100" t="str">
        <f t="shared" si="2"/>
        <v/>
      </c>
      <c r="AA13" s="118"/>
      <c r="AB13" s="111" t="str">
        <f t="shared" si="3"/>
        <v/>
      </c>
      <c r="AC13" s="46"/>
    </row>
    <row r="14" spans="1:38" ht="13.5" customHeight="1" thickBot="1" x14ac:dyDescent="0.3">
      <c r="A14" s="53">
        <v>6</v>
      </c>
      <c r="B14" s="73" t="s">
        <v>61</v>
      </c>
      <c r="C14" s="417" t="str">
        <f>IF('Comp. Escrita'!AD13="","",'Comp. Escrita'!AD13)</f>
        <v/>
      </c>
      <c r="D14" s="418" t="str">
        <f>IF('Comp. Escrita'!BA13="","",'Comp. Escrita'!BA13)</f>
        <v/>
      </c>
      <c r="E14" s="419"/>
      <c r="F14" s="420">
        <f>IF(Oralidade!N13="","",Oralidade!N13)</f>
        <v>92</v>
      </c>
      <c r="G14" s="418" t="str">
        <f>IF(Oralidade!W13="","",Oralidade!W13)</f>
        <v/>
      </c>
      <c r="H14" s="419"/>
      <c r="I14" s="420" t="str">
        <f>IF(Oralidade!P13="","",Oralidade!P13)</f>
        <v/>
      </c>
      <c r="J14" s="418" t="str">
        <f>IF(Oralidade!Y13="","",Oralidade!Y13)</f>
        <v/>
      </c>
      <c r="K14" s="419"/>
      <c r="L14" s="421"/>
      <c r="M14" s="422"/>
      <c r="N14" s="423"/>
      <c r="O14" s="424" t="str">
        <f>IF('Prod. Escrita'!T13="","",'Prod. Escrita'!T13)</f>
        <v/>
      </c>
      <c r="P14" s="425"/>
      <c r="Q14" s="426" t="str">
        <f>IF('Prod. Escrita'!AG13="","",'Prod. Escrita'!AG13)</f>
        <v/>
      </c>
      <c r="R14" s="427"/>
      <c r="S14" s="427"/>
      <c r="T14" s="428"/>
      <c r="U14" s="467" t="str">
        <f>IF(AREAS((C14,F14,I14,L14,O14))-COUNT(C14,F14,I14,L14,O14)=0,SUM($C14*$E12,$F14*$H$7,$I14*$K$7,$L14*$N$6,$O14*$S$6),"")</f>
        <v/>
      </c>
      <c r="V14" s="31" t="str">
        <f t="shared" si="0"/>
        <v/>
      </c>
      <c r="W14" s="107"/>
      <c r="X14" s="93" t="str">
        <f t="shared" si="1"/>
        <v/>
      </c>
      <c r="Y14" s="465" t="str">
        <f>IF(AREAS((D14,G14,J14,M14,Q14))-COUNT(D14,G14,J14,M14,Q14)=0,SUM($D14*$E12,$G14*$H$7,$J14*$K$7,$M14*$N$6,$Q14*$S$6),"")</f>
        <v/>
      </c>
      <c r="Z14" s="133" t="str">
        <f t="shared" si="2"/>
        <v/>
      </c>
      <c r="AA14" s="117"/>
      <c r="AB14" s="110"/>
      <c r="AC14" s="46"/>
    </row>
    <row r="15" spans="1:38" ht="13.5" customHeight="1" thickBot="1" x14ac:dyDescent="0.3">
      <c r="A15" s="54">
        <v>7</v>
      </c>
      <c r="B15" s="74" t="s">
        <v>62</v>
      </c>
      <c r="C15" s="429" t="str">
        <f>IF('Comp. Escrita'!AD14="","",'Comp. Escrita'!AD14)</f>
        <v/>
      </c>
      <c r="D15" s="430" t="str">
        <f>IF('Comp. Escrita'!BA14="","",'Comp. Escrita'!BA14)</f>
        <v/>
      </c>
      <c r="E15" s="431"/>
      <c r="F15" s="432">
        <f>IF(Oralidade!N14="","",Oralidade!N14)</f>
        <v>70</v>
      </c>
      <c r="G15" s="430" t="str">
        <f>IF(Oralidade!W14="","",Oralidade!W14)</f>
        <v/>
      </c>
      <c r="H15" s="431"/>
      <c r="I15" s="432" t="str">
        <f>IF(Oralidade!P14="","",Oralidade!P14)</f>
        <v/>
      </c>
      <c r="J15" s="430" t="str">
        <f>IF(Oralidade!Y14="","",Oralidade!Y14)</f>
        <v/>
      </c>
      <c r="K15" s="431"/>
      <c r="L15" s="433"/>
      <c r="M15" s="434"/>
      <c r="N15" s="435"/>
      <c r="O15" s="436" t="str">
        <f>IF('Prod. Escrita'!T14="","",'Prod. Escrita'!T14)</f>
        <v/>
      </c>
      <c r="P15" s="437"/>
      <c r="Q15" s="438" t="str">
        <f>IF('Prod. Escrita'!AG14="","",'Prod. Escrita'!AG14)</f>
        <v/>
      </c>
      <c r="R15" s="439"/>
      <c r="S15" s="439"/>
      <c r="T15" s="440"/>
      <c r="U15" s="466" t="str">
        <f>IF(AREAS((C15,F15,I15,L15,O15))-COUNT(C15,F15,I15,L15,O15)=0,SUM($C15*$E13,$F15*$H$7,$I15*$K$7,$L15*$N$6,$O15*$S$6),"")</f>
        <v/>
      </c>
      <c r="V15" s="32" t="str">
        <f t="shared" si="0"/>
        <v/>
      </c>
      <c r="W15" s="108"/>
      <c r="X15" s="92" t="str">
        <f t="shared" si="1"/>
        <v/>
      </c>
      <c r="Y15" s="464" t="str">
        <f>IF(AREAS((D15,G15,J15,M15,Q15))-COUNT(D15,G15,J15,M15,Q15)=0,SUM($D15*$E13,$G15*$H$7,$J15*$K$7,$M15*$N$6,$Q15*$S$6),"")</f>
        <v/>
      </c>
      <c r="Z15" s="100" t="str">
        <f t="shared" si="2"/>
        <v/>
      </c>
      <c r="AA15" s="118"/>
      <c r="AB15" s="111" t="str">
        <f t="shared" si="3"/>
        <v/>
      </c>
      <c r="AC15" s="46"/>
    </row>
    <row r="16" spans="1:38" ht="13.5" customHeight="1" thickBot="1" x14ac:dyDescent="0.3">
      <c r="A16" s="53">
        <v>8</v>
      </c>
      <c r="B16" s="73" t="s">
        <v>63</v>
      </c>
      <c r="C16" s="417" t="str">
        <f>IF('Comp. Escrita'!AD15="","",'Comp. Escrita'!AD15)</f>
        <v/>
      </c>
      <c r="D16" s="418" t="str">
        <f>IF('Comp. Escrita'!BA15="","",'Comp. Escrita'!BA15)</f>
        <v/>
      </c>
      <c r="E16" s="419"/>
      <c r="F16" s="420">
        <f>IF(Oralidade!N15="","",Oralidade!N15)</f>
        <v>78</v>
      </c>
      <c r="G16" s="418" t="str">
        <f>IF(Oralidade!W15="","",Oralidade!W15)</f>
        <v/>
      </c>
      <c r="H16" s="419"/>
      <c r="I16" s="420" t="str">
        <f>IF(Oralidade!P15="","",Oralidade!P15)</f>
        <v/>
      </c>
      <c r="J16" s="418" t="str">
        <f>IF(Oralidade!Y15="","",Oralidade!Y15)</f>
        <v/>
      </c>
      <c r="K16" s="419"/>
      <c r="L16" s="421"/>
      <c r="M16" s="422"/>
      <c r="N16" s="423"/>
      <c r="O16" s="424" t="str">
        <f>IF('Prod. Escrita'!T15="","",'Prod. Escrita'!T15)</f>
        <v/>
      </c>
      <c r="P16" s="425"/>
      <c r="Q16" s="426" t="str">
        <f>IF('Prod. Escrita'!AG15="","",'Prod. Escrita'!AG15)</f>
        <v/>
      </c>
      <c r="R16" s="427"/>
      <c r="S16" s="427"/>
      <c r="T16" s="428"/>
      <c r="U16" s="467" t="str">
        <f>IF(AREAS((C16,F16,I16,L16,O16))-COUNT(C16,F16,I16,L16,O16)=0,SUM($C16*$E14,$F16*$H$7,$I16*$K$7,$L16*$N$6,$O16*$S$6),"")</f>
        <v/>
      </c>
      <c r="V16" s="31" t="str">
        <f t="shared" si="0"/>
        <v/>
      </c>
      <c r="W16" s="107"/>
      <c r="X16" s="91" t="str">
        <f t="shared" si="1"/>
        <v/>
      </c>
      <c r="Y16" s="465" t="str">
        <f>IF(AREAS((D16,G16,J16,M16,Q16))-COUNT(D16,G16,J16,M16,Q16)=0,SUM($D16*$E14,$G16*$H$7,$J16*$K$7,$M16*$N$6,$Q16*$S$6),"")</f>
        <v/>
      </c>
      <c r="Z16" s="133" t="str">
        <f t="shared" si="2"/>
        <v/>
      </c>
      <c r="AA16" s="117"/>
      <c r="AB16" s="110" t="str">
        <f t="shared" si="3"/>
        <v/>
      </c>
      <c r="AC16" s="46"/>
    </row>
    <row r="17" spans="1:37" ht="13.5" customHeight="1" thickBot="1" x14ac:dyDescent="0.3">
      <c r="A17" s="54">
        <v>9</v>
      </c>
      <c r="B17" s="74" t="s">
        <v>64</v>
      </c>
      <c r="C17" s="429" t="str">
        <f>IF('Comp. Escrita'!AD16="","",'Comp. Escrita'!AD16)</f>
        <v/>
      </c>
      <c r="D17" s="430" t="str">
        <f>IF('Comp. Escrita'!BA16="","",'Comp. Escrita'!BA16)</f>
        <v/>
      </c>
      <c r="E17" s="431"/>
      <c r="F17" s="432">
        <f>IF(Oralidade!N16="","",Oralidade!N16)</f>
        <v>100</v>
      </c>
      <c r="G17" s="430" t="str">
        <f>IF(Oralidade!W16="","",Oralidade!W16)</f>
        <v/>
      </c>
      <c r="H17" s="431"/>
      <c r="I17" s="432" t="str">
        <f>IF(Oralidade!P16="","",Oralidade!P16)</f>
        <v/>
      </c>
      <c r="J17" s="430" t="str">
        <f>IF(Oralidade!Y16="","",Oralidade!Y16)</f>
        <v/>
      </c>
      <c r="K17" s="431"/>
      <c r="L17" s="433"/>
      <c r="M17" s="434"/>
      <c r="N17" s="435"/>
      <c r="O17" s="436" t="str">
        <f>IF('Prod. Escrita'!T16="","",'Prod. Escrita'!T16)</f>
        <v/>
      </c>
      <c r="P17" s="437"/>
      <c r="Q17" s="438" t="str">
        <f>IF('Prod. Escrita'!AG16="","",'Prod. Escrita'!AG16)</f>
        <v/>
      </c>
      <c r="R17" s="439"/>
      <c r="S17" s="439"/>
      <c r="T17" s="440"/>
      <c r="U17" s="466" t="str">
        <f>IF(AREAS((C17,F17,I17,L17,O17))-COUNT(C17,F17,I17,L17,O17)=0,SUM($C17*$E15,$F17*$H$7,$I17*$K$7,$L17*$N$6,$O17*$S$6),"")</f>
        <v/>
      </c>
      <c r="V17" s="32" t="str">
        <f t="shared" si="0"/>
        <v/>
      </c>
      <c r="W17" s="108"/>
      <c r="X17" s="92" t="str">
        <f t="shared" si="1"/>
        <v/>
      </c>
      <c r="Y17" s="464" t="str">
        <f>IF(AREAS((D17,G17,J17,M17,Q17))-COUNT(D17,G17,J17,M17,Q17)=0,SUM($D17*$E15,$G17*$H$7,$J17*$K$7,$M17*$N$6,$Q17*$S$6),"")</f>
        <v/>
      </c>
      <c r="Z17" s="100" t="str">
        <f t="shared" si="2"/>
        <v/>
      </c>
      <c r="AA17" s="118"/>
      <c r="AB17" s="111" t="str">
        <f t="shared" si="3"/>
        <v/>
      </c>
      <c r="AC17" s="46"/>
    </row>
    <row r="18" spans="1:37" ht="13.5" customHeight="1" thickBot="1" x14ac:dyDescent="0.3">
      <c r="A18" s="53">
        <v>10</v>
      </c>
      <c r="B18" s="73"/>
      <c r="C18" s="417" t="str">
        <f>IF('Comp. Escrita'!AD17="","",'Comp. Escrita'!AD17)</f>
        <v/>
      </c>
      <c r="D18" s="418" t="str">
        <f>IF('Comp. Escrita'!BA17="","",'Comp. Escrita'!BA17)</f>
        <v/>
      </c>
      <c r="E18" s="419"/>
      <c r="F18" s="420" t="str">
        <f>IF(Oralidade!N17="","",Oralidade!N17)</f>
        <v/>
      </c>
      <c r="G18" s="418" t="str">
        <f>IF(Oralidade!W17="","",Oralidade!W17)</f>
        <v/>
      </c>
      <c r="H18" s="419"/>
      <c r="I18" s="420" t="str">
        <f>IF(Oralidade!P17="","",Oralidade!P17)</f>
        <v/>
      </c>
      <c r="J18" s="418" t="str">
        <f>IF(Oralidade!Y17="","",Oralidade!Y17)</f>
        <v/>
      </c>
      <c r="K18" s="419"/>
      <c r="L18" s="421"/>
      <c r="M18" s="422"/>
      <c r="N18" s="423"/>
      <c r="O18" s="424" t="str">
        <f>IF('Prod. Escrita'!T17="","",'Prod. Escrita'!T17)</f>
        <v/>
      </c>
      <c r="P18" s="425"/>
      <c r="Q18" s="426" t="str">
        <f>IF('Prod. Escrita'!AG17="","",'Prod. Escrita'!AG17)</f>
        <v/>
      </c>
      <c r="R18" s="427"/>
      <c r="S18" s="427"/>
      <c r="T18" s="428"/>
      <c r="U18" s="467" t="str">
        <f>IF(AREAS((C18,F18,I18,L18,O18))-COUNT(C18,F18,I18,L18,O18)=0,SUM($C18*$E16,$F18*$H$7,$I18*$K$7,$L18*$N$6,$O18*$S$6),"")</f>
        <v/>
      </c>
      <c r="V18" s="31" t="str">
        <f t="shared" si="0"/>
        <v/>
      </c>
      <c r="W18" s="107"/>
      <c r="X18" s="94" t="str">
        <f t="shared" si="1"/>
        <v/>
      </c>
      <c r="Y18" s="465" t="str">
        <f>IF(AREAS((D18,G18,J18,M18,Q18))-COUNT(D18,G18,J18,M18,Q18)=0,SUM($D18*$E16,$G18*$H$7,$J18*$K$7,$M18*$N$6,$Q18*$S$6),"")</f>
        <v/>
      </c>
      <c r="Z18" s="133" t="str">
        <f t="shared" si="2"/>
        <v/>
      </c>
      <c r="AA18" s="117"/>
      <c r="AB18" s="110" t="str">
        <f t="shared" si="3"/>
        <v/>
      </c>
      <c r="AC18" s="46"/>
    </row>
    <row r="19" spans="1:37" ht="13.5" customHeight="1" thickBot="1" x14ac:dyDescent="0.3">
      <c r="A19" s="54">
        <v>11</v>
      </c>
      <c r="B19" s="74" t="s">
        <v>65</v>
      </c>
      <c r="C19" s="429" t="str">
        <f>IF('Comp. Escrita'!AD18="","",'Comp. Escrita'!AD18)</f>
        <v/>
      </c>
      <c r="D19" s="430" t="str">
        <f>IF('Comp. Escrita'!BA18="","",'Comp. Escrita'!BA18)</f>
        <v/>
      </c>
      <c r="E19" s="431"/>
      <c r="F19" s="432">
        <f>IF(Oralidade!N18="","",Oralidade!N18)</f>
        <v>91</v>
      </c>
      <c r="G19" s="430" t="str">
        <f>IF(Oralidade!W18="","",Oralidade!W18)</f>
        <v/>
      </c>
      <c r="H19" s="431"/>
      <c r="I19" s="432" t="str">
        <f>IF(Oralidade!P18="","",Oralidade!P18)</f>
        <v/>
      </c>
      <c r="J19" s="430" t="str">
        <f>IF(Oralidade!Y18="","",Oralidade!Y18)</f>
        <v/>
      </c>
      <c r="K19" s="431"/>
      <c r="L19" s="433"/>
      <c r="M19" s="434"/>
      <c r="N19" s="435"/>
      <c r="O19" s="436" t="str">
        <f>IF('Prod. Escrita'!T18="","",'Prod. Escrita'!T18)</f>
        <v/>
      </c>
      <c r="P19" s="437"/>
      <c r="Q19" s="438" t="str">
        <f>IF('Prod. Escrita'!AG18="","",'Prod. Escrita'!AG18)</f>
        <v/>
      </c>
      <c r="R19" s="439"/>
      <c r="S19" s="439"/>
      <c r="T19" s="440"/>
      <c r="U19" s="466" t="str">
        <f>IF(AREAS((C19,F19,I19,L19,O19))-COUNT(C19,F19,I19,L19,O19)=0,SUM($C19*$E17,$F19*$H$7,$I19*$K$7,$L19*$N$6,$O19*$S$6),"")</f>
        <v/>
      </c>
      <c r="V19" s="32" t="str">
        <f t="shared" si="0"/>
        <v/>
      </c>
      <c r="W19" s="108"/>
      <c r="X19" s="92" t="str">
        <f t="shared" si="1"/>
        <v/>
      </c>
      <c r="Y19" s="464" t="str">
        <f>IF(AREAS((D19,G19,J19,M19,Q19))-COUNT(D19,G19,J19,M19,Q19)=0,SUM($D19*$E17,$G19*$H$7,$J19*$K$7,$M19*$N$6,$Q19*$S$6),"")</f>
        <v/>
      </c>
      <c r="Z19" s="100" t="str">
        <f t="shared" si="2"/>
        <v/>
      </c>
      <c r="AA19" s="118"/>
      <c r="AB19" s="111" t="str">
        <f t="shared" si="3"/>
        <v/>
      </c>
      <c r="AC19" s="46"/>
    </row>
    <row r="20" spans="1:37" ht="13.5" customHeight="1" thickBot="1" x14ac:dyDescent="0.3">
      <c r="A20" s="53">
        <v>12</v>
      </c>
      <c r="B20" s="73" t="s">
        <v>66</v>
      </c>
      <c r="C20" s="417" t="str">
        <f>IF('Comp. Escrita'!AD19="","",'Comp. Escrita'!AD19)</f>
        <v/>
      </c>
      <c r="D20" s="418" t="str">
        <f>IF('Comp. Escrita'!BA19="","",'Comp. Escrita'!BA19)</f>
        <v/>
      </c>
      <c r="E20" s="419"/>
      <c r="F20" s="420">
        <f>IF(Oralidade!N19="","",Oralidade!N19)</f>
        <v>62</v>
      </c>
      <c r="G20" s="418" t="str">
        <f>IF(Oralidade!W19="","",Oralidade!W19)</f>
        <v/>
      </c>
      <c r="H20" s="419"/>
      <c r="I20" s="420" t="str">
        <f>IF(Oralidade!P19="","",Oralidade!P19)</f>
        <v/>
      </c>
      <c r="J20" s="418" t="str">
        <f>IF(Oralidade!Y19="","",Oralidade!Y19)</f>
        <v/>
      </c>
      <c r="K20" s="419"/>
      <c r="L20" s="421"/>
      <c r="M20" s="422"/>
      <c r="N20" s="423"/>
      <c r="O20" s="424" t="str">
        <f>IF('Prod. Escrita'!T19="","",'Prod. Escrita'!T19)</f>
        <v/>
      </c>
      <c r="P20" s="425"/>
      <c r="Q20" s="426" t="str">
        <f>IF('Prod. Escrita'!AG19="","",'Prod. Escrita'!AG19)</f>
        <v/>
      </c>
      <c r="R20" s="427"/>
      <c r="S20" s="427"/>
      <c r="T20" s="428"/>
      <c r="U20" s="467" t="str">
        <f>IF(AREAS((C20,F20,I20,L20,O20))-COUNT(C20,F20,I20,L20,O20)=0,SUM($C20*$E18,$F20*$H$7,$I20*$K$7,$L20*$N$6,$O20*$S$6),"")</f>
        <v/>
      </c>
      <c r="V20" s="31" t="str">
        <f t="shared" si="0"/>
        <v/>
      </c>
      <c r="W20" s="107"/>
      <c r="X20" s="91" t="str">
        <f t="shared" si="1"/>
        <v/>
      </c>
      <c r="Y20" s="465" t="str">
        <f>IF(AREAS((D20,G20,J20,M20,Q20))-COUNT(D20,G20,J20,M20,Q20)=0,SUM($D20*$E18,$G20*$H$7,$J20*$K$7,$M20*$N$6,$Q20*$S$6),"")</f>
        <v/>
      </c>
      <c r="Z20" s="133" t="str">
        <f t="shared" si="2"/>
        <v/>
      </c>
      <c r="AA20" s="117"/>
      <c r="AB20" s="110" t="str">
        <f t="shared" si="3"/>
        <v/>
      </c>
      <c r="AC20" s="46"/>
      <c r="AH20" s="55"/>
    </row>
    <row r="21" spans="1:37" ht="13.5" customHeight="1" thickBot="1" x14ac:dyDescent="0.3">
      <c r="A21" s="54">
        <v>13</v>
      </c>
      <c r="B21" s="74" t="s">
        <v>67</v>
      </c>
      <c r="C21" s="429" t="str">
        <f>IF('Comp. Escrita'!AD20="","",'Comp. Escrita'!AD20)</f>
        <v/>
      </c>
      <c r="D21" s="430" t="str">
        <f>IF('Comp. Escrita'!BA20="","",'Comp. Escrita'!BA20)</f>
        <v/>
      </c>
      <c r="E21" s="431"/>
      <c r="F21" s="432">
        <f>IF(Oralidade!N20="","",Oralidade!N20)</f>
        <v>1</v>
      </c>
      <c r="G21" s="430" t="str">
        <f>IF(Oralidade!W20="","",Oralidade!W20)</f>
        <v/>
      </c>
      <c r="H21" s="431"/>
      <c r="I21" s="432">
        <f>IF(Oralidade!P20="","",Oralidade!P20)</f>
        <v>1</v>
      </c>
      <c r="J21" s="430" t="str">
        <f>IF(Oralidade!Y20="","",Oralidade!Y20)</f>
        <v/>
      </c>
      <c r="K21" s="431"/>
      <c r="L21" s="433"/>
      <c r="M21" s="434"/>
      <c r="N21" s="435"/>
      <c r="O21" s="436" t="str">
        <f>IF('Prod. Escrita'!T20="","",'Prod. Escrita'!T20)</f>
        <v/>
      </c>
      <c r="P21" s="437"/>
      <c r="Q21" s="438" t="str">
        <f>IF('Prod. Escrita'!AG20="","",'Prod. Escrita'!AG20)</f>
        <v/>
      </c>
      <c r="R21" s="439"/>
      <c r="S21" s="439"/>
      <c r="T21" s="440"/>
      <c r="U21" s="466" t="str">
        <f>IF(AREAS((C21,F21,I21,L21,O21))-COUNT(C21,F21,I21,L21,O21)=0,SUM($C21*$E19,$F21*$H$7,$I21*$K$7,$L21*$N$6,$O21*$S$6),"")</f>
        <v/>
      </c>
      <c r="V21" s="32" t="str">
        <f t="shared" si="0"/>
        <v/>
      </c>
      <c r="W21" s="108"/>
      <c r="X21" s="92" t="str">
        <f t="shared" si="1"/>
        <v/>
      </c>
      <c r="Y21" s="464" t="str">
        <f>IF(AREAS((D21,G21,J21,M21,Q21))-COUNT(D21,G21,J21,M21,Q21)=0,SUM($D21*$E19,$G21*$H$7,$J21*$K$7,$M21*$N$6,$Q21*$S$6),"")</f>
        <v/>
      </c>
      <c r="Z21" s="100" t="str">
        <f t="shared" si="2"/>
        <v/>
      </c>
      <c r="AA21" s="118"/>
      <c r="AB21" s="111"/>
      <c r="AC21" s="46"/>
    </row>
    <row r="22" spans="1:37" ht="13.5" customHeight="1" thickBot="1" x14ac:dyDescent="0.3">
      <c r="A22" s="53">
        <v>14</v>
      </c>
      <c r="B22" s="73" t="s">
        <v>68</v>
      </c>
      <c r="C22" s="417" t="str">
        <f>IF('Comp. Escrita'!AD21="","",'Comp. Escrita'!AD21)</f>
        <v/>
      </c>
      <c r="D22" s="418" t="str">
        <f>IF('Comp. Escrita'!BA21="","",'Comp. Escrita'!BA21)</f>
        <v/>
      </c>
      <c r="E22" s="419"/>
      <c r="F22" s="420">
        <f>IF(Oralidade!N21="","",Oralidade!N21)</f>
        <v>100</v>
      </c>
      <c r="G22" s="418" t="str">
        <f>IF(Oralidade!W21="","",Oralidade!W21)</f>
        <v/>
      </c>
      <c r="H22" s="419"/>
      <c r="I22" s="420">
        <f>IF(Oralidade!P21="","",Oralidade!P21)</f>
        <v>70</v>
      </c>
      <c r="J22" s="418" t="str">
        <f>IF(Oralidade!Y21="","",Oralidade!Y21)</f>
        <v/>
      </c>
      <c r="K22" s="419"/>
      <c r="L22" s="421"/>
      <c r="M22" s="422"/>
      <c r="N22" s="423"/>
      <c r="O22" s="424" t="str">
        <f>IF('Prod. Escrita'!T21="","",'Prod. Escrita'!T21)</f>
        <v/>
      </c>
      <c r="P22" s="425"/>
      <c r="Q22" s="426" t="str">
        <f>IF('Prod. Escrita'!AG21="","",'Prod. Escrita'!AG21)</f>
        <v/>
      </c>
      <c r="R22" s="427"/>
      <c r="S22" s="427"/>
      <c r="T22" s="428"/>
      <c r="U22" s="467" t="str">
        <f>IF(AREAS((C22,F22,I22,L22,O22))-COUNT(C22,F22,I22,L22,O22)=0,SUM($C22*$E20,$F22*$H$7,$I22*$K$7,$L22*$N$6,$O22*$S$6),"")</f>
        <v/>
      </c>
      <c r="V22" s="31" t="str">
        <f t="shared" si="0"/>
        <v/>
      </c>
      <c r="W22" s="107"/>
      <c r="X22" s="91" t="str">
        <f t="shared" si="1"/>
        <v/>
      </c>
      <c r="Y22" s="465" t="str">
        <f>IF(AREAS((D22,G22,J22,M22,Q22))-COUNT(D22,G22,J22,M22,Q22)=0,SUM($D22*$E20,$G22*$H$7,$J22*$K$7,$M22*$N$6,$Q22*$S$6),"")</f>
        <v/>
      </c>
      <c r="Z22" s="133" t="str">
        <f t="shared" si="2"/>
        <v/>
      </c>
      <c r="AA22" s="117"/>
      <c r="AB22" s="110" t="str">
        <f t="shared" si="3"/>
        <v/>
      </c>
      <c r="AC22" s="46"/>
    </row>
    <row r="23" spans="1:37" ht="13.5" customHeight="1" thickBot="1" x14ac:dyDescent="0.3">
      <c r="A23" s="54">
        <v>15</v>
      </c>
      <c r="B23" s="74" t="s">
        <v>69</v>
      </c>
      <c r="C23" s="429" t="str">
        <f>IF('Comp. Escrita'!AD22="","",'Comp. Escrita'!AD22)</f>
        <v/>
      </c>
      <c r="D23" s="430" t="str">
        <f>IF('Comp. Escrita'!BA22="","",'Comp. Escrita'!BA22)</f>
        <v/>
      </c>
      <c r="E23" s="431"/>
      <c r="F23" s="432">
        <f>IF(Oralidade!N22="","",Oralidade!N22)</f>
        <v>96</v>
      </c>
      <c r="G23" s="430" t="str">
        <f>IF(Oralidade!W22="","",Oralidade!W22)</f>
        <v/>
      </c>
      <c r="H23" s="431"/>
      <c r="I23" s="432">
        <f>IF(Oralidade!P22="","",Oralidade!P22)</f>
        <v>70</v>
      </c>
      <c r="J23" s="430" t="str">
        <f>IF(Oralidade!Y22="","",Oralidade!Y22)</f>
        <v/>
      </c>
      <c r="K23" s="431"/>
      <c r="L23" s="433"/>
      <c r="M23" s="434"/>
      <c r="N23" s="435"/>
      <c r="O23" s="436" t="str">
        <f>IF('Prod. Escrita'!T22="","",'Prod. Escrita'!T22)</f>
        <v/>
      </c>
      <c r="P23" s="437"/>
      <c r="Q23" s="438" t="str">
        <f>IF('Prod. Escrita'!AG22="","",'Prod. Escrita'!AG22)</f>
        <v/>
      </c>
      <c r="R23" s="439"/>
      <c r="S23" s="439"/>
      <c r="T23" s="440"/>
      <c r="U23" s="466" t="str">
        <f>IF(AREAS((C23,F23,I23,L23,O23))-COUNT(C23,F23,I23,L23,O23)=0,SUM($C23*$E21,$F23*$H$7,$I23*$K$7,$L23*$N$6,$O23*$S$6),"")</f>
        <v/>
      </c>
      <c r="V23" s="32" t="str">
        <f t="shared" si="0"/>
        <v/>
      </c>
      <c r="W23" s="108"/>
      <c r="X23" s="92" t="str">
        <f t="shared" si="1"/>
        <v/>
      </c>
      <c r="Y23" s="464" t="str">
        <f>IF(AREAS((D23,G23,J23,M23,Q23))-COUNT(D23,G23,J23,M23,Q23)=0,SUM($D23*$E21,$G23*$H$7,$J23*$K$7,$M23*$N$6,$Q23*$S$6),"")</f>
        <v/>
      </c>
      <c r="Z23" s="100" t="str">
        <f t="shared" si="2"/>
        <v/>
      </c>
      <c r="AA23" s="118"/>
      <c r="AB23" s="111" t="str">
        <f t="shared" si="3"/>
        <v/>
      </c>
      <c r="AC23" s="46"/>
    </row>
    <row r="24" spans="1:37" ht="13.5" customHeight="1" thickBot="1" x14ac:dyDescent="0.3">
      <c r="A24" s="53">
        <v>16</v>
      </c>
      <c r="B24" s="73" t="s">
        <v>70</v>
      </c>
      <c r="C24" s="417" t="str">
        <f>IF('Comp. Escrita'!AD23="","",'Comp. Escrita'!AD23)</f>
        <v/>
      </c>
      <c r="D24" s="418" t="str">
        <f>IF('Comp. Escrita'!BA23="","",'Comp. Escrita'!BA23)</f>
        <v/>
      </c>
      <c r="E24" s="419"/>
      <c r="F24" s="420">
        <f>IF(Oralidade!N23="","",Oralidade!N23)</f>
        <v>100</v>
      </c>
      <c r="G24" s="418" t="str">
        <f>IF(Oralidade!W23="","",Oralidade!W23)</f>
        <v/>
      </c>
      <c r="H24" s="419"/>
      <c r="I24" s="420">
        <f>IF(Oralidade!P23="","",Oralidade!P23)</f>
        <v>90</v>
      </c>
      <c r="J24" s="418" t="str">
        <f>IF(Oralidade!Y23="","",Oralidade!Y23)</f>
        <v/>
      </c>
      <c r="K24" s="419"/>
      <c r="L24" s="421"/>
      <c r="M24" s="422"/>
      <c r="N24" s="423"/>
      <c r="O24" s="424" t="str">
        <f>IF('Prod. Escrita'!T23="","",'Prod. Escrita'!T23)</f>
        <v/>
      </c>
      <c r="P24" s="425"/>
      <c r="Q24" s="426" t="str">
        <f>IF('Prod. Escrita'!AG23="","",'Prod. Escrita'!AG23)</f>
        <v/>
      </c>
      <c r="R24" s="427"/>
      <c r="S24" s="427"/>
      <c r="T24" s="428"/>
      <c r="U24" s="467" t="str">
        <f>IF(AREAS((C24,F24,I24,L24,O24))-COUNT(C24,F24,I24,L24,O24)=0,SUM($C24*$E22,$F24*$H$7,$I24*$K$7,$L24*$N$6,$O24*$S$6),"")</f>
        <v/>
      </c>
      <c r="V24" s="31" t="str">
        <f t="shared" si="0"/>
        <v/>
      </c>
      <c r="W24" s="107"/>
      <c r="X24" s="94" t="str">
        <f t="shared" si="1"/>
        <v/>
      </c>
      <c r="Y24" s="465" t="str">
        <f>IF(AREAS((D24,G24,J24,M24,Q24))-COUNT(D24,G24,J24,M24,Q24)=0,SUM($D24*$E22,$G24*$H$7,$J24*$K$7,$M24*$N$6,$Q24*$S$6),"")</f>
        <v/>
      </c>
      <c r="Z24" s="133" t="str">
        <f t="shared" si="2"/>
        <v/>
      </c>
      <c r="AA24" s="117"/>
      <c r="AB24" s="110" t="str">
        <f t="shared" si="3"/>
        <v/>
      </c>
      <c r="AC24" s="46"/>
    </row>
    <row r="25" spans="1:37" ht="13.5" customHeight="1" thickBot="1" x14ac:dyDescent="0.3">
      <c r="A25" s="54">
        <v>17</v>
      </c>
      <c r="B25" s="74" t="s">
        <v>71</v>
      </c>
      <c r="C25" s="429" t="str">
        <f>IF('Comp. Escrita'!AD24="","",'Comp. Escrita'!AD24)</f>
        <v/>
      </c>
      <c r="D25" s="430" t="str">
        <f>IF('Comp. Escrita'!BA24="","",'Comp. Escrita'!BA24)</f>
        <v/>
      </c>
      <c r="E25" s="431"/>
      <c r="F25" s="432">
        <f>IF(Oralidade!N24="","",Oralidade!N24)</f>
        <v>100</v>
      </c>
      <c r="G25" s="430" t="str">
        <f>IF(Oralidade!W24="","",Oralidade!W24)</f>
        <v/>
      </c>
      <c r="H25" s="431"/>
      <c r="I25" s="432">
        <f>IF(Oralidade!P24="","",Oralidade!P24)</f>
        <v>1</v>
      </c>
      <c r="J25" s="430" t="str">
        <f>IF(Oralidade!Y24="","",Oralidade!Y24)</f>
        <v/>
      </c>
      <c r="K25" s="431"/>
      <c r="L25" s="433"/>
      <c r="M25" s="434"/>
      <c r="N25" s="435"/>
      <c r="O25" s="436" t="str">
        <f>IF('Prod. Escrita'!T24="","",'Prod. Escrita'!T24)</f>
        <v/>
      </c>
      <c r="P25" s="437"/>
      <c r="Q25" s="438" t="str">
        <f>IF('Prod. Escrita'!AG24="","",'Prod. Escrita'!AG24)</f>
        <v/>
      </c>
      <c r="R25" s="439"/>
      <c r="S25" s="439"/>
      <c r="T25" s="440"/>
      <c r="U25" s="466" t="str">
        <f>IF(AREAS((C25,F25,I25,L25,O25))-COUNT(C25,F25,I25,L25,O25)=0,SUM($C25*$E23,$F25*$H$7,$I25*$K$7,$L25*$N$6,$O25*$S$6),"")</f>
        <v/>
      </c>
      <c r="V25" s="32" t="str">
        <f t="shared" si="0"/>
        <v/>
      </c>
      <c r="W25" s="108"/>
      <c r="X25" s="95"/>
      <c r="Y25" s="464" t="str">
        <f>IF(AREAS((D25,G25,J25,M25,Q25))-COUNT(D25,G25,J25,M25,Q25)=0,SUM($D25*$E23,$G25*$H$7,$J25*$K$7,$M25*$N$6,$Q25*$S$6),"")</f>
        <v/>
      </c>
      <c r="Z25" s="100" t="str">
        <f t="shared" si="2"/>
        <v/>
      </c>
      <c r="AA25" s="118"/>
      <c r="AB25" s="111" t="str">
        <f t="shared" si="3"/>
        <v/>
      </c>
      <c r="AC25" s="46"/>
    </row>
    <row r="26" spans="1:37" ht="13.5" customHeight="1" thickBot="1" x14ac:dyDescent="0.3">
      <c r="A26" s="53">
        <v>18</v>
      </c>
      <c r="B26" s="73" t="s">
        <v>51</v>
      </c>
      <c r="C26" s="417" t="str">
        <f>IF('Comp. Escrita'!AD25="","",'Comp. Escrita'!AD25)</f>
        <v/>
      </c>
      <c r="D26" s="418" t="str">
        <f>IF('Comp. Escrita'!BA25="","",'Comp. Escrita'!BA25)</f>
        <v/>
      </c>
      <c r="E26" s="419"/>
      <c r="F26" s="420">
        <f>IF(Oralidade!N25="","",Oralidade!N25)</f>
        <v>100</v>
      </c>
      <c r="G26" s="418" t="str">
        <f>IF(Oralidade!W25="","",Oralidade!W25)</f>
        <v/>
      </c>
      <c r="H26" s="419"/>
      <c r="I26" s="420">
        <f>IF(Oralidade!P25="","",Oralidade!P25)</f>
        <v>60</v>
      </c>
      <c r="J26" s="418" t="str">
        <f>IF(Oralidade!Y25="","",Oralidade!Y25)</f>
        <v/>
      </c>
      <c r="K26" s="419"/>
      <c r="L26" s="421"/>
      <c r="M26" s="422"/>
      <c r="N26" s="423"/>
      <c r="O26" s="424" t="str">
        <f>IF('Prod. Escrita'!T25="","",'Prod. Escrita'!T25)</f>
        <v/>
      </c>
      <c r="P26" s="425"/>
      <c r="Q26" s="426" t="str">
        <f>IF('Prod. Escrita'!AG25="","",'Prod. Escrita'!AG25)</f>
        <v/>
      </c>
      <c r="R26" s="427"/>
      <c r="S26" s="427"/>
      <c r="T26" s="428"/>
      <c r="U26" s="467" t="str">
        <f>IF(AREAS((C26,F26,I26,L26,O26))-COUNT(C26,F26,I26,L26,O26)=0,SUM($C26*$E24,$F26*$H$7,$I26*$K$7,$L26*$N$6,$O26*$S$6),"")</f>
        <v/>
      </c>
      <c r="V26" s="31" t="str">
        <f t="shared" si="0"/>
        <v/>
      </c>
      <c r="W26" s="107"/>
      <c r="X26" s="93" t="str">
        <f t="shared" si="1"/>
        <v/>
      </c>
      <c r="Y26" s="465" t="str">
        <f>IF(AREAS((D26,G26,J26,M26,Q26))-COUNT(D26,G26,J26,M26,Q26)=0,SUM($D26*$E24,$G26*$H$7,$J26*$K$7,$M26*$N$6,$Q26*$S$6),"")</f>
        <v/>
      </c>
      <c r="Z26" s="133" t="str">
        <f t="shared" si="2"/>
        <v/>
      </c>
      <c r="AA26" s="117"/>
      <c r="AB26" s="110" t="str">
        <f t="shared" si="3"/>
        <v/>
      </c>
      <c r="AC26" s="46"/>
    </row>
    <row r="27" spans="1:37" ht="13.5" customHeight="1" thickBot="1" x14ac:dyDescent="0.3">
      <c r="A27" s="54">
        <v>19</v>
      </c>
      <c r="B27" s="74" t="s">
        <v>72</v>
      </c>
      <c r="C27" s="429" t="str">
        <f>IF('Comp. Escrita'!AD26="","",'Comp. Escrita'!AD26)</f>
        <v/>
      </c>
      <c r="D27" s="430" t="str">
        <f>IF('Comp. Escrita'!BA26="","",'Comp. Escrita'!BA26)</f>
        <v/>
      </c>
      <c r="E27" s="431"/>
      <c r="F27" s="432">
        <f>IF(Oralidade!N26="","",Oralidade!N26)</f>
        <v>100</v>
      </c>
      <c r="G27" s="430" t="str">
        <f>IF(Oralidade!W26="","",Oralidade!W26)</f>
        <v/>
      </c>
      <c r="H27" s="431"/>
      <c r="I27" s="432">
        <f>IF(Oralidade!P26="","",Oralidade!P26)</f>
        <v>60</v>
      </c>
      <c r="J27" s="430" t="str">
        <f>IF(Oralidade!Y26="","",Oralidade!Y26)</f>
        <v/>
      </c>
      <c r="K27" s="431"/>
      <c r="L27" s="433"/>
      <c r="M27" s="434"/>
      <c r="N27" s="435"/>
      <c r="O27" s="436" t="str">
        <f>IF('Prod. Escrita'!T26="","",'Prod. Escrita'!T26)</f>
        <v/>
      </c>
      <c r="P27" s="437"/>
      <c r="Q27" s="438" t="str">
        <f>IF('Prod. Escrita'!AG26="","",'Prod. Escrita'!AG26)</f>
        <v/>
      </c>
      <c r="R27" s="439"/>
      <c r="S27" s="439"/>
      <c r="T27" s="440"/>
      <c r="U27" s="466" t="str">
        <f>IF(AREAS((C27,F27,I27,L27,O27))-COUNT(C27,F27,I27,L27,O27)=0,SUM($C27*$E25,$F27*$H$7,$I27*$K$7,$L27*$N$6,$O27*$S$6),"")</f>
        <v/>
      </c>
      <c r="V27" s="32" t="str">
        <f t="shared" si="0"/>
        <v/>
      </c>
      <c r="W27" s="108"/>
      <c r="X27" s="96" t="str">
        <f t="shared" si="1"/>
        <v/>
      </c>
      <c r="Y27" s="464" t="str">
        <f>IF(AREAS((D27,G27,J27,M27,Q27))-COUNT(D27,G27,J27,M27,Q27)=0,SUM($D27*$E25,$G27*$H$7,$J27*$K$7,$M27*$N$6,$Q27*$S$6),"")</f>
        <v/>
      </c>
      <c r="Z27" s="100" t="str">
        <f t="shared" si="2"/>
        <v/>
      </c>
      <c r="AA27" s="118"/>
      <c r="AB27" s="111"/>
      <c r="AC27" s="46"/>
    </row>
    <row r="28" spans="1:37" ht="13.5" customHeight="1" thickBot="1" x14ac:dyDescent="0.3">
      <c r="A28" s="53">
        <v>20</v>
      </c>
      <c r="B28" s="73" t="s">
        <v>73</v>
      </c>
      <c r="C28" s="417" t="str">
        <f>IF('Comp. Escrita'!AD27="","",'Comp. Escrita'!AD27)</f>
        <v/>
      </c>
      <c r="D28" s="418" t="str">
        <f>IF('Comp. Escrita'!BA27="","",'Comp. Escrita'!BA27)</f>
        <v/>
      </c>
      <c r="E28" s="419"/>
      <c r="F28" s="420">
        <f>IF(Oralidade!N27="","",Oralidade!N27)</f>
        <v>91</v>
      </c>
      <c r="G28" s="418" t="str">
        <f>IF(Oralidade!W27="","",Oralidade!W27)</f>
        <v/>
      </c>
      <c r="H28" s="419"/>
      <c r="I28" s="420">
        <f>IF(Oralidade!P27="","",Oralidade!P27)</f>
        <v>60</v>
      </c>
      <c r="J28" s="418" t="str">
        <f>IF(Oralidade!Y27="","",Oralidade!Y27)</f>
        <v/>
      </c>
      <c r="K28" s="419"/>
      <c r="L28" s="421"/>
      <c r="M28" s="422"/>
      <c r="N28" s="423"/>
      <c r="O28" s="424" t="str">
        <f>IF('Prod. Escrita'!T27="","",'Prod. Escrita'!T27)</f>
        <v/>
      </c>
      <c r="P28" s="425"/>
      <c r="Q28" s="426" t="str">
        <f>IF('Prod. Escrita'!AG27="","",'Prod. Escrita'!AG27)</f>
        <v/>
      </c>
      <c r="R28" s="427"/>
      <c r="S28" s="427"/>
      <c r="T28" s="428"/>
      <c r="U28" s="467" t="str">
        <f>IF(AREAS((C28,F28,I28,L28,O28))-COUNT(C28,F28,I28,L28,O28)=0,SUM($C28*$E26,$F28*$H$7,$I28*$K$7,$L28*$N$6,$O28*$S$6),"")</f>
        <v/>
      </c>
      <c r="V28" s="31" t="str">
        <f t="shared" si="0"/>
        <v/>
      </c>
      <c r="W28" s="107"/>
      <c r="X28" s="94" t="str">
        <f t="shared" si="1"/>
        <v/>
      </c>
      <c r="Y28" s="465" t="str">
        <f>IF(AREAS((D28,G28,J28,M28,Q28))-COUNT(D28,G28,J28,M28,Q28)=0,SUM($D28*$E26,$G28*$H$7,$J28*$K$7,$M28*$N$6,$Q28*$S$6),"")</f>
        <v/>
      </c>
      <c r="Z28" s="133" t="str">
        <f t="shared" si="2"/>
        <v/>
      </c>
      <c r="AA28" s="117"/>
      <c r="AB28" s="110" t="str">
        <f t="shared" si="3"/>
        <v/>
      </c>
      <c r="AC28" s="46"/>
    </row>
    <row r="29" spans="1:37" ht="13.5" customHeight="1" x14ac:dyDescent="0.25">
      <c r="A29" s="54">
        <v>21</v>
      </c>
      <c r="B29" s="74" t="s">
        <v>74</v>
      </c>
      <c r="C29" s="429" t="str">
        <f>IF('Comp. Escrita'!AD28="","",'Comp. Escrita'!AD28)</f>
        <v/>
      </c>
      <c r="D29" s="430" t="str">
        <f>IF('Comp. Escrita'!BA28="","",'Comp. Escrita'!BA28)</f>
        <v/>
      </c>
      <c r="E29" s="431"/>
      <c r="F29" s="432">
        <f>IF(Oralidade!N28="","",Oralidade!N28)</f>
        <v>74</v>
      </c>
      <c r="G29" s="430" t="str">
        <f>IF(Oralidade!W28="","",Oralidade!W28)</f>
        <v/>
      </c>
      <c r="H29" s="431"/>
      <c r="I29" s="432">
        <f>IF(Oralidade!P28="","",Oralidade!P28)</f>
        <v>60</v>
      </c>
      <c r="J29" s="430" t="str">
        <f>IF(Oralidade!Y28="","",Oralidade!Y28)</f>
        <v/>
      </c>
      <c r="K29" s="431"/>
      <c r="L29" s="433"/>
      <c r="M29" s="434"/>
      <c r="N29" s="435"/>
      <c r="O29" s="436" t="str">
        <f>IF('Prod. Escrita'!T28="","",'Prod. Escrita'!T28)</f>
        <v/>
      </c>
      <c r="P29" s="437"/>
      <c r="Q29" s="438" t="str">
        <f>IF('Prod. Escrita'!AG28="","",'Prod. Escrita'!AG28)</f>
        <v/>
      </c>
      <c r="R29" s="439"/>
      <c r="S29" s="439"/>
      <c r="T29" s="440"/>
      <c r="U29" s="466" t="str">
        <f>IF(AREAS((C29,F29,I29,L29,O29))-COUNT(C29,F29,I29,L29,O29)=0,SUM($C29*$E27,$F29*$H$7,$I29*$K$7,$L29*$N$6,$O29*$S$6),"")</f>
        <v/>
      </c>
      <c r="V29" s="32" t="str">
        <f t="shared" si="0"/>
        <v/>
      </c>
      <c r="W29" s="108"/>
      <c r="X29" s="96" t="str">
        <f t="shared" si="1"/>
        <v/>
      </c>
      <c r="Y29" s="464" t="str">
        <f>IF(AREAS((D29,G29,J29,M29,Q29))-COUNT(D29,G29,J29,M29,Q29)=0,SUM($D29*$E27,$G29*$H$7,$J29*$K$7,$M29*$N$6,$Q29*$S$6),"")</f>
        <v/>
      </c>
      <c r="Z29" s="100" t="str">
        <f t="shared" si="2"/>
        <v/>
      </c>
      <c r="AA29" s="118"/>
      <c r="AB29" s="111" t="str">
        <f t="shared" si="3"/>
        <v/>
      </c>
      <c r="AC29" s="46"/>
    </row>
    <row r="30" spans="1:37" ht="13.5" customHeight="1" x14ac:dyDescent="0.25">
      <c r="A30" s="53">
        <v>22</v>
      </c>
      <c r="B30" s="125" t="s">
        <v>75</v>
      </c>
      <c r="C30" s="417" t="str">
        <f>IF('Comp. Escrita'!AD29="","",'Comp. Escrita'!AD29)</f>
        <v/>
      </c>
      <c r="D30" s="418" t="str">
        <f>IF('Comp. Escrita'!BA29="","",'Comp. Escrita'!BA29)</f>
        <v/>
      </c>
      <c r="E30" s="419"/>
      <c r="F30" s="420">
        <f>IF(Oralidade!N29="","",Oralidade!N29)</f>
        <v>82</v>
      </c>
      <c r="G30" s="418" t="str">
        <f>IF(Oralidade!W29="","",Oralidade!W29)</f>
        <v/>
      </c>
      <c r="H30" s="419"/>
      <c r="I30" s="420">
        <f>IF(Oralidade!P29="","",Oralidade!P29)</f>
        <v>55</v>
      </c>
      <c r="J30" s="418" t="str">
        <f>IF(Oralidade!Y29="","",Oralidade!Y29)</f>
        <v/>
      </c>
      <c r="K30" s="419"/>
      <c r="L30" s="421"/>
      <c r="M30" s="422"/>
      <c r="N30" s="423"/>
      <c r="O30" s="424" t="str">
        <f>IF('Prod. Escrita'!T29="","",'Prod. Escrita'!T29)</f>
        <v/>
      </c>
      <c r="P30" s="425"/>
      <c r="Q30" s="426" t="str">
        <f>IF('Prod. Escrita'!AG29="","",'Prod. Escrita'!AG29)</f>
        <v/>
      </c>
      <c r="R30" s="427"/>
      <c r="S30" s="427"/>
      <c r="T30" s="428"/>
      <c r="U30" s="468" t="str">
        <f>IF(AREAS((C30,F30,I30,L30,O30))-COUNT(C30,F30,I30,L30,O30)=0,SUM($C30*$E28,$F30*$H$7,$I30*$K$7,$L30*$N$6,$O30*$S$6),"")</f>
        <v/>
      </c>
      <c r="V30" s="31" t="str">
        <f t="shared" si="0"/>
        <v/>
      </c>
      <c r="W30" s="107"/>
      <c r="X30" s="91" t="str">
        <f t="shared" si="1"/>
        <v/>
      </c>
      <c r="Y30" s="465" t="str">
        <f>IF(AREAS((D30,G30,J30,M30,Q30))-COUNT(D30,G30,J30,M30,Q30)=0,SUM($D30*$E28,$G30*$H$7,$J30*$K$7,$M30*$N$6,$Q30*$S$6),"")</f>
        <v/>
      </c>
      <c r="Z30" s="101" t="str">
        <f t="shared" si="2"/>
        <v/>
      </c>
      <c r="AA30" s="117"/>
      <c r="AB30" s="110" t="str">
        <f t="shared" si="3"/>
        <v/>
      </c>
    </row>
    <row r="31" spans="1:37" ht="13.5" customHeight="1" x14ac:dyDescent="0.25">
      <c r="A31" s="54">
        <v>23</v>
      </c>
      <c r="B31" s="74" t="s">
        <v>76</v>
      </c>
      <c r="C31" s="429" t="str">
        <f>IF('Comp. Escrita'!AD30="","",'Comp. Escrita'!AD30)</f>
        <v/>
      </c>
      <c r="D31" s="430" t="str">
        <f>IF('Comp. Escrita'!BA30="","",'Comp. Escrita'!BA30)</f>
        <v/>
      </c>
      <c r="E31" s="431"/>
      <c r="F31" s="432">
        <f>IF(Oralidade!N30="","",Oralidade!N30)</f>
        <v>82</v>
      </c>
      <c r="G31" s="430" t="str">
        <f>IF(Oralidade!W30="","",Oralidade!W30)</f>
        <v/>
      </c>
      <c r="H31" s="431"/>
      <c r="I31" s="432">
        <f>IF(Oralidade!P30="","",Oralidade!P30)</f>
        <v>70</v>
      </c>
      <c r="J31" s="430" t="str">
        <f>IF(Oralidade!Y30="","",Oralidade!Y30)</f>
        <v/>
      </c>
      <c r="K31" s="431"/>
      <c r="L31" s="433"/>
      <c r="M31" s="434"/>
      <c r="N31" s="435"/>
      <c r="O31" s="436" t="str">
        <f>IF('Prod. Escrita'!T30="","",'Prod. Escrita'!T30)</f>
        <v/>
      </c>
      <c r="P31" s="437"/>
      <c r="Q31" s="438" t="str">
        <f>IF('Prod. Escrita'!AG30="","",'Prod. Escrita'!AG30)</f>
        <v/>
      </c>
      <c r="R31" s="439"/>
      <c r="S31" s="439"/>
      <c r="T31" s="440"/>
      <c r="U31" s="466" t="str">
        <f>IF(AREAS((C31,F31,I31,L31,O31))-COUNT(C31,F31,I31,L31,O31)=0,SUM($C31*$E29,$F31*$H$7,$I31*$K$7,$L31*$N$6,$O31*$S$6),"")</f>
        <v/>
      </c>
      <c r="V31" s="32" t="str">
        <f t="shared" si="0"/>
        <v/>
      </c>
      <c r="W31" s="108"/>
      <c r="X31" s="96" t="str">
        <f t="shared" si="1"/>
        <v/>
      </c>
      <c r="Y31" s="464" t="str">
        <f>IF(AREAS((D31,G31,J31,M31,Q31))-COUNT(D31,G31,J31,M31,Q31)=0,SUM($D31*$E29,$G31*$H$7,$J31*$K$7,$M31*$N$6,$Q31*$S$6),"")</f>
        <v/>
      </c>
      <c r="Z31" s="102" t="str">
        <f t="shared" si="2"/>
        <v/>
      </c>
      <c r="AA31" s="118"/>
      <c r="AB31" s="111" t="str">
        <f t="shared" si="3"/>
        <v/>
      </c>
      <c r="AH31" s="51"/>
      <c r="AI31" s="51"/>
      <c r="AJ31" s="51"/>
      <c r="AK31" s="51"/>
    </row>
    <row r="32" spans="1:37" ht="13.5" customHeight="1" x14ac:dyDescent="0.25">
      <c r="A32" s="53"/>
      <c r="B32" s="73"/>
      <c r="C32" s="417" t="str">
        <f>IF('Comp. Escrita'!AD31="","",'Comp. Escrita'!AD31)</f>
        <v/>
      </c>
      <c r="D32" s="418" t="str">
        <f>IF('Comp. Escrita'!BA31="","",'Comp. Escrita'!BA31)</f>
        <v/>
      </c>
      <c r="E32" s="419"/>
      <c r="F32" s="420" t="str">
        <f>IF(Oralidade!N31="","",Oralidade!N31)</f>
        <v/>
      </c>
      <c r="G32" s="418" t="str">
        <f>IF(Oralidade!W31="","",Oralidade!W31)</f>
        <v/>
      </c>
      <c r="H32" s="419"/>
      <c r="I32" s="420" t="str">
        <f>IF(Oralidade!P31="","",Oralidade!P31)</f>
        <v/>
      </c>
      <c r="J32" s="418" t="str">
        <f>IF(Oralidade!Y31="","",Oralidade!Y31)</f>
        <v/>
      </c>
      <c r="K32" s="419"/>
      <c r="L32" s="421"/>
      <c r="M32" s="422"/>
      <c r="N32" s="423"/>
      <c r="O32" s="424" t="str">
        <f>IF('Prod. Escrita'!T31="","",'Prod. Escrita'!T31)</f>
        <v/>
      </c>
      <c r="P32" s="425"/>
      <c r="Q32" s="426" t="str">
        <f>IF('Prod. Escrita'!AG31="","",'Prod. Escrita'!AG31)</f>
        <v/>
      </c>
      <c r="R32" s="427"/>
      <c r="S32" s="427"/>
      <c r="T32" s="428"/>
      <c r="U32" s="467" t="str">
        <f>IF(AREAS((C32,F32,I32,L32,O32))-COUNT(C32,F32,I32,L32,O32)=0,SUM($C32*$E30,$F32*$H$7,$I32*$K$7,$L32*$N$6,$O32*$S$6),"")</f>
        <v/>
      </c>
      <c r="V32" s="31" t="str">
        <f t="shared" si="0"/>
        <v/>
      </c>
      <c r="W32" s="107"/>
      <c r="X32" s="91" t="str">
        <f t="shared" si="1"/>
        <v/>
      </c>
      <c r="Y32" s="465" t="str">
        <f>IF(AREAS((D32,G32,J32,M32,Q32))-COUNT(D32,G32,J32,M32,Q32)=0,SUM($D32*$E30,$G32*$H$7,$J32*$K$7,$M32*$N$6,$Q32*$S$6),"")</f>
        <v/>
      </c>
      <c r="Z32" s="101" t="str">
        <f t="shared" si="2"/>
        <v/>
      </c>
      <c r="AA32" s="117"/>
      <c r="AB32" s="110" t="str">
        <f t="shared" si="3"/>
        <v/>
      </c>
    </row>
    <row r="33" spans="1:28" ht="13.5" customHeight="1" x14ac:dyDescent="0.25">
      <c r="A33" s="54"/>
      <c r="B33" s="74"/>
      <c r="C33" s="429" t="str">
        <f>IF('Comp. Escrita'!AD32="","",'Comp. Escrita'!AD32)</f>
        <v/>
      </c>
      <c r="D33" s="430" t="str">
        <f>IF('Comp. Escrita'!BA32="","",'Comp. Escrita'!BA32)</f>
        <v/>
      </c>
      <c r="E33" s="431"/>
      <c r="F33" s="432" t="str">
        <f>IF(Oralidade!N32="","",Oralidade!N32)</f>
        <v/>
      </c>
      <c r="G33" s="430" t="str">
        <f>IF(Oralidade!W32="","",Oralidade!W32)</f>
        <v/>
      </c>
      <c r="H33" s="431"/>
      <c r="I33" s="432" t="str">
        <f>IF(Oralidade!P32="","",Oralidade!P32)</f>
        <v/>
      </c>
      <c r="J33" s="430" t="str">
        <f>IF(Oralidade!Y32="","",Oralidade!Y32)</f>
        <v/>
      </c>
      <c r="K33" s="431"/>
      <c r="L33" s="433"/>
      <c r="M33" s="434"/>
      <c r="N33" s="435"/>
      <c r="O33" s="436" t="str">
        <f>IF('Prod. Escrita'!T32="","",'Prod. Escrita'!T32)</f>
        <v/>
      </c>
      <c r="P33" s="437"/>
      <c r="Q33" s="438" t="str">
        <f>IF('Prod. Escrita'!AG32="","",'Prod. Escrita'!AG32)</f>
        <v/>
      </c>
      <c r="R33" s="439"/>
      <c r="S33" s="439"/>
      <c r="T33" s="440"/>
      <c r="U33" s="466" t="str">
        <f>IF(AREAS((C33,F33,I33,L33,O33))-COUNT(C33,F33,I33,L33,O33)=0,SUM($C33*$E31,$F33*$H$7,$I33*$K$7,$L33*$N$6,$O33*$S$6),"")</f>
        <v/>
      </c>
      <c r="V33" s="32" t="str">
        <f t="shared" si="0"/>
        <v/>
      </c>
      <c r="W33" s="108"/>
      <c r="X33" s="92" t="str">
        <f t="shared" si="1"/>
        <v/>
      </c>
      <c r="Y33" s="464" t="str">
        <f>IF(AREAS((D33,G33,J33,M33,Q33))-COUNT(D33,G33,J33,M33,Q33)=0,SUM($D33*$E31,$G33*$H$7,$J33*$K$7,$M33*$N$6,$Q33*$S$6),"")</f>
        <v/>
      </c>
      <c r="Z33" s="102" t="str">
        <f t="shared" si="2"/>
        <v/>
      </c>
      <c r="AA33" s="118"/>
      <c r="AB33" s="111" t="str">
        <f t="shared" si="3"/>
        <v/>
      </c>
    </row>
    <row r="34" spans="1:28" ht="13.5" customHeight="1" x14ac:dyDescent="0.25">
      <c r="A34" s="53"/>
      <c r="B34" s="73"/>
      <c r="C34" s="417" t="str">
        <f>IF('Comp. Escrita'!AD33="","",'Comp. Escrita'!AD33)</f>
        <v/>
      </c>
      <c r="D34" s="418" t="str">
        <f>IF('Comp. Escrita'!BA33="","",'Comp. Escrita'!BA33)</f>
        <v/>
      </c>
      <c r="E34" s="419"/>
      <c r="F34" s="420" t="str">
        <f>IF(Oralidade!N33="","",Oralidade!N33)</f>
        <v/>
      </c>
      <c r="G34" s="418" t="str">
        <f>IF(Oralidade!W33="","",Oralidade!W33)</f>
        <v/>
      </c>
      <c r="H34" s="419"/>
      <c r="I34" s="420" t="str">
        <f>IF(Oralidade!P33="","",Oralidade!P33)</f>
        <v/>
      </c>
      <c r="J34" s="418" t="str">
        <f>IF(Oralidade!Y33="","",Oralidade!Y33)</f>
        <v/>
      </c>
      <c r="K34" s="419"/>
      <c r="L34" s="421"/>
      <c r="M34" s="422"/>
      <c r="N34" s="423"/>
      <c r="O34" s="424" t="str">
        <f>IF('Prod. Escrita'!T33="","",'Prod. Escrita'!T33)</f>
        <v/>
      </c>
      <c r="P34" s="425"/>
      <c r="Q34" s="426" t="str">
        <f>IF('Prod. Escrita'!AG33="","",'Prod. Escrita'!AG33)</f>
        <v/>
      </c>
      <c r="R34" s="427"/>
      <c r="S34" s="427"/>
      <c r="T34" s="428"/>
      <c r="U34" s="467" t="str">
        <f>IF(AREAS((C34,F34,I34,L34,O34))-COUNT(C34,F34,I34,L34,O34)=0,SUM($C34*$E32,$F34*$H$7,$I34*$K$7,$L34*$N$6,$O34*$S$6),"")</f>
        <v/>
      </c>
      <c r="V34" s="31" t="str">
        <f t="shared" si="0"/>
        <v/>
      </c>
      <c r="W34" s="107"/>
      <c r="X34" s="94" t="str">
        <f t="shared" si="1"/>
        <v/>
      </c>
      <c r="Y34" s="465" t="str">
        <f>IF(AREAS((D34,G34,J34,M34,Q34))-COUNT(D34,G34,J34,M34,Q34)=0,SUM($D34*$E32,$G34*$H$7,$J34*$K$7,$M34*$N$6,$Q34*$S$6),"")</f>
        <v/>
      </c>
      <c r="Z34" s="101" t="str">
        <f t="shared" si="2"/>
        <v/>
      </c>
      <c r="AA34" s="117"/>
      <c r="AB34" s="110" t="str">
        <f t="shared" si="3"/>
        <v/>
      </c>
    </row>
    <row r="35" spans="1:28" ht="13.5" customHeight="1" x14ac:dyDescent="0.25">
      <c r="A35" s="56"/>
      <c r="B35" s="74"/>
      <c r="C35" s="441" t="str">
        <f>IF('Comp. Escrita'!AD34="","",'Comp. Escrita'!AD34)</f>
        <v/>
      </c>
      <c r="D35" s="430" t="str">
        <f>IF('Comp. Escrita'!BA34="","",'Comp. Escrita'!BA34)</f>
        <v/>
      </c>
      <c r="E35" s="431"/>
      <c r="F35" s="442" t="str">
        <f>IF(Oralidade!N34="","",Oralidade!N34)</f>
        <v/>
      </c>
      <c r="G35" s="430" t="str">
        <f>IF(Oralidade!W34="","",Oralidade!W34)</f>
        <v/>
      </c>
      <c r="H35" s="431"/>
      <c r="I35" s="442" t="str">
        <f>IF(Oralidade!P34="","",Oralidade!P34)</f>
        <v/>
      </c>
      <c r="J35" s="430" t="str">
        <f>IF(Oralidade!Y34="","",Oralidade!Y34)</f>
        <v/>
      </c>
      <c r="K35" s="431"/>
      <c r="L35" s="443"/>
      <c r="M35" s="434"/>
      <c r="N35" s="435"/>
      <c r="O35" s="444" t="str">
        <f>IF('Prod. Escrita'!T34="","",'Prod. Escrita'!T34)</f>
        <v/>
      </c>
      <c r="P35" s="445"/>
      <c r="Q35" s="446" t="str">
        <f>IF('Prod. Escrita'!AG34="","",'Prod. Escrita'!AG34)</f>
        <v/>
      </c>
      <c r="R35" s="447"/>
      <c r="S35" s="447"/>
      <c r="T35" s="448"/>
      <c r="U35" s="466" t="str">
        <f>IF(AREAS((C35,F35,I35,L35,O35))-COUNT(C35,F35,I35,L35,O35)=0,SUM($C35*$E33,$F35*$H$7,$I35*$K$7,$L35*$N$6,$O35*$S$6),"")</f>
        <v/>
      </c>
      <c r="V35" s="57" t="str">
        <f t="shared" si="0"/>
        <v/>
      </c>
      <c r="W35" s="122"/>
      <c r="X35" s="97"/>
      <c r="Y35" s="464" t="str">
        <f>IF(AREAS((D35,G35,J35,M35,Q35))-COUNT(D35,G35,J35,M35,Q35)=0,SUM($D35*$E33,$G35*$H$7,$J35*$K$7,$M35*$N$6,$Q35*$S$6),"")</f>
        <v/>
      </c>
      <c r="Z35" s="103" t="str">
        <f t="shared" si="2"/>
        <v/>
      </c>
      <c r="AA35" s="119"/>
      <c r="AB35" s="112" t="str">
        <f t="shared" si="3"/>
        <v/>
      </c>
    </row>
    <row r="36" spans="1:28" ht="13.5" customHeight="1" x14ac:dyDescent="0.25">
      <c r="A36" s="60"/>
      <c r="B36" s="75"/>
      <c r="C36" s="417" t="str">
        <f>IF('Comp. Escrita'!AD35="","",'Comp. Escrita'!AD35)</f>
        <v/>
      </c>
      <c r="D36" s="418" t="str">
        <f>IF('Comp. Escrita'!BA35="","",'Comp. Escrita'!BA35)</f>
        <v/>
      </c>
      <c r="E36" s="419"/>
      <c r="F36" s="420" t="str">
        <f>IF(Oralidade!N35="","",Oralidade!N35)</f>
        <v/>
      </c>
      <c r="G36" s="418" t="str">
        <f>IF(Oralidade!W35="","",Oralidade!W35)</f>
        <v/>
      </c>
      <c r="H36" s="419"/>
      <c r="I36" s="420" t="str">
        <f>IF(Oralidade!P35="","",Oralidade!P35)</f>
        <v/>
      </c>
      <c r="J36" s="418" t="str">
        <f>IF(Oralidade!Y35="","",Oralidade!Y35)</f>
        <v/>
      </c>
      <c r="K36" s="419"/>
      <c r="L36" s="421"/>
      <c r="M36" s="422"/>
      <c r="N36" s="423"/>
      <c r="O36" s="449" t="str">
        <f>IF('Prod. Escrita'!T35="","",'Prod. Escrita'!T35)</f>
        <v/>
      </c>
      <c r="P36" s="450"/>
      <c r="Q36" s="451" t="str">
        <f>IF('Prod. Escrita'!AG35="","",'Prod. Escrita'!AG35)</f>
        <v/>
      </c>
      <c r="R36" s="452"/>
      <c r="S36" s="452"/>
      <c r="T36" s="453"/>
      <c r="U36" s="467" t="str">
        <f>IF(AREAS((C36,F36,I36,L36,O36))-COUNT(C36,F36,I36,L36,O36)=0,SUM($C36*$E34,$F36*$H$7,$I36*$K$7,$L36*$N$6,$O36*$S$6),"")</f>
        <v/>
      </c>
      <c r="V36" s="61" t="str">
        <f t="shared" si="0"/>
        <v/>
      </c>
      <c r="W36" s="123"/>
      <c r="X36" s="98"/>
      <c r="Y36" s="465" t="str">
        <f>IF(AREAS((D36,G36,J36,M36,Q36))-COUNT(D36,G36,J36,M36,Q36)=0,SUM($D36*$E34,$G36*$H$7,$J36*$K$7,$M36*$N$6,$Q36*$S$6),"")</f>
        <v/>
      </c>
      <c r="Z36" s="104" t="str">
        <f t="shared" si="2"/>
        <v/>
      </c>
      <c r="AA36" s="120"/>
      <c r="AB36" s="113" t="str">
        <f t="shared" si="3"/>
        <v/>
      </c>
    </row>
    <row r="37" spans="1:28" ht="13.5" customHeight="1" x14ac:dyDescent="0.25">
      <c r="A37" s="58"/>
      <c r="B37" s="76"/>
      <c r="C37" s="454" t="str">
        <f>IF('Comp. Escrita'!AD36="","",'Comp. Escrita'!AD36)</f>
        <v/>
      </c>
      <c r="D37" s="430" t="str">
        <f>IF('Comp. Escrita'!BA36="","",'Comp. Escrita'!BA36)</f>
        <v/>
      </c>
      <c r="E37" s="431"/>
      <c r="F37" s="455" t="str">
        <f>IF(Oralidade!N36="","",Oralidade!N36)</f>
        <v/>
      </c>
      <c r="G37" s="430" t="str">
        <f>IF(Oralidade!W36="","",Oralidade!W36)</f>
        <v/>
      </c>
      <c r="H37" s="431"/>
      <c r="I37" s="455" t="str">
        <f>IF(Oralidade!P36="","",Oralidade!P36)</f>
        <v/>
      </c>
      <c r="J37" s="430" t="str">
        <f>IF(Oralidade!Y36="","",Oralidade!Y36)</f>
        <v/>
      </c>
      <c r="K37" s="431"/>
      <c r="L37" s="456"/>
      <c r="M37" s="434"/>
      <c r="N37" s="435"/>
      <c r="O37" s="457" t="str">
        <f>IF('Prod. Escrita'!T36="","",'Prod. Escrita'!T36)</f>
        <v/>
      </c>
      <c r="P37" s="458"/>
      <c r="Q37" s="459" t="str">
        <f>IF('Prod. Escrita'!AG36="","",'Prod. Escrita'!AG36)</f>
        <v/>
      </c>
      <c r="R37" s="460"/>
      <c r="S37" s="460"/>
      <c r="T37" s="461"/>
      <c r="U37" s="466" t="str">
        <f>IF(AREAS((C37,F37,I37,L37,O37))-COUNT(C37,F37,I37,L37,O37)=0,SUM($C37*$E35,$F37*$H$7,$I37*$K$7,$L37*$N$6,$O37*$S$6),"")</f>
        <v/>
      </c>
      <c r="V37" s="59" t="str">
        <f t="shared" si="0"/>
        <v/>
      </c>
      <c r="W37" s="127"/>
      <c r="X37" s="99"/>
      <c r="Y37" s="464" t="str">
        <f>IF(AREAS((D37,G37,J37,M37,Q37))-COUNT(D37,G37,J37,M37,Q37)=0,SUM($D37*$E35,$G37*$H$7,$J37*$K$7,$M37*$N$6,$Q37*$S$6),"")</f>
        <v/>
      </c>
      <c r="Z37" s="105" t="str">
        <f t="shared" si="2"/>
        <v/>
      </c>
      <c r="AA37" s="121"/>
      <c r="AB37" s="114" t="str">
        <f t="shared" si="3"/>
        <v/>
      </c>
    </row>
    <row r="38" spans="1:28" ht="13.5" customHeight="1" x14ac:dyDescent="0.25">
      <c r="A38" s="53"/>
      <c r="B38" s="75" t="s">
        <v>25</v>
      </c>
      <c r="C38" s="417" t="str">
        <f>IF('Comp. Escrita'!AD37="","",'Comp. Escrita'!AD37)</f>
        <v/>
      </c>
      <c r="D38" s="418" t="str">
        <f>IF('Comp. Escrita'!BA37="","",'Comp. Escrita'!BA37)</f>
        <v/>
      </c>
      <c r="E38" s="419"/>
      <c r="F38" s="420" t="str">
        <f>IF(Oralidade!N37="","",Oralidade!N37)</f>
        <v/>
      </c>
      <c r="G38" s="418" t="str">
        <f>IF(Oralidade!W37="","",Oralidade!W37)</f>
        <v/>
      </c>
      <c r="H38" s="419"/>
      <c r="I38" s="420" t="str">
        <f>IF(Oralidade!P37="","",Oralidade!P37)</f>
        <v/>
      </c>
      <c r="J38" s="418" t="str">
        <f>IF(Oralidade!X37="","",Oralidade!X37)</f>
        <v/>
      </c>
      <c r="K38" s="419"/>
      <c r="L38" s="421"/>
      <c r="M38" s="422"/>
      <c r="N38" s="423"/>
      <c r="O38" s="424" t="str">
        <f>IF('Prod. Escrita'!T37="","",'Prod. Escrita'!T37)</f>
        <v/>
      </c>
      <c r="P38" s="425"/>
      <c r="Q38" s="426" t="str">
        <f>IF('Prod. Escrita'!AG37="","",'Prod. Escrita'!AG37)</f>
        <v/>
      </c>
      <c r="R38" s="427"/>
      <c r="S38" s="427"/>
      <c r="T38" s="428"/>
      <c r="U38" s="469" t="str">
        <f>IF(AREAS((C38,F38,I38,L38,O38))-COUNT(C38,F38,I38,L38,O38)=0,SUM($C38*$E36,$F38*$H$7,$I38*$K$7,$L38*$N$6,$O38*$S$6),"")</f>
        <v/>
      </c>
      <c r="V38" s="31" t="str">
        <f t="shared" si="0"/>
        <v/>
      </c>
      <c r="W38" s="126"/>
      <c r="X38" s="98"/>
      <c r="Y38" s="465" t="str">
        <f>IF(AREAS((D38,G38,J38,M38,Q38))-COUNT(D38,G38,J38,M38,Q38)=0,SUM($D38*$E36,$G38*$H$7,$J38*$K$7,$M38*$N$6,$Q38*$S$6),"")</f>
        <v/>
      </c>
      <c r="Z38" s="101" t="str">
        <f t="shared" si="2"/>
        <v/>
      </c>
      <c r="AA38" s="117"/>
      <c r="AB38" s="110" t="str">
        <f t="shared" si="3"/>
        <v/>
      </c>
    </row>
    <row r="39" spans="1:28" ht="15.75" thickBot="1" x14ac:dyDescent="0.3">
      <c r="B39" s="77"/>
    </row>
    <row r="40" spans="1:28" ht="15.75" thickBot="1" x14ac:dyDescent="0.3">
      <c r="B40" s="77"/>
      <c r="M40" s="158" t="s">
        <v>6</v>
      </c>
      <c r="N40" s="159"/>
      <c r="O40" s="159"/>
      <c r="P40" s="159"/>
      <c r="Q40" s="160"/>
      <c r="R40" s="158" t="s">
        <v>7</v>
      </c>
      <c r="S40" s="159"/>
      <c r="T40" s="159"/>
      <c r="U40" s="159"/>
      <c r="V40" s="160"/>
      <c r="W40"/>
      <c r="X40"/>
      <c r="Y40"/>
      <c r="Z40"/>
    </row>
    <row r="41" spans="1:28" x14ac:dyDescent="0.25">
      <c r="B41" s="77"/>
      <c r="M41" s="177" t="s">
        <v>8</v>
      </c>
      <c r="N41" s="178"/>
      <c r="O41" s="162"/>
      <c r="P41" s="163"/>
      <c r="Q41" s="164"/>
      <c r="R41" s="220" t="s">
        <v>8</v>
      </c>
      <c r="S41" s="221"/>
      <c r="T41" s="222"/>
      <c r="U41" s="215"/>
      <c r="V41" s="216"/>
      <c r="W41"/>
      <c r="X41"/>
      <c r="Y41"/>
      <c r="Z41"/>
    </row>
    <row r="42" spans="1:28" x14ac:dyDescent="0.25">
      <c r="M42" s="173" t="s">
        <v>9</v>
      </c>
      <c r="N42" s="174"/>
      <c r="O42" s="165"/>
      <c r="P42" s="166"/>
      <c r="Q42" s="167"/>
      <c r="R42" s="136" t="s">
        <v>9</v>
      </c>
      <c r="S42" s="137"/>
      <c r="T42" s="138"/>
      <c r="U42" s="217"/>
      <c r="V42" s="218"/>
      <c r="W42"/>
      <c r="X42"/>
      <c r="Y42"/>
      <c r="Z42"/>
    </row>
    <row r="43" spans="1:28" x14ac:dyDescent="0.25">
      <c r="M43" s="173" t="s">
        <v>10</v>
      </c>
      <c r="N43" s="174"/>
      <c r="O43" s="168" t="str">
        <f>CONCATENATE(IF(SUM(O44:Q48)&gt;0,FIXED(100*SUM(O46:Q48)/SUM(O44:Q48)),0), "%")</f>
        <v>0%</v>
      </c>
      <c r="P43" s="168"/>
      <c r="Q43" s="168"/>
      <c r="R43" s="136" t="s">
        <v>10</v>
      </c>
      <c r="S43" s="137"/>
      <c r="T43" s="138"/>
      <c r="U43" s="219" t="str">
        <f>CONCATENATE(IF(SUM(U44:V48)&gt;0,FIXED(100*SUM(U46:V48)/SUM(U44:V48)),0), "%")</f>
        <v>0%</v>
      </c>
      <c r="V43" s="140"/>
      <c r="W43"/>
      <c r="X43"/>
      <c r="Y43"/>
      <c r="Z43"/>
    </row>
    <row r="44" spans="1:28" x14ac:dyDescent="0.25">
      <c r="M44" s="173" t="s">
        <v>27</v>
      </c>
      <c r="N44" s="174"/>
      <c r="O44" s="169">
        <f>COUNTIF(X9:X38,"1")</f>
        <v>0</v>
      </c>
      <c r="P44" s="170"/>
      <c r="Q44" s="171"/>
      <c r="R44" s="136" t="s">
        <v>27</v>
      </c>
      <c r="S44" s="137"/>
      <c r="T44" s="138"/>
      <c r="U44" s="139">
        <f>COUNTIF(AB9:AB38,"1")</f>
        <v>0</v>
      </c>
      <c r="V44" s="140"/>
      <c r="W44"/>
      <c r="X44"/>
      <c r="Y44"/>
      <c r="Z44"/>
    </row>
    <row r="45" spans="1:28" x14ac:dyDescent="0.25">
      <c r="M45" s="173" t="s">
        <v>11</v>
      </c>
      <c r="N45" s="174"/>
      <c r="O45" s="172">
        <f>COUNTIF(X9:X38,"2")</f>
        <v>0</v>
      </c>
      <c r="P45" s="170"/>
      <c r="Q45" s="171"/>
      <c r="R45" s="136" t="s">
        <v>11</v>
      </c>
      <c r="S45" s="137"/>
      <c r="T45" s="138"/>
      <c r="U45" s="139">
        <f>COUNTIF(AB9:AB38,"2")</f>
        <v>0</v>
      </c>
      <c r="V45" s="140"/>
      <c r="W45"/>
      <c r="X45"/>
      <c r="Y45"/>
      <c r="Z45"/>
    </row>
    <row r="46" spans="1:28" x14ac:dyDescent="0.25">
      <c r="M46" s="173" t="s">
        <v>12</v>
      </c>
      <c r="N46" s="174"/>
      <c r="O46" s="172">
        <f>COUNTIF(X9:X38,"3")</f>
        <v>0</v>
      </c>
      <c r="P46" s="170"/>
      <c r="Q46" s="171"/>
      <c r="R46" s="136" t="s">
        <v>12</v>
      </c>
      <c r="S46" s="137"/>
      <c r="T46" s="138"/>
      <c r="U46" s="139">
        <f>COUNTIF(AB9:AB38,"3")</f>
        <v>0</v>
      </c>
      <c r="V46" s="140"/>
      <c r="W46"/>
      <c r="X46"/>
      <c r="Y46"/>
      <c r="Z46"/>
    </row>
    <row r="47" spans="1:28" x14ac:dyDescent="0.25">
      <c r="M47" s="175" t="s">
        <v>13</v>
      </c>
      <c r="N47" s="176"/>
      <c r="O47" s="172">
        <f>COUNTIF(X9:X38,"4")</f>
        <v>0</v>
      </c>
      <c r="P47" s="170"/>
      <c r="Q47" s="171"/>
      <c r="R47" s="136" t="s">
        <v>13</v>
      </c>
      <c r="S47" s="137"/>
      <c r="T47" s="138"/>
      <c r="U47" s="139">
        <f>COUNTIF(AB9:AB38,"4")</f>
        <v>0</v>
      </c>
      <c r="V47" s="140"/>
      <c r="W47"/>
      <c r="X47"/>
      <c r="Y47"/>
      <c r="Z47"/>
    </row>
    <row r="48" spans="1:28" ht="15.75" thickBot="1" x14ac:dyDescent="0.3">
      <c r="M48" s="156" t="s">
        <v>14</v>
      </c>
      <c r="N48" s="157"/>
      <c r="O48" s="134">
        <f>COUNTIF(X9:X38,"5")</f>
        <v>0</v>
      </c>
      <c r="P48" s="161"/>
      <c r="Q48" s="135"/>
      <c r="R48" s="179" t="s">
        <v>14</v>
      </c>
      <c r="S48" s="180"/>
      <c r="T48" s="181"/>
      <c r="U48" s="134">
        <f>COUNTIF(AB9:AB38,"5")</f>
        <v>0</v>
      </c>
      <c r="V48" s="135"/>
      <c r="W48"/>
    </row>
    <row r="49" spans="23:23" x14ac:dyDescent="0.25">
      <c r="W49" s="35"/>
    </row>
  </sheetData>
  <sheetProtection algorithmName="SHA-512" hashValue="JkVdqcLFAY8CyrUsh3MWrv/H9OtkGJE1Ptj9VE9k9u0RYF1lLga5p3T2ZDROfkNYna+S1/FanTy3kiih217xEQ==" saltValue="1JwNcjk3rf9Y5haUv2KEFQ==" spinCount="100000" sheet="1" objects="1" scenarios="1"/>
  <mergeCells count="243">
    <mergeCell ref="C7:D7"/>
    <mergeCell ref="Z4:AC4"/>
    <mergeCell ref="D36:E36"/>
    <mergeCell ref="D37:E37"/>
    <mergeCell ref="D38:E38"/>
    <mergeCell ref="C6:E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O28:P28"/>
    <mergeCell ref="O33:P33"/>
    <mergeCell ref="O18:P18"/>
    <mergeCell ref="O29:P29"/>
    <mergeCell ref="O24:P24"/>
    <mergeCell ref="O25:P25"/>
    <mergeCell ref="O26:P26"/>
    <mergeCell ref="O27:P27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U41:V41"/>
    <mergeCell ref="U42:V42"/>
    <mergeCell ref="U43:V43"/>
    <mergeCell ref="R40:V40"/>
    <mergeCell ref="R41:T41"/>
    <mergeCell ref="O30:P30"/>
    <mergeCell ref="O31:P31"/>
    <mergeCell ref="O38:P38"/>
    <mergeCell ref="O35:P35"/>
    <mergeCell ref="O36:P36"/>
    <mergeCell ref="O37:P37"/>
    <mergeCell ref="O34:P34"/>
    <mergeCell ref="O32:P32"/>
    <mergeCell ref="Q38:T38"/>
    <mergeCell ref="Q35:T35"/>
    <mergeCell ref="Q36:T36"/>
    <mergeCell ref="Q37:T37"/>
    <mergeCell ref="Q33:T33"/>
    <mergeCell ref="Q34:T34"/>
    <mergeCell ref="G8:H8"/>
    <mergeCell ref="O9:P9"/>
    <mergeCell ref="O10:P10"/>
    <mergeCell ref="O11:P11"/>
    <mergeCell ref="O12:P12"/>
    <mergeCell ref="O13:P13"/>
    <mergeCell ref="G11:H11"/>
    <mergeCell ref="G12:H12"/>
    <mergeCell ref="G13:H13"/>
    <mergeCell ref="G9:H9"/>
    <mergeCell ref="G10:H10"/>
    <mergeCell ref="J8:K8"/>
    <mergeCell ref="M8:N8"/>
    <mergeCell ref="M9:N9"/>
    <mergeCell ref="M10:N10"/>
    <mergeCell ref="M11:N11"/>
    <mergeCell ref="M12:N12"/>
    <mergeCell ref="M13:N13"/>
    <mergeCell ref="J9:K9"/>
    <mergeCell ref="J10:K10"/>
    <mergeCell ref="J11:K11"/>
    <mergeCell ref="J12:K12"/>
    <mergeCell ref="J13:K13"/>
    <mergeCell ref="O19:P19"/>
    <mergeCell ref="O20:P20"/>
    <mergeCell ref="O21:P21"/>
    <mergeCell ref="O22:P22"/>
    <mergeCell ref="O23:P23"/>
    <mergeCell ref="O14:P14"/>
    <mergeCell ref="O15:P15"/>
    <mergeCell ref="O16:P16"/>
    <mergeCell ref="O17:P17"/>
    <mergeCell ref="Q8:T8"/>
    <mergeCell ref="Q9:T9"/>
    <mergeCell ref="Q10:T10"/>
    <mergeCell ref="Q29:T29"/>
    <mergeCell ref="Q30:T30"/>
    <mergeCell ref="Q31:T31"/>
    <mergeCell ref="Q32:T32"/>
    <mergeCell ref="A1:B2"/>
    <mergeCell ref="C5:AC5"/>
    <mergeCell ref="A6:B6"/>
    <mergeCell ref="L6:M7"/>
    <mergeCell ref="N6:N7"/>
    <mergeCell ref="O6:R7"/>
    <mergeCell ref="S6:T7"/>
    <mergeCell ref="F6:J6"/>
    <mergeCell ref="F7:G7"/>
    <mergeCell ref="I7:J7"/>
    <mergeCell ref="G4:M4"/>
    <mergeCell ref="D1:AG2"/>
    <mergeCell ref="AB6:AB8"/>
    <mergeCell ref="AA6:AA8"/>
    <mergeCell ref="D8:E8"/>
    <mergeCell ref="X6:X8"/>
    <mergeCell ref="U8:V8"/>
    <mergeCell ref="Y8:Z8"/>
    <mergeCell ref="O8:P8"/>
    <mergeCell ref="W6:W8"/>
    <mergeCell ref="U6:V7"/>
    <mergeCell ref="Y6:Z7"/>
    <mergeCell ref="M48:N48"/>
    <mergeCell ref="M40:Q40"/>
    <mergeCell ref="O48:Q48"/>
    <mergeCell ref="O41:Q41"/>
    <mergeCell ref="O42:Q42"/>
    <mergeCell ref="O43:Q43"/>
    <mergeCell ref="O44:Q44"/>
    <mergeCell ref="O45:Q45"/>
    <mergeCell ref="O46:Q46"/>
    <mergeCell ref="O47:Q47"/>
    <mergeCell ref="M43:N43"/>
    <mergeCell ref="M44:N44"/>
    <mergeCell ref="M45:N45"/>
    <mergeCell ref="M46:N46"/>
    <mergeCell ref="M47:N47"/>
    <mergeCell ref="M41:N41"/>
    <mergeCell ref="M42:N42"/>
    <mergeCell ref="R48:T48"/>
    <mergeCell ref="R47:T47"/>
    <mergeCell ref="R46:T46"/>
    <mergeCell ref="R45:T45"/>
    <mergeCell ref="R44:T44"/>
    <mergeCell ref="R43:T43"/>
    <mergeCell ref="R42:T42"/>
    <mergeCell ref="U44:V44"/>
    <mergeCell ref="U45:V45"/>
    <mergeCell ref="U46:V46"/>
    <mergeCell ref="U47:V47"/>
    <mergeCell ref="U48:V48"/>
    <mergeCell ref="G23:H23"/>
    <mergeCell ref="G24:H24"/>
    <mergeCell ref="G25:H25"/>
    <mergeCell ref="G26:H26"/>
    <mergeCell ref="G27:H27"/>
    <mergeCell ref="G28:H28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M23:N23"/>
    <mergeCell ref="M24:N24"/>
    <mergeCell ref="M25:N25"/>
    <mergeCell ref="M26:N26"/>
    <mergeCell ref="M27:N27"/>
    <mergeCell ref="M28:N28"/>
    <mergeCell ref="M29:N29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Q11:T11"/>
    <mergeCell ref="Q12:T12"/>
    <mergeCell ref="Q13:T13"/>
    <mergeCell ref="Q14:T14"/>
    <mergeCell ref="Q15:T15"/>
    <mergeCell ref="Q16:T16"/>
    <mergeCell ref="Q17:T17"/>
    <mergeCell ref="Q18:T18"/>
    <mergeCell ref="Q19:T19"/>
    <mergeCell ref="Q20:T20"/>
    <mergeCell ref="Q21:T21"/>
    <mergeCell ref="Q22:T22"/>
    <mergeCell ref="Q23:T23"/>
    <mergeCell ref="Q24:T24"/>
    <mergeCell ref="Q25:T25"/>
    <mergeCell ref="Q26:T26"/>
    <mergeCell ref="Q27:T27"/>
    <mergeCell ref="Q28:T28"/>
    <mergeCell ref="M30:N30"/>
    <mergeCell ref="M31:N31"/>
    <mergeCell ref="M32:N32"/>
    <mergeCell ref="M33:N33"/>
    <mergeCell ref="M34:N34"/>
    <mergeCell ref="M35:N35"/>
    <mergeCell ref="M36:N36"/>
    <mergeCell ref="M37:N37"/>
    <mergeCell ref="M38:N38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36:K36"/>
    <mergeCell ref="J37:K37"/>
    <mergeCell ref="J38:K38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</mergeCells>
  <conditionalFormatting sqref="V35:W38 V9:V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9:AA3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3:Q43">
    <cfRule type="cellIs" dxfId="4" priority="10" operator="greaterThan">
      <formula>50</formula>
    </cfRule>
    <cfRule type="colorScale" priority="11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3" priority="12" operator="greaterThan">
      <formula>50</formula>
    </cfRule>
    <cfRule type="cellIs" dxfId="2" priority="14" operator="greaterThan">
      <formula>50</formula>
    </cfRule>
  </conditionalFormatting>
  <conditionalFormatting sqref="U43:V43">
    <cfRule type="cellIs" dxfId="1" priority="6" operator="greaterThan">
      <formula>50</formula>
    </cfRule>
    <cfRule type="colorScale" priority="8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9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0" priority="13" operator="greaterThan">
      <formula>50</formula>
    </cfRule>
  </conditionalFormatting>
  <conditionalFormatting sqref="Z9:Z29">
    <cfRule type="colorScale" priority="3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V9">
    <cfRule type="colorScale" priority="1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expression" priority="2">
      <formula>$U$9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BA40"/>
  <sheetViews>
    <sheetView zoomScaleNormal="100" workbookViewId="0">
      <selection activeCell="W16" sqref="W16"/>
    </sheetView>
  </sheetViews>
  <sheetFormatPr defaultRowHeight="15" x14ac:dyDescent="0.25"/>
  <cols>
    <col min="1" max="1" width="6.42578125" style="30" customWidth="1"/>
    <col min="2" max="2" width="4.5703125" style="30" customWidth="1"/>
    <col min="3" max="3" width="4.7109375" style="30" customWidth="1"/>
    <col min="4" max="4" width="2.7109375" style="30" customWidth="1"/>
    <col min="5" max="5" width="4.140625" style="30" customWidth="1"/>
    <col min="6" max="6" width="2" style="30" customWidth="1"/>
    <col min="7" max="7" width="3.28515625" style="30" customWidth="1"/>
    <col min="8" max="8" width="6.85546875" style="30" customWidth="1"/>
    <col min="9" max="9" width="5" style="30" customWidth="1"/>
    <col min="10" max="10" width="5.28515625" style="30" customWidth="1"/>
    <col min="11" max="11" width="5.42578125" style="30" customWidth="1"/>
    <col min="12" max="13" width="6" style="30" customWidth="1"/>
    <col min="14" max="14" width="6.42578125" style="30" customWidth="1"/>
    <col min="15" max="16" width="5" style="30" customWidth="1"/>
    <col min="17" max="17" width="4.5703125" style="30" customWidth="1"/>
    <col min="18" max="18" width="12" style="30" customWidth="1"/>
    <col min="19" max="19" width="6.7109375" style="30" customWidth="1"/>
    <col min="20" max="20" width="6" style="30" customWidth="1"/>
    <col min="21" max="21" width="6.5703125" style="30" customWidth="1"/>
    <col min="22" max="22" width="9.140625" style="30"/>
    <col min="23" max="23" width="7.42578125" style="30" customWidth="1"/>
    <col min="24" max="24" width="7" style="30" customWidth="1"/>
    <col min="25" max="25" width="7.140625" style="30" customWidth="1"/>
    <col min="26" max="26" width="6.28515625" style="30" customWidth="1"/>
    <col min="27" max="28" width="6.42578125" style="30" customWidth="1"/>
    <col min="29" max="37" width="9.140625" style="30"/>
    <col min="38" max="38" width="7.5703125" style="30" customWidth="1"/>
    <col min="39" max="39" width="7.85546875" style="30" customWidth="1"/>
    <col min="40" max="40" width="8.28515625" style="30" customWidth="1"/>
    <col min="41" max="43" width="9.140625" style="30"/>
    <col min="44" max="44" width="8.42578125" style="30" customWidth="1"/>
    <col min="45" max="50" width="9.140625" style="30"/>
    <col min="51" max="51" width="7.5703125" style="30" customWidth="1"/>
    <col min="52" max="16384" width="9.140625" style="30"/>
  </cols>
  <sheetData>
    <row r="1" spans="1:53" ht="27" x14ac:dyDescent="0.25">
      <c r="A1" s="1" t="s">
        <v>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53" ht="27.75" thickBot="1" x14ac:dyDescent="0.3">
      <c r="A2" s="19" t="s">
        <v>2</v>
      </c>
      <c r="B2" s="19"/>
      <c r="C2" s="19"/>
      <c r="D2" s="19"/>
      <c r="E2" s="19"/>
      <c r="F2" s="19"/>
      <c r="G2" s="19"/>
      <c r="H2" s="20"/>
      <c r="I2" s="20"/>
      <c r="J2" s="20"/>
      <c r="K2" s="20"/>
      <c r="L2" s="21"/>
      <c r="M2" s="21" t="s">
        <v>35</v>
      </c>
      <c r="N2" s="21" t="s">
        <v>28</v>
      </c>
      <c r="O2" s="21"/>
      <c r="P2" s="21"/>
      <c r="Q2" s="22"/>
      <c r="R2" s="1"/>
    </row>
    <row r="3" spans="1:53" ht="21" thickBot="1" x14ac:dyDescent="0.3">
      <c r="A3" s="14"/>
      <c r="B3" s="13"/>
      <c r="C3" s="13"/>
      <c r="D3" s="13"/>
      <c r="E3" s="13"/>
      <c r="F3" s="13"/>
      <c r="G3" s="13"/>
      <c r="H3" s="240" t="s">
        <v>53</v>
      </c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2"/>
    </row>
    <row r="4" spans="1:53" ht="21" customHeight="1" thickBot="1" x14ac:dyDescent="0.3">
      <c r="A4" s="236"/>
      <c r="B4" s="237"/>
      <c r="C4" s="237"/>
      <c r="D4" s="237"/>
      <c r="E4" s="237"/>
      <c r="F4" s="237"/>
      <c r="G4" s="237"/>
      <c r="H4" s="292" t="s">
        <v>37</v>
      </c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4"/>
      <c r="AE4" s="289" t="s">
        <v>36</v>
      </c>
      <c r="AF4" s="290"/>
      <c r="AG4" s="290"/>
      <c r="AH4" s="290"/>
      <c r="AI4" s="290"/>
      <c r="AJ4" s="290"/>
      <c r="AK4" s="290"/>
      <c r="AL4" s="290"/>
      <c r="AM4" s="290"/>
      <c r="AN4" s="290"/>
      <c r="AO4" s="290"/>
      <c r="AP4" s="290"/>
      <c r="AQ4" s="290"/>
      <c r="AR4" s="290"/>
      <c r="AS4" s="290"/>
      <c r="AT4" s="290"/>
      <c r="AU4" s="290"/>
      <c r="AV4" s="290"/>
      <c r="AW4" s="290"/>
      <c r="AX4" s="290"/>
      <c r="AY4" s="290"/>
      <c r="AZ4" s="290"/>
      <c r="BA4" s="291"/>
    </row>
    <row r="5" spans="1:53" ht="18.75" customHeight="1" thickBot="1" x14ac:dyDescent="0.3">
      <c r="A5" s="236"/>
      <c r="B5" s="237"/>
      <c r="C5" s="237"/>
      <c r="D5" s="237"/>
      <c r="E5" s="237"/>
      <c r="F5" s="237"/>
      <c r="G5" s="237"/>
      <c r="H5" s="295" t="s">
        <v>78</v>
      </c>
      <c r="I5" s="296"/>
      <c r="J5" s="296"/>
      <c r="K5" s="296"/>
      <c r="L5" s="296"/>
      <c r="M5" s="296"/>
      <c r="N5" s="296"/>
      <c r="O5" s="296"/>
      <c r="P5" s="296"/>
      <c r="Q5" s="296"/>
      <c r="R5" s="297"/>
      <c r="S5" s="295" t="s">
        <v>77</v>
      </c>
      <c r="T5" s="296"/>
      <c r="U5" s="296"/>
      <c r="V5" s="296"/>
      <c r="W5" s="296"/>
      <c r="X5" s="296"/>
      <c r="Y5" s="296"/>
      <c r="Z5" s="296"/>
      <c r="AA5" s="296"/>
      <c r="AB5" s="296"/>
      <c r="AC5" s="299"/>
      <c r="AD5" s="298"/>
      <c r="AE5" s="295" t="s">
        <v>78</v>
      </c>
      <c r="AF5" s="296"/>
      <c r="AG5" s="296"/>
      <c r="AH5" s="296"/>
      <c r="AI5" s="296"/>
      <c r="AJ5" s="296"/>
      <c r="AK5" s="296"/>
      <c r="AL5" s="296"/>
      <c r="AM5" s="296"/>
      <c r="AN5" s="296"/>
      <c r="AO5" s="299"/>
      <c r="AP5" s="302" t="s">
        <v>77</v>
      </c>
      <c r="AQ5" s="300"/>
      <c r="AR5" s="300"/>
      <c r="AS5" s="300"/>
      <c r="AT5" s="300"/>
      <c r="AU5" s="300"/>
      <c r="AV5" s="300"/>
      <c r="AW5" s="300"/>
      <c r="AX5" s="300"/>
      <c r="AY5" s="300"/>
      <c r="AZ5" s="300"/>
      <c r="BA5" s="301"/>
    </row>
    <row r="6" spans="1:53" ht="27.75" customHeight="1" x14ac:dyDescent="0.25">
      <c r="A6" s="238" t="s">
        <v>19</v>
      </c>
      <c r="B6" s="239"/>
      <c r="C6" s="239"/>
      <c r="D6" s="239"/>
      <c r="E6" s="239"/>
      <c r="F6" s="239"/>
      <c r="G6" s="239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132" t="s">
        <v>17</v>
      </c>
      <c r="S6" s="287"/>
      <c r="T6" s="287"/>
      <c r="U6" s="287"/>
      <c r="V6" s="287"/>
      <c r="W6" s="287"/>
      <c r="X6" s="287"/>
      <c r="Y6" s="287"/>
      <c r="Z6" s="287"/>
      <c r="AA6" s="287"/>
      <c r="AB6" s="287"/>
      <c r="AC6" s="132" t="s">
        <v>17</v>
      </c>
      <c r="AD6" s="303" t="s">
        <v>18</v>
      </c>
      <c r="AE6" s="287"/>
      <c r="AF6" s="287"/>
      <c r="AG6" s="287"/>
      <c r="AH6" s="287"/>
      <c r="AI6" s="287"/>
      <c r="AJ6" s="287"/>
      <c r="AK6" s="287"/>
      <c r="AL6" s="287"/>
      <c r="AM6" s="287"/>
      <c r="AN6" s="287"/>
      <c r="AO6" s="304" t="s">
        <v>17</v>
      </c>
      <c r="AP6" s="305"/>
      <c r="AQ6" s="306"/>
      <c r="AR6" s="306"/>
      <c r="AS6" s="306"/>
      <c r="AT6" s="306"/>
      <c r="AU6" s="306"/>
      <c r="AV6" s="306"/>
      <c r="AW6" s="306"/>
      <c r="AX6" s="306"/>
      <c r="AY6" s="306"/>
      <c r="AZ6" s="307" t="s">
        <v>17</v>
      </c>
      <c r="BA6" s="308" t="s">
        <v>18</v>
      </c>
    </row>
    <row r="7" spans="1:53" ht="27" customHeight="1" x14ac:dyDescent="0.25">
      <c r="A7" s="18" t="s">
        <v>4</v>
      </c>
      <c r="B7" s="234" t="s">
        <v>26</v>
      </c>
      <c r="C7" s="235"/>
      <c r="D7" s="235"/>
      <c r="E7" s="235"/>
      <c r="F7" s="235"/>
      <c r="G7" s="235"/>
      <c r="H7" s="310">
        <v>24</v>
      </c>
      <c r="I7" s="310">
        <v>12.5</v>
      </c>
      <c r="J7" s="310">
        <v>12.5</v>
      </c>
      <c r="K7" s="310">
        <v>21</v>
      </c>
      <c r="L7" s="310"/>
      <c r="M7" s="310"/>
      <c r="N7" s="310"/>
      <c r="O7" s="310"/>
      <c r="P7" s="310"/>
      <c r="Q7" s="310"/>
      <c r="R7" s="33">
        <v>100</v>
      </c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33">
        <v>100</v>
      </c>
      <c r="AD7" s="309"/>
      <c r="AE7" s="310">
        <v>10</v>
      </c>
      <c r="AF7" s="310">
        <v>10</v>
      </c>
      <c r="AG7" s="310">
        <v>10</v>
      </c>
      <c r="AH7" s="310">
        <v>10</v>
      </c>
      <c r="AI7" s="310">
        <v>10</v>
      </c>
      <c r="AJ7" s="310">
        <v>10</v>
      </c>
      <c r="AK7" s="310">
        <v>10</v>
      </c>
      <c r="AL7" s="310"/>
      <c r="AM7" s="310"/>
      <c r="AN7" s="310"/>
      <c r="AO7" s="33">
        <f>IF(OR(SUM(AE7:AN7)&gt;100,SUM(AE7:AN7)&lt;0),100,SUM(AE7:AN7))</f>
        <v>70</v>
      </c>
      <c r="AP7" s="310">
        <v>10</v>
      </c>
      <c r="AQ7" s="310">
        <v>10</v>
      </c>
      <c r="AR7" s="310">
        <v>10</v>
      </c>
      <c r="AS7" s="310">
        <v>10</v>
      </c>
      <c r="AT7" s="310">
        <v>10</v>
      </c>
      <c r="AU7" s="310">
        <v>10</v>
      </c>
      <c r="AV7" s="310">
        <v>10</v>
      </c>
      <c r="AW7" s="310">
        <v>10</v>
      </c>
      <c r="AX7" s="310">
        <v>20</v>
      </c>
      <c r="AY7" s="310"/>
      <c r="AZ7" s="33">
        <f>IF(OR(SUM(AP7:AY7)&gt;100,SUM(AP7:AY7)&lt;0),"",SUM(AP7:AY7))</f>
        <v>100</v>
      </c>
      <c r="BA7" s="33">
        <v>100</v>
      </c>
    </row>
    <row r="8" spans="1:53" x14ac:dyDescent="0.25">
      <c r="A8" s="62">
        <f>IF('Avaliação Períodos'!A9=0,"",'Avaliação Períodos'!A9)</f>
        <v>1</v>
      </c>
      <c r="B8" s="225" t="str">
        <f>IF('Avaliação Períodos'!B9=0,"",'Avaliação Períodos'!B9)</f>
        <v>Afonso</v>
      </c>
      <c r="C8" s="226"/>
      <c r="D8" s="226"/>
      <c r="E8" s="226"/>
      <c r="F8" s="226"/>
      <c r="G8" s="226"/>
      <c r="H8" s="311">
        <v>22</v>
      </c>
      <c r="I8" s="312">
        <v>13</v>
      </c>
      <c r="J8" s="312">
        <v>10</v>
      </c>
      <c r="K8" s="312">
        <v>18</v>
      </c>
      <c r="L8" s="312"/>
      <c r="M8" s="312">
        <v>1</v>
      </c>
      <c r="N8" s="312"/>
      <c r="O8" s="312"/>
      <c r="P8" s="313"/>
      <c r="Q8" s="314"/>
      <c r="R8" s="315">
        <f>IF(COUNT(H8:Q8)=0,"",IF(SUM(H8:Q8)&gt;R$7,R$7,SUM(H8:Q8)))</f>
        <v>64</v>
      </c>
      <c r="S8" s="311">
        <v>22</v>
      </c>
      <c r="T8" s="312">
        <v>12</v>
      </c>
      <c r="U8" s="312">
        <v>10</v>
      </c>
      <c r="V8" s="312">
        <v>18</v>
      </c>
      <c r="W8" s="312"/>
      <c r="X8" s="312">
        <v>1</v>
      </c>
      <c r="Y8" s="312"/>
      <c r="Z8" s="312"/>
      <c r="AA8" s="313"/>
      <c r="AB8" s="314"/>
      <c r="AC8" s="315">
        <f>IF(COUNT(S8:AB8)=0,"",IF(SUM(S8:AB8)&gt;AC$7,AC$7,SUM(S8:AB8)))</f>
        <v>63</v>
      </c>
      <c r="AD8" s="316" cm="1">
        <f t="array" ref="AD8">mediaComposicaoGramatica(R8,AC8)</f>
        <v>63.5</v>
      </c>
      <c r="AE8" s="311"/>
      <c r="AF8" s="312"/>
      <c r="AG8" s="312"/>
      <c r="AH8" s="312"/>
      <c r="AI8" s="312"/>
      <c r="AJ8" s="312"/>
      <c r="AK8" s="312"/>
      <c r="AL8" s="312"/>
      <c r="AM8" s="313"/>
      <c r="AN8" s="314"/>
      <c r="AO8" s="315" t="str">
        <f t="shared" ref="AO8:AO37" si="0">IF(COUNT(AE8:AN8)=0,"",SUM(AE8:AN8))</f>
        <v/>
      </c>
      <c r="AP8" s="311"/>
      <c r="AQ8" s="312"/>
      <c r="AR8" s="312">
        <v>10</v>
      </c>
      <c r="AS8" s="312">
        <v>10</v>
      </c>
      <c r="AT8" s="312">
        <v>10</v>
      </c>
      <c r="AU8" s="312"/>
      <c r="AV8" s="312"/>
      <c r="AW8" s="312"/>
      <c r="AX8" s="313"/>
      <c r="AY8" s="314"/>
      <c r="AZ8" s="317">
        <f t="shared" ref="AZ8:AZ37" si="1">IF(COUNT(AP8:AY8)=0,"",SUM(AP8:AY8))</f>
        <v>30</v>
      </c>
      <c r="BA8" s="318" t="str" cm="1">
        <f t="array" ref="BA8">mediaComposicaoGramatica(AO8,AZ8)</f>
        <v/>
      </c>
    </row>
    <row r="9" spans="1:53" x14ac:dyDescent="0.25">
      <c r="A9" s="63">
        <f>IF('Avaliação Períodos'!A10=0,"",'Avaliação Períodos'!A10)</f>
        <v>2</v>
      </c>
      <c r="B9" s="232" t="str">
        <f>IF('Avaliação Períodos'!B10=0,"",'Avaliação Períodos'!B10)</f>
        <v>André</v>
      </c>
      <c r="C9" s="233"/>
      <c r="D9" s="233"/>
      <c r="E9" s="233"/>
      <c r="F9" s="233"/>
      <c r="G9" s="233"/>
      <c r="H9" s="319"/>
      <c r="I9" s="288"/>
      <c r="J9" s="288"/>
      <c r="K9" s="288"/>
      <c r="L9" s="288"/>
      <c r="M9" s="288"/>
      <c r="N9" s="288"/>
      <c r="O9" s="288"/>
      <c r="P9" s="320"/>
      <c r="Q9" s="321"/>
      <c r="R9" s="315" t="str">
        <f t="shared" ref="R9:R37" si="2">IF(COUNT(H9:Q9)=0,"",IF(SUM(H9:Q9)&gt;R$7,R$7,SUM(H9:Q9)))</f>
        <v/>
      </c>
      <c r="S9" s="322"/>
      <c r="T9" s="288"/>
      <c r="U9" s="288"/>
      <c r="V9" s="288"/>
      <c r="W9" s="288"/>
      <c r="X9" s="288"/>
      <c r="Y9" s="288"/>
      <c r="Z9" s="288"/>
      <c r="AA9" s="320"/>
      <c r="AB9" s="321"/>
      <c r="AC9" s="315" t="str">
        <f t="shared" ref="AC9:AC37" si="3">IF(COUNT(S9:AB9)=0,"",IF(SUM(S9:AB9)&gt;AC$7,AC$7,SUM(S9:AB9)))</f>
        <v/>
      </c>
      <c r="AD9" s="316" t="str" cm="1">
        <f t="array" ref="AD9">mediaComposicaoGramatica(R9,AC9)</f>
        <v/>
      </c>
      <c r="AE9" s="319"/>
      <c r="AF9" s="288"/>
      <c r="AG9" s="288"/>
      <c r="AH9" s="288"/>
      <c r="AI9" s="288"/>
      <c r="AJ9" s="288"/>
      <c r="AK9" s="288"/>
      <c r="AL9" s="288"/>
      <c r="AM9" s="320"/>
      <c r="AN9" s="321"/>
      <c r="AO9" s="315" t="str">
        <f t="shared" si="0"/>
        <v/>
      </c>
      <c r="AP9" s="319"/>
      <c r="AQ9" s="288"/>
      <c r="AR9" s="288"/>
      <c r="AS9" s="288"/>
      <c r="AT9" s="288"/>
      <c r="AU9" s="288"/>
      <c r="AV9" s="288"/>
      <c r="AW9" s="288"/>
      <c r="AX9" s="320"/>
      <c r="AY9" s="321"/>
      <c r="AZ9" s="323" t="str">
        <f t="shared" si="1"/>
        <v/>
      </c>
      <c r="BA9" s="318" t="str" cm="1">
        <f t="array" ref="BA9">mediaComposicaoGramatica(AO9,AZ9)</f>
        <v/>
      </c>
    </row>
    <row r="10" spans="1:53" x14ac:dyDescent="0.25">
      <c r="A10" s="62">
        <f>IF('Avaliação Períodos'!A11=0,"",'Avaliação Períodos'!A11)</f>
        <v>3</v>
      </c>
      <c r="B10" s="225" t="str">
        <f>IF('Avaliação Períodos'!B11=0,"",'Avaliação Períodos'!B11)</f>
        <v>Bruno</v>
      </c>
      <c r="C10" s="226"/>
      <c r="D10" s="226"/>
      <c r="E10" s="226"/>
      <c r="F10" s="226"/>
      <c r="G10" s="226"/>
      <c r="H10" s="324"/>
      <c r="I10" s="325"/>
      <c r="J10" s="325"/>
      <c r="K10" s="325"/>
      <c r="L10" s="325"/>
      <c r="M10" s="325"/>
      <c r="N10" s="325"/>
      <c r="O10" s="325"/>
      <c r="P10" s="326"/>
      <c r="Q10" s="327"/>
      <c r="R10" s="315" t="str">
        <f t="shared" si="2"/>
        <v/>
      </c>
      <c r="S10" s="328"/>
      <c r="T10" s="325"/>
      <c r="U10" s="325"/>
      <c r="V10" s="325"/>
      <c r="W10" s="325"/>
      <c r="X10" s="325"/>
      <c r="Y10" s="325"/>
      <c r="Z10" s="325"/>
      <c r="AA10" s="326"/>
      <c r="AB10" s="327"/>
      <c r="AC10" s="315" t="str">
        <f t="shared" si="3"/>
        <v/>
      </c>
      <c r="AD10" s="316" t="str" cm="1">
        <f t="array" ref="AD10">mediaComposicaoGramatica(R10,AC10)</f>
        <v/>
      </c>
      <c r="AE10" s="324"/>
      <c r="AF10" s="325"/>
      <c r="AG10" s="325"/>
      <c r="AH10" s="325"/>
      <c r="AI10" s="325"/>
      <c r="AJ10" s="325"/>
      <c r="AK10" s="325"/>
      <c r="AL10" s="325"/>
      <c r="AM10" s="326"/>
      <c r="AN10" s="327"/>
      <c r="AO10" s="315" t="str">
        <f t="shared" si="0"/>
        <v/>
      </c>
      <c r="AP10" s="324"/>
      <c r="AQ10" s="325"/>
      <c r="AR10" s="325"/>
      <c r="AS10" s="325"/>
      <c r="AT10" s="325"/>
      <c r="AU10" s="325"/>
      <c r="AV10" s="325"/>
      <c r="AW10" s="325"/>
      <c r="AX10" s="326"/>
      <c r="AY10" s="327"/>
      <c r="AZ10" s="323" t="str">
        <f t="shared" si="1"/>
        <v/>
      </c>
      <c r="BA10" s="318" t="str" cm="1">
        <f t="array" ref="BA10">mediaComposicaoGramatica(AO10,AZ10)</f>
        <v/>
      </c>
    </row>
    <row r="11" spans="1:53" x14ac:dyDescent="0.25">
      <c r="A11" s="63">
        <f>IF('Avaliação Períodos'!A12=0,"",'Avaliação Períodos'!A12)</f>
        <v>4</v>
      </c>
      <c r="B11" s="232" t="str">
        <f>IF('Avaliação Períodos'!B12=0,"",'Avaliação Períodos'!B12)</f>
        <v>Catarina</v>
      </c>
      <c r="C11" s="233"/>
      <c r="D11" s="233"/>
      <c r="E11" s="233"/>
      <c r="F11" s="233"/>
      <c r="G11" s="233"/>
      <c r="H11" s="319"/>
      <c r="I11" s="288"/>
      <c r="J11" s="288"/>
      <c r="K11" s="288"/>
      <c r="L11" s="288"/>
      <c r="M11" s="288"/>
      <c r="N11" s="288"/>
      <c r="O11" s="288"/>
      <c r="P11" s="320"/>
      <c r="Q11" s="321"/>
      <c r="R11" s="315" t="str">
        <f t="shared" si="2"/>
        <v/>
      </c>
      <c r="S11" s="322"/>
      <c r="T11" s="288"/>
      <c r="U11" s="288"/>
      <c r="V11" s="288"/>
      <c r="W11" s="288"/>
      <c r="X11" s="288"/>
      <c r="Y11" s="288"/>
      <c r="Z11" s="288"/>
      <c r="AA11" s="320"/>
      <c r="AB11" s="321"/>
      <c r="AC11" s="315" t="str">
        <f t="shared" si="3"/>
        <v/>
      </c>
      <c r="AD11" s="316" t="str" cm="1">
        <f t="array" ref="AD11">mediaComposicaoGramatica(R11,AC11)</f>
        <v/>
      </c>
      <c r="AE11" s="319"/>
      <c r="AF11" s="288"/>
      <c r="AG11" s="288"/>
      <c r="AH11" s="288"/>
      <c r="AI11" s="288"/>
      <c r="AJ11" s="288"/>
      <c r="AK11" s="288"/>
      <c r="AL11" s="288"/>
      <c r="AM11" s="320"/>
      <c r="AN11" s="321"/>
      <c r="AO11" s="315" t="str">
        <f t="shared" si="0"/>
        <v/>
      </c>
      <c r="AP11" s="319"/>
      <c r="AQ11" s="288"/>
      <c r="AR11" s="288"/>
      <c r="AS11" s="288"/>
      <c r="AT11" s="288"/>
      <c r="AU11" s="288"/>
      <c r="AV11" s="288"/>
      <c r="AW11" s="288"/>
      <c r="AX11" s="320"/>
      <c r="AY11" s="321"/>
      <c r="AZ11" s="323" t="str">
        <f t="shared" si="1"/>
        <v/>
      </c>
      <c r="BA11" s="318" t="str" cm="1">
        <f t="array" ref="BA11">mediaComposicaoGramatica(AO11,AZ11)</f>
        <v/>
      </c>
    </row>
    <row r="12" spans="1:53" x14ac:dyDescent="0.25">
      <c r="A12" s="62">
        <f>IF('Avaliação Períodos'!A13=0,"",'Avaliação Períodos'!A13)</f>
        <v>5</v>
      </c>
      <c r="B12" s="225" t="str">
        <f>IF('Avaliação Períodos'!B13=0,"",'Avaliação Períodos'!B13)</f>
        <v>Cheila</v>
      </c>
      <c r="C12" s="226"/>
      <c r="D12" s="226"/>
      <c r="E12" s="226"/>
      <c r="F12" s="226"/>
      <c r="G12" s="226"/>
      <c r="H12" s="324"/>
      <c r="I12" s="325"/>
      <c r="J12" s="325"/>
      <c r="K12" s="325"/>
      <c r="L12" s="325"/>
      <c r="M12" s="325"/>
      <c r="N12" s="325"/>
      <c r="O12" s="325"/>
      <c r="P12" s="326"/>
      <c r="Q12" s="327"/>
      <c r="R12" s="315" t="str">
        <f t="shared" si="2"/>
        <v/>
      </c>
      <c r="S12" s="328"/>
      <c r="T12" s="325"/>
      <c r="U12" s="325"/>
      <c r="V12" s="325"/>
      <c r="W12" s="325"/>
      <c r="X12" s="325"/>
      <c r="Y12" s="325"/>
      <c r="Z12" s="325"/>
      <c r="AA12" s="326"/>
      <c r="AB12" s="327"/>
      <c r="AC12" s="315" t="str">
        <f t="shared" si="3"/>
        <v/>
      </c>
      <c r="AD12" s="316" t="str" cm="1">
        <f t="array" ref="AD12">mediaComposicaoGramatica(R12,AC12)</f>
        <v/>
      </c>
      <c r="AE12" s="324"/>
      <c r="AF12" s="325"/>
      <c r="AG12" s="325"/>
      <c r="AH12" s="325"/>
      <c r="AI12" s="325"/>
      <c r="AJ12" s="325"/>
      <c r="AK12" s="325"/>
      <c r="AL12" s="325"/>
      <c r="AM12" s="326"/>
      <c r="AN12" s="327"/>
      <c r="AO12" s="315" t="str">
        <f t="shared" si="0"/>
        <v/>
      </c>
      <c r="AP12" s="324"/>
      <c r="AQ12" s="325"/>
      <c r="AR12" s="325"/>
      <c r="AS12" s="325"/>
      <c r="AT12" s="325"/>
      <c r="AU12" s="325"/>
      <c r="AV12" s="325"/>
      <c r="AW12" s="325"/>
      <c r="AX12" s="326"/>
      <c r="AY12" s="327"/>
      <c r="AZ12" s="323" t="str">
        <f t="shared" si="1"/>
        <v/>
      </c>
      <c r="BA12" s="318" t="str" cm="1">
        <f t="array" ref="BA12">mediaComposicaoGramatica(AO12,AZ12)</f>
        <v/>
      </c>
    </row>
    <row r="13" spans="1:53" x14ac:dyDescent="0.25">
      <c r="A13" s="63">
        <f>IF('Avaliação Períodos'!A14=0,"",'Avaliação Períodos'!A14)</f>
        <v>6</v>
      </c>
      <c r="B13" s="232" t="str">
        <f>IF('Avaliação Períodos'!B14=0,"",'Avaliação Períodos'!B14)</f>
        <v>Clara</v>
      </c>
      <c r="C13" s="233"/>
      <c r="D13" s="233"/>
      <c r="E13" s="233"/>
      <c r="F13" s="233"/>
      <c r="G13" s="233"/>
      <c r="H13" s="319"/>
      <c r="I13" s="288"/>
      <c r="J13" s="288"/>
      <c r="K13" s="288"/>
      <c r="L13" s="288"/>
      <c r="M13" s="288"/>
      <c r="N13" s="288"/>
      <c r="O13" s="288"/>
      <c r="P13" s="320"/>
      <c r="Q13" s="321"/>
      <c r="R13" s="315" t="str">
        <f t="shared" si="2"/>
        <v/>
      </c>
      <c r="S13" s="322"/>
      <c r="T13" s="288"/>
      <c r="U13" s="288"/>
      <c r="V13" s="288"/>
      <c r="W13" s="288"/>
      <c r="X13" s="288"/>
      <c r="Y13" s="288"/>
      <c r="Z13" s="288"/>
      <c r="AA13" s="320"/>
      <c r="AB13" s="321"/>
      <c r="AC13" s="315" t="str">
        <f t="shared" si="3"/>
        <v/>
      </c>
      <c r="AD13" s="316" t="str" cm="1">
        <f t="array" ref="AD13">mediaComposicaoGramatica(R13,AC13)</f>
        <v/>
      </c>
      <c r="AE13" s="319"/>
      <c r="AF13" s="288"/>
      <c r="AG13" s="288"/>
      <c r="AH13" s="288"/>
      <c r="AI13" s="288"/>
      <c r="AJ13" s="288"/>
      <c r="AK13" s="288"/>
      <c r="AL13" s="288"/>
      <c r="AM13" s="320"/>
      <c r="AN13" s="321"/>
      <c r="AO13" s="315" t="str">
        <f t="shared" si="0"/>
        <v/>
      </c>
      <c r="AP13" s="319"/>
      <c r="AQ13" s="288"/>
      <c r="AR13" s="288"/>
      <c r="AS13" s="288"/>
      <c r="AT13" s="288"/>
      <c r="AU13" s="288"/>
      <c r="AV13" s="288"/>
      <c r="AW13" s="288"/>
      <c r="AX13" s="320"/>
      <c r="AY13" s="321"/>
      <c r="AZ13" s="323" t="str">
        <f t="shared" si="1"/>
        <v/>
      </c>
      <c r="BA13" s="318" t="str" cm="1">
        <f t="array" ref="BA13">mediaComposicaoGramatica(AO13,AZ13)</f>
        <v/>
      </c>
    </row>
    <row r="14" spans="1:53" x14ac:dyDescent="0.25">
      <c r="A14" s="62">
        <f>IF('Avaliação Períodos'!A15=0,"",'Avaliação Períodos'!A15)</f>
        <v>7</v>
      </c>
      <c r="B14" s="225" t="str">
        <f>IF('Avaliação Períodos'!B15=0,"",'Avaliação Períodos'!B15)</f>
        <v>Daniel</v>
      </c>
      <c r="C14" s="226"/>
      <c r="D14" s="226"/>
      <c r="E14" s="226"/>
      <c r="F14" s="226"/>
      <c r="G14" s="226"/>
      <c r="H14" s="324"/>
      <c r="I14" s="325"/>
      <c r="J14" s="325"/>
      <c r="K14" s="325"/>
      <c r="L14" s="325"/>
      <c r="M14" s="325"/>
      <c r="N14" s="325"/>
      <c r="O14" s="325"/>
      <c r="P14" s="326"/>
      <c r="Q14" s="327"/>
      <c r="R14" s="315" t="str">
        <f t="shared" si="2"/>
        <v/>
      </c>
      <c r="S14" s="328"/>
      <c r="T14" s="325"/>
      <c r="U14" s="325"/>
      <c r="V14" s="325"/>
      <c r="W14" s="325"/>
      <c r="X14" s="325"/>
      <c r="Y14" s="325"/>
      <c r="Z14" s="325"/>
      <c r="AA14" s="326"/>
      <c r="AB14" s="327"/>
      <c r="AC14" s="315" t="str">
        <f t="shared" si="3"/>
        <v/>
      </c>
      <c r="AD14" s="316" t="str" cm="1">
        <f t="array" ref="AD14">mediaComposicaoGramatica(R14,AC14)</f>
        <v/>
      </c>
      <c r="AE14" s="324"/>
      <c r="AF14" s="325"/>
      <c r="AG14" s="325"/>
      <c r="AH14" s="325"/>
      <c r="AI14" s="325"/>
      <c r="AJ14" s="325"/>
      <c r="AK14" s="325"/>
      <c r="AL14" s="325"/>
      <c r="AM14" s="326"/>
      <c r="AN14" s="327"/>
      <c r="AO14" s="315" t="str">
        <f t="shared" si="0"/>
        <v/>
      </c>
      <c r="AP14" s="324"/>
      <c r="AQ14" s="325"/>
      <c r="AR14" s="325"/>
      <c r="AS14" s="325"/>
      <c r="AT14" s="325"/>
      <c r="AU14" s="325"/>
      <c r="AV14" s="325"/>
      <c r="AW14" s="325"/>
      <c r="AX14" s="326"/>
      <c r="AY14" s="327"/>
      <c r="AZ14" s="323" t="str">
        <f t="shared" si="1"/>
        <v/>
      </c>
      <c r="BA14" s="318" t="str" cm="1">
        <f t="array" ref="BA14">mediaComposicaoGramatica(AO14,AZ14)</f>
        <v/>
      </c>
    </row>
    <row r="15" spans="1:53" x14ac:dyDescent="0.25">
      <c r="A15" s="63">
        <f>IF('Avaliação Períodos'!A16=0,"",'Avaliação Períodos'!A16)</f>
        <v>8</v>
      </c>
      <c r="B15" s="232" t="str">
        <f>IF('Avaliação Períodos'!B16=0,"",'Avaliação Períodos'!B16)</f>
        <v>Filipa</v>
      </c>
      <c r="C15" s="233"/>
      <c r="D15" s="233"/>
      <c r="E15" s="233"/>
      <c r="F15" s="233"/>
      <c r="G15" s="233"/>
      <c r="H15" s="319"/>
      <c r="I15" s="288"/>
      <c r="J15" s="288"/>
      <c r="K15" s="288"/>
      <c r="L15" s="288"/>
      <c r="M15" s="288"/>
      <c r="N15" s="288"/>
      <c r="O15" s="288"/>
      <c r="P15" s="320"/>
      <c r="Q15" s="321"/>
      <c r="R15" s="315" t="str">
        <f t="shared" si="2"/>
        <v/>
      </c>
      <c r="S15" s="322"/>
      <c r="T15" s="288"/>
      <c r="U15" s="288"/>
      <c r="V15" s="288"/>
      <c r="W15" s="288"/>
      <c r="X15" s="288"/>
      <c r="Y15" s="288"/>
      <c r="Z15" s="288"/>
      <c r="AA15" s="320"/>
      <c r="AB15" s="321"/>
      <c r="AC15" s="315" t="str">
        <f t="shared" si="3"/>
        <v/>
      </c>
      <c r="AD15" s="316" t="str" cm="1">
        <f t="array" ref="AD15">mediaComposicaoGramatica(R15,AC15)</f>
        <v/>
      </c>
      <c r="AE15" s="319"/>
      <c r="AF15" s="288"/>
      <c r="AG15" s="288"/>
      <c r="AH15" s="288"/>
      <c r="AI15" s="288"/>
      <c r="AJ15" s="288"/>
      <c r="AK15" s="288"/>
      <c r="AL15" s="288"/>
      <c r="AM15" s="320"/>
      <c r="AN15" s="321"/>
      <c r="AO15" s="315" t="str">
        <f t="shared" si="0"/>
        <v/>
      </c>
      <c r="AP15" s="319"/>
      <c r="AQ15" s="288"/>
      <c r="AR15" s="288"/>
      <c r="AS15" s="288"/>
      <c r="AT15" s="288"/>
      <c r="AU15" s="288"/>
      <c r="AV15" s="288"/>
      <c r="AW15" s="288"/>
      <c r="AX15" s="320"/>
      <c r="AY15" s="321"/>
      <c r="AZ15" s="323" t="str">
        <f t="shared" si="1"/>
        <v/>
      </c>
      <c r="BA15" s="318" t="str" cm="1">
        <f t="array" ref="BA15">mediaComposicaoGramatica(AO15,AZ15)</f>
        <v/>
      </c>
    </row>
    <row r="16" spans="1:53" x14ac:dyDescent="0.25">
      <c r="A16" s="62">
        <f>IF('Avaliação Períodos'!A17=0,"",'Avaliação Períodos'!A17)</f>
        <v>9</v>
      </c>
      <c r="B16" s="225" t="str">
        <f>IF('Avaliação Períodos'!B17=0,"",'Avaliação Períodos'!B17)</f>
        <v>Guilherme</v>
      </c>
      <c r="C16" s="226"/>
      <c r="D16" s="226"/>
      <c r="E16" s="226"/>
      <c r="F16" s="226"/>
      <c r="G16" s="226"/>
      <c r="H16" s="324"/>
      <c r="I16" s="325"/>
      <c r="J16" s="325"/>
      <c r="K16" s="325"/>
      <c r="L16" s="325"/>
      <c r="M16" s="325"/>
      <c r="N16" s="325"/>
      <c r="O16" s="325"/>
      <c r="P16" s="326"/>
      <c r="Q16" s="327"/>
      <c r="R16" s="315" t="str">
        <f t="shared" si="2"/>
        <v/>
      </c>
      <c r="S16" s="328"/>
      <c r="T16" s="325"/>
      <c r="U16" s="325"/>
      <c r="V16" s="325"/>
      <c r="W16" s="325"/>
      <c r="X16" s="325"/>
      <c r="Y16" s="325"/>
      <c r="Z16" s="325"/>
      <c r="AA16" s="326"/>
      <c r="AB16" s="327"/>
      <c r="AC16" s="315" t="str">
        <f t="shared" si="3"/>
        <v/>
      </c>
      <c r="AD16" s="316" t="str" cm="1">
        <f t="array" ref="AD16">mediaComposicaoGramatica(R16,AC16)</f>
        <v/>
      </c>
      <c r="AE16" s="324"/>
      <c r="AF16" s="325"/>
      <c r="AG16" s="325"/>
      <c r="AH16" s="325"/>
      <c r="AI16" s="325"/>
      <c r="AJ16" s="325"/>
      <c r="AK16" s="325"/>
      <c r="AL16" s="325"/>
      <c r="AM16" s="326"/>
      <c r="AN16" s="327"/>
      <c r="AO16" s="315" t="str">
        <f t="shared" si="0"/>
        <v/>
      </c>
      <c r="AP16" s="324"/>
      <c r="AQ16" s="325"/>
      <c r="AR16" s="325"/>
      <c r="AS16" s="325"/>
      <c r="AT16" s="325"/>
      <c r="AU16" s="325"/>
      <c r="AV16" s="325"/>
      <c r="AW16" s="325"/>
      <c r="AX16" s="326"/>
      <c r="AY16" s="327"/>
      <c r="AZ16" s="323" t="str">
        <f t="shared" si="1"/>
        <v/>
      </c>
      <c r="BA16" s="318" t="str" cm="1">
        <f t="array" ref="BA16">mediaComposicaoGramatica(AO16,AZ16)</f>
        <v/>
      </c>
    </row>
    <row r="17" spans="1:53" x14ac:dyDescent="0.25">
      <c r="A17" s="63">
        <f>IF('Avaliação Períodos'!A18=0,"",'Avaliação Períodos'!A18)</f>
        <v>10</v>
      </c>
      <c r="B17" s="232" t="str">
        <f>IF('Avaliação Períodos'!B18=0,"",'Avaliação Períodos'!B18)</f>
        <v/>
      </c>
      <c r="C17" s="233"/>
      <c r="D17" s="233"/>
      <c r="E17" s="233"/>
      <c r="F17" s="233"/>
      <c r="G17" s="233"/>
      <c r="H17" s="319"/>
      <c r="I17" s="288"/>
      <c r="J17" s="288"/>
      <c r="K17" s="288"/>
      <c r="L17" s="288"/>
      <c r="M17" s="288"/>
      <c r="N17" s="288"/>
      <c r="O17" s="288"/>
      <c r="P17" s="320"/>
      <c r="Q17" s="321"/>
      <c r="R17" s="315" t="str">
        <f t="shared" si="2"/>
        <v/>
      </c>
      <c r="S17" s="322"/>
      <c r="T17" s="288"/>
      <c r="U17" s="288"/>
      <c r="V17" s="288"/>
      <c r="W17" s="288"/>
      <c r="X17" s="288"/>
      <c r="Y17" s="288"/>
      <c r="Z17" s="288"/>
      <c r="AA17" s="320"/>
      <c r="AB17" s="321"/>
      <c r="AC17" s="315" t="str">
        <f t="shared" si="3"/>
        <v/>
      </c>
      <c r="AD17" s="316" t="str" cm="1">
        <f t="array" ref="AD17">mediaComposicaoGramatica(R17,AC17)</f>
        <v/>
      </c>
      <c r="AE17" s="319"/>
      <c r="AF17" s="288"/>
      <c r="AG17" s="288"/>
      <c r="AH17" s="288"/>
      <c r="AI17" s="288"/>
      <c r="AJ17" s="288"/>
      <c r="AK17" s="288"/>
      <c r="AL17" s="288"/>
      <c r="AM17" s="320"/>
      <c r="AN17" s="321"/>
      <c r="AO17" s="315" t="str">
        <f t="shared" si="0"/>
        <v/>
      </c>
      <c r="AP17" s="319"/>
      <c r="AQ17" s="288"/>
      <c r="AR17" s="288"/>
      <c r="AS17" s="288"/>
      <c r="AT17" s="288"/>
      <c r="AU17" s="288"/>
      <c r="AV17" s="288"/>
      <c r="AW17" s="288"/>
      <c r="AX17" s="320"/>
      <c r="AY17" s="321"/>
      <c r="AZ17" s="323" t="str">
        <f t="shared" si="1"/>
        <v/>
      </c>
      <c r="BA17" s="318" t="str" cm="1">
        <f t="array" ref="BA17">mediaComposicaoGramatica(AO17,AZ17)</f>
        <v/>
      </c>
    </row>
    <row r="18" spans="1:53" x14ac:dyDescent="0.25">
      <c r="A18" s="62">
        <f>IF('Avaliação Períodos'!A19=0,"",'Avaliação Períodos'!A19)</f>
        <v>11</v>
      </c>
      <c r="B18" s="225" t="str">
        <f>IF('Avaliação Períodos'!B19=0,"",'Avaliação Períodos'!B19)</f>
        <v xml:space="preserve">Iara </v>
      </c>
      <c r="C18" s="226"/>
      <c r="D18" s="226"/>
      <c r="E18" s="226"/>
      <c r="F18" s="226"/>
      <c r="G18" s="226"/>
      <c r="H18" s="324"/>
      <c r="I18" s="325"/>
      <c r="J18" s="325"/>
      <c r="K18" s="325"/>
      <c r="L18" s="325"/>
      <c r="M18" s="325"/>
      <c r="N18" s="325"/>
      <c r="O18" s="325"/>
      <c r="P18" s="329"/>
      <c r="Q18" s="327"/>
      <c r="R18" s="315" t="str">
        <f t="shared" si="2"/>
        <v/>
      </c>
      <c r="S18" s="328"/>
      <c r="T18" s="325"/>
      <c r="U18" s="325"/>
      <c r="V18" s="325"/>
      <c r="W18" s="325"/>
      <c r="X18" s="325"/>
      <c r="Y18" s="325"/>
      <c r="Z18" s="325"/>
      <c r="AA18" s="329"/>
      <c r="AB18" s="327"/>
      <c r="AC18" s="315" t="str">
        <f t="shared" si="3"/>
        <v/>
      </c>
      <c r="AD18" s="316" t="str" cm="1">
        <f t="array" ref="AD18">mediaComposicaoGramatica(R18,AC18)</f>
        <v/>
      </c>
      <c r="AE18" s="324"/>
      <c r="AF18" s="325"/>
      <c r="AG18" s="325"/>
      <c r="AH18" s="325"/>
      <c r="AI18" s="325"/>
      <c r="AJ18" s="325"/>
      <c r="AK18" s="325"/>
      <c r="AL18" s="325"/>
      <c r="AM18" s="329"/>
      <c r="AN18" s="327"/>
      <c r="AO18" s="315" t="str">
        <f t="shared" si="0"/>
        <v/>
      </c>
      <c r="AP18" s="324"/>
      <c r="AQ18" s="325"/>
      <c r="AR18" s="325"/>
      <c r="AS18" s="325"/>
      <c r="AT18" s="325"/>
      <c r="AU18" s="325"/>
      <c r="AV18" s="325"/>
      <c r="AW18" s="325"/>
      <c r="AX18" s="329"/>
      <c r="AY18" s="327"/>
      <c r="AZ18" s="323" t="str">
        <f t="shared" si="1"/>
        <v/>
      </c>
      <c r="BA18" s="318" t="str" cm="1">
        <f t="array" ref="BA18">mediaComposicaoGramatica(AO18,AZ18)</f>
        <v/>
      </c>
    </row>
    <row r="19" spans="1:53" x14ac:dyDescent="0.25">
      <c r="A19" s="63">
        <f>IF('Avaliação Períodos'!A20=0,"",'Avaliação Períodos'!A20)</f>
        <v>12</v>
      </c>
      <c r="B19" s="232" t="str">
        <f>IF('Avaliação Períodos'!B20=0,"",'Avaliação Períodos'!B20)</f>
        <v>João</v>
      </c>
      <c r="C19" s="233"/>
      <c r="D19" s="233"/>
      <c r="E19" s="233"/>
      <c r="F19" s="233"/>
      <c r="G19" s="233"/>
      <c r="H19" s="319"/>
      <c r="I19" s="288"/>
      <c r="J19" s="288"/>
      <c r="K19" s="288"/>
      <c r="L19" s="288"/>
      <c r="M19" s="288"/>
      <c r="N19" s="288"/>
      <c r="O19" s="288"/>
      <c r="P19" s="320"/>
      <c r="Q19" s="321"/>
      <c r="R19" s="315" t="str">
        <f t="shared" si="2"/>
        <v/>
      </c>
      <c r="S19" s="322"/>
      <c r="T19" s="288"/>
      <c r="U19" s="288"/>
      <c r="V19" s="288"/>
      <c r="W19" s="288"/>
      <c r="X19" s="288"/>
      <c r="Y19" s="288"/>
      <c r="Z19" s="288"/>
      <c r="AA19" s="320"/>
      <c r="AB19" s="321"/>
      <c r="AC19" s="315" t="str">
        <f t="shared" si="3"/>
        <v/>
      </c>
      <c r="AD19" s="316" t="str" cm="1">
        <f t="array" ref="AD19">mediaComposicaoGramatica(R19,AC19)</f>
        <v/>
      </c>
      <c r="AE19" s="319"/>
      <c r="AF19" s="288"/>
      <c r="AG19" s="288"/>
      <c r="AH19" s="288"/>
      <c r="AI19" s="288"/>
      <c r="AJ19" s="288"/>
      <c r="AK19" s="288"/>
      <c r="AL19" s="288"/>
      <c r="AM19" s="320"/>
      <c r="AN19" s="321"/>
      <c r="AO19" s="315" t="str">
        <f t="shared" si="0"/>
        <v/>
      </c>
      <c r="AP19" s="319"/>
      <c r="AQ19" s="288"/>
      <c r="AR19" s="288"/>
      <c r="AS19" s="288"/>
      <c r="AT19" s="288"/>
      <c r="AU19" s="288"/>
      <c r="AV19" s="288"/>
      <c r="AW19" s="288"/>
      <c r="AX19" s="320"/>
      <c r="AY19" s="321"/>
      <c r="AZ19" s="323" t="str">
        <f t="shared" si="1"/>
        <v/>
      </c>
      <c r="BA19" s="318" t="str" cm="1">
        <f t="array" ref="BA19">mediaComposicaoGramatica(AO19,AZ19)</f>
        <v/>
      </c>
    </row>
    <row r="20" spans="1:53" x14ac:dyDescent="0.25">
      <c r="A20" s="62">
        <f>IF('Avaliação Períodos'!A21=0,"",'Avaliação Períodos'!A21)</f>
        <v>13</v>
      </c>
      <c r="B20" s="225" t="str">
        <f>IF('Avaliação Períodos'!B21=0,"",'Avaliação Períodos'!B21)</f>
        <v>Josué</v>
      </c>
      <c r="C20" s="226"/>
      <c r="D20" s="226"/>
      <c r="E20" s="226"/>
      <c r="F20" s="226"/>
      <c r="G20" s="226"/>
      <c r="H20" s="324"/>
      <c r="I20" s="325"/>
      <c r="J20" s="325"/>
      <c r="K20" s="325"/>
      <c r="L20" s="325"/>
      <c r="M20" s="325"/>
      <c r="N20" s="325"/>
      <c r="O20" s="325"/>
      <c r="P20" s="329"/>
      <c r="Q20" s="327"/>
      <c r="R20" s="315" t="str">
        <f t="shared" si="2"/>
        <v/>
      </c>
      <c r="S20" s="328"/>
      <c r="T20" s="325"/>
      <c r="U20" s="325"/>
      <c r="V20" s="325"/>
      <c r="W20" s="325"/>
      <c r="X20" s="325"/>
      <c r="Y20" s="325"/>
      <c r="Z20" s="325"/>
      <c r="AA20" s="329"/>
      <c r="AB20" s="327"/>
      <c r="AC20" s="315" t="str">
        <f t="shared" si="3"/>
        <v/>
      </c>
      <c r="AD20" s="316" t="str" cm="1">
        <f t="array" ref="AD20">mediaComposicaoGramatica(R20,AC20)</f>
        <v/>
      </c>
      <c r="AE20" s="324"/>
      <c r="AF20" s="325"/>
      <c r="AG20" s="325"/>
      <c r="AH20" s="325"/>
      <c r="AI20" s="325"/>
      <c r="AJ20" s="325"/>
      <c r="AK20" s="325"/>
      <c r="AL20" s="325"/>
      <c r="AM20" s="329"/>
      <c r="AN20" s="327"/>
      <c r="AO20" s="315" t="str">
        <f t="shared" si="0"/>
        <v/>
      </c>
      <c r="AP20" s="324"/>
      <c r="AQ20" s="325"/>
      <c r="AR20" s="325"/>
      <c r="AS20" s="325"/>
      <c r="AT20" s="325"/>
      <c r="AU20" s="325"/>
      <c r="AV20" s="325"/>
      <c r="AW20" s="325"/>
      <c r="AX20" s="329"/>
      <c r="AY20" s="327"/>
      <c r="AZ20" s="323" t="str">
        <f t="shared" si="1"/>
        <v/>
      </c>
      <c r="BA20" s="318" t="str" cm="1">
        <f t="array" ref="BA20">mediaComposicaoGramatica(AO20,AZ20)</f>
        <v/>
      </c>
    </row>
    <row r="21" spans="1:53" x14ac:dyDescent="0.25">
      <c r="A21" s="63">
        <f>IF('Avaliação Períodos'!A22=0,"",'Avaliação Períodos'!A22)</f>
        <v>14</v>
      </c>
      <c r="B21" s="232" t="str">
        <f>IF('Avaliação Períodos'!B22=0,"",'Avaliação Períodos'!B22)</f>
        <v>Leonor</v>
      </c>
      <c r="C21" s="233"/>
      <c r="D21" s="233"/>
      <c r="E21" s="233"/>
      <c r="F21" s="233"/>
      <c r="G21" s="233"/>
      <c r="H21" s="319"/>
      <c r="I21" s="288"/>
      <c r="J21" s="288"/>
      <c r="K21" s="288"/>
      <c r="L21" s="288"/>
      <c r="M21" s="288"/>
      <c r="N21" s="288"/>
      <c r="O21" s="288"/>
      <c r="P21" s="320"/>
      <c r="Q21" s="321"/>
      <c r="R21" s="315" t="str">
        <f t="shared" si="2"/>
        <v/>
      </c>
      <c r="S21" s="322"/>
      <c r="T21" s="288"/>
      <c r="U21" s="288"/>
      <c r="V21" s="288"/>
      <c r="W21" s="288"/>
      <c r="X21" s="288"/>
      <c r="Y21" s="288"/>
      <c r="Z21" s="288"/>
      <c r="AA21" s="320"/>
      <c r="AB21" s="321"/>
      <c r="AC21" s="315" t="str">
        <f t="shared" si="3"/>
        <v/>
      </c>
      <c r="AD21" s="316" t="str" cm="1">
        <f t="array" ref="AD21">mediaComposicaoGramatica(R21,AC21)</f>
        <v/>
      </c>
      <c r="AE21" s="319"/>
      <c r="AF21" s="288"/>
      <c r="AG21" s="288"/>
      <c r="AH21" s="288"/>
      <c r="AI21" s="288"/>
      <c r="AJ21" s="288"/>
      <c r="AK21" s="288"/>
      <c r="AL21" s="288"/>
      <c r="AM21" s="320"/>
      <c r="AN21" s="321"/>
      <c r="AO21" s="315" t="str">
        <f t="shared" si="0"/>
        <v/>
      </c>
      <c r="AP21" s="319"/>
      <c r="AQ21" s="288"/>
      <c r="AR21" s="288"/>
      <c r="AS21" s="288"/>
      <c r="AT21" s="288"/>
      <c r="AU21" s="288"/>
      <c r="AV21" s="288"/>
      <c r="AW21" s="288"/>
      <c r="AX21" s="320"/>
      <c r="AY21" s="321"/>
      <c r="AZ21" s="323" t="str">
        <f t="shared" si="1"/>
        <v/>
      </c>
      <c r="BA21" s="318" t="str" cm="1">
        <f t="array" ref="BA21">mediaComposicaoGramatica(AO21,AZ21)</f>
        <v/>
      </c>
    </row>
    <row r="22" spans="1:53" x14ac:dyDescent="0.25">
      <c r="A22" s="62">
        <v>15</v>
      </c>
      <c r="B22" s="225" t="str">
        <f>IF('Avaliação Períodos'!B23=0,"",'Avaliação Períodos'!B23)</f>
        <v>Lívia</v>
      </c>
      <c r="C22" s="226"/>
      <c r="D22" s="226"/>
      <c r="E22" s="226"/>
      <c r="F22" s="226"/>
      <c r="G22" s="226"/>
      <c r="H22" s="324"/>
      <c r="I22" s="325"/>
      <c r="J22" s="325"/>
      <c r="K22" s="325"/>
      <c r="L22" s="325"/>
      <c r="M22" s="325"/>
      <c r="N22" s="325"/>
      <c r="O22" s="325"/>
      <c r="P22" s="329"/>
      <c r="Q22" s="327"/>
      <c r="R22" s="315" t="str">
        <f t="shared" si="2"/>
        <v/>
      </c>
      <c r="S22" s="328"/>
      <c r="T22" s="325"/>
      <c r="U22" s="325"/>
      <c r="V22" s="325"/>
      <c r="W22" s="325"/>
      <c r="X22" s="325"/>
      <c r="Y22" s="325"/>
      <c r="Z22" s="325"/>
      <c r="AA22" s="329"/>
      <c r="AB22" s="327"/>
      <c r="AC22" s="315" t="str">
        <f t="shared" si="3"/>
        <v/>
      </c>
      <c r="AD22" s="316" t="str" cm="1">
        <f t="array" ref="AD22">mediaComposicaoGramatica(R22,AC22)</f>
        <v/>
      </c>
      <c r="AE22" s="324"/>
      <c r="AF22" s="325"/>
      <c r="AG22" s="325"/>
      <c r="AH22" s="325"/>
      <c r="AI22" s="325"/>
      <c r="AJ22" s="325"/>
      <c r="AK22" s="325"/>
      <c r="AL22" s="325"/>
      <c r="AM22" s="329"/>
      <c r="AN22" s="327"/>
      <c r="AO22" s="315" t="str">
        <f t="shared" si="0"/>
        <v/>
      </c>
      <c r="AP22" s="324"/>
      <c r="AQ22" s="325"/>
      <c r="AR22" s="325"/>
      <c r="AS22" s="325"/>
      <c r="AT22" s="325"/>
      <c r="AU22" s="325"/>
      <c r="AV22" s="325"/>
      <c r="AW22" s="325"/>
      <c r="AX22" s="329"/>
      <c r="AY22" s="327"/>
      <c r="AZ22" s="323" t="str">
        <f t="shared" si="1"/>
        <v/>
      </c>
      <c r="BA22" s="318" t="str" cm="1">
        <f t="array" ref="BA22">mediaComposicaoGramatica(AO22,AZ22)</f>
        <v/>
      </c>
    </row>
    <row r="23" spans="1:53" x14ac:dyDescent="0.25">
      <c r="A23" s="63">
        <f>IF('Avaliação Períodos'!A24=0,"",'Avaliação Períodos'!A24)</f>
        <v>16</v>
      </c>
      <c r="B23" s="232" t="str">
        <f>IF('Avaliação Períodos'!B24=0,"",'Avaliação Períodos'!B24)</f>
        <v>Lourenço</v>
      </c>
      <c r="C23" s="233"/>
      <c r="D23" s="233"/>
      <c r="E23" s="233"/>
      <c r="F23" s="233"/>
      <c r="G23" s="233"/>
      <c r="H23" s="319"/>
      <c r="I23" s="288"/>
      <c r="J23" s="288"/>
      <c r="K23" s="288"/>
      <c r="L23" s="288"/>
      <c r="M23" s="288"/>
      <c r="N23" s="288"/>
      <c r="O23" s="288"/>
      <c r="P23" s="320"/>
      <c r="Q23" s="321"/>
      <c r="R23" s="315" t="str">
        <f t="shared" si="2"/>
        <v/>
      </c>
      <c r="S23" s="322"/>
      <c r="T23" s="288"/>
      <c r="U23" s="288"/>
      <c r="V23" s="288"/>
      <c r="W23" s="288"/>
      <c r="X23" s="288"/>
      <c r="Y23" s="288"/>
      <c r="Z23" s="288"/>
      <c r="AA23" s="320"/>
      <c r="AB23" s="321"/>
      <c r="AC23" s="315" t="str">
        <f t="shared" si="3"/>
        <v/>
      </c>
      <c r="AD23" s="316" t="str" cm="1">
        <f t="array" ref="AD23">mediaComposicaoGramatica(R23,AC23)</f>
        <v/>
      </c>
      <c r="AE23" s="319"/>
      <c r="AF23" s="288"/>
      <c r="AG23" s="288"/>
      <c r="AH23" s="288"/>
      <c r="AI23" s="288"/>
      <c r="AJ23" s="288"/>
      <c r="AK23" s="288"/>
      <c r="AL23" s="288"/>
      <c r="AM23" s="320"/>
      <c r="AN23" s="321"/>
      <c r="AO23" s="315" t="str">
        <f t="shared" si="0"/>
        <v/>
      </c>
      <c r="AP23" s="319"/>
      <c r="AQ23" s="288"/>
      <c r="AR23" s="288"/>
      <c r="AS23" s="288"/>
      <c r="AT23" s="288"/>
      <c r="AU23" s="288"/>
      <c r="AV23" s="288"/>
      <c r="AW23" s="288"/>
      <c r="AX23" s="320"/>
      <c r="AY23" s="321"/>
      <c r="AZ23" s="323" t="str">
        <f t="shared" si="1"/>
        <v/>
      </c>
      <c r="BA23" s="318" t="str" cm="1">
        <f t="array" ref="BA23">mediaComposicaoGramatica(AO23,AZ23)</f>
        <v/>
      </c>
    </row>
    <row r="24" spans="1:53" x14ac:dyDescent="0.25">
      <c r="A24" s="62">
        <f>IF('Avaliação Períodos'!A25=0,"",'Avaliação Períodos'!A25)</f>
        <v>17</v>
      </c>
      <c r="B24" s="225" t="str">
        <f>IF('Avaliação Períodos'!B25=0,"",'Avaliação Períodos'!B25)</f>
        <v>Matheus</v>
      </c>
      <c r="C24" s="226"/>
      <c r="D24" s="226"/>
      <c r="E24" s="226"/>
      <c r="F24" s="226"/>
      <c r="G24" s="226"/>
      <c r="H24" s="324"/>
      <c r="I24" s="325"/>
      <c r="J24" s="325"/>
      <c r="K24" s="325"/>
      <c r="L24" s="325"/>
      <c r="M24" s="325"/>
      <c r="N24" s="325"/>
      <c r="O24" s="325"/>
      <c r="P24" s="329"/>
      <c r="Q24" s="327"/>
      <c r="R24" s="315" t="str">
        <f t="shared" si="2"/>
        <v/>
      </c>
      <c r="S24" s="328"/>
      <c r="T24" s="325"/>
      <c r="U24" s="325"/>
      <c r="V24" s="325"/>
      <c r="W24" s="325"/>
      <c r="X24" s="325"/>
      <c r="Y24" s="325"/>
      <c r="Z24" s="325"/>
      <c r="AA24" s="329"/>
      <c r="AB24" s="327"/>
      <c r="AC24" s="315" t="str">
        <f t="shared" si="3"/>
        <v/>
      </c>
      <c r="AD24" s="316" t="str" cm="1">
        <f t="array" ref="AD24">mediaComposicaoGramatica(R24,AC24)</f>
        <v/>
      </c>
      <c r="AE24" s="324"/>
      <c r="AF24" s="325"/>
      <c r="AG24" s="325"/>
      <c r="AH24" s="325"/>
      <c r="AI24" s="325"/>
      <c r="AJ24" s="325"/>
      <c r="AK24" s="325"/>
      <c r="AL24" s="325"/>
      <c r="AM24" s="329"/>
      <c r="AN24" s="327"/>
      <c r="AO24" s="315" t="str">
        <f t="shared" si="0"/>
        <v/>
      </c>
      <c r="AP24" s="324"/>
      <c r="AQ24" s="325"/>
      <c r="AR24" s="325"/>
      <c r="AS24" s="325"/>
      <c r="AT24" s="325"/>
      <c r="AU24" s="325"/>
      <c r="AV24" s="325"/>
      <c r="AW24" s="325"/>
      <c r="AX24" s="329"/>
      <c r="AY24" s="327"/>
      <c r="AZ24" s="323" t="str">
        <f t="shared" si="1"/>
        <v/>
      </c>
      <c r="BA24" s="318" t="str" cm="1">
        <f t="array" ref="BA24">mediaComposicaoGramatica(AO24,AZ24)</f>
        <v/>
      </c>
    </row>
    <row r="25" spans="1:53" x14ac:dyDescent="0.25">
      <c r="A25" s="63">
        <f>IF('Avaliação Períodos'!A26=0,"",'Avaliação Períodos'!A26)</f>
        <v>18</v>
      </c>
      <c r="B25" s="232" t="str">
        <f>IF('Avaliação Períodos'!B26=0,"",'Avaliação Períodos'!B26)</f>
        <v>Miguel</v>
      </c>
      <c r="C25" s="233"/>
      <c r="D25" s="233"/>
      <c r="E25" s="233"/>
      <c r="F25" s="233"/>
      <c r="G25" s="233"/>
      <c r="H25" s="319"/>
      <c r="I25" s="288"/>
      <c r="J25" s="288"/>
      <c r="K25" s="288"/>
      <c r="L25" s="288"/>
      <c r="M25" s="288"/>
      <c r="N25" s="288"/>
      <c r="O25" s="288"/>
      <c r="P25" s="320"/>
      <c r="Q25" s="321"/>
      <c r="R25" s="315" t="str">
        <f t="shared" si="2"/>
        <v/>
      </c>
      <c r="S25" s="322"/>
      <c r="T25" s="288"/>
      <c r="U25" s="288"/>
      <c r="V25" s="288"/>
      <c r="W25" s="288"/>
      <c r="X25" s="288"/>
      <c r="Y25" s="288"/>
      <c r="Z25" s="288"/>
      <c r="AA25" s="320"/>
      <c r="AB25" s="321"/>
      <c r="AC25" s="315" t="str">
        <f t="shared" si="3"/>
        <v/>
      </c>
      <c r="AD25" s="316" t="str" cm="1">
        <f t="array" ref="AD25">mediaComposicaoGramatica(R25,AC25)</f>
        <v/>
      </c>
      <c r="AE25" s="319"/>
      <c r="AF25" s="288"/>
      <c r="AG25" s="288"/>
      <c r="AH25" s="288"/>
      <c r="AI25" s="288"/>
      <c r="AJ25" s="288"/>
      <c r="AK25" s="288"/>
      <c r="AL25" s="288"/>
      <c r="AM25" s="320"/>
      <c r="AN25" s="321"/>
      <c r="AO25" s="315" t="str">
        <f t="shared" si="0"/>
        <v/>
      </c>
      <c r="AP25" s="319"/>
      <c r="AQ25" s="288"/>
      <c r="AR25" s="288"/>
      <c r="AS25" s="288"/>
      <c r="AT25" s="288"/>
      <c r="AU25" s="288"/>
      <c r="AV25" s="288"/>
      <c r="AW25" s="288"/>
      <c r="AX25" s="320"/>
      <c r="AY25" s="321"/>
      <c r="AZ25" s="323" t="str">
        <f t="shared" si="1"/>
        <v/>
      </c>
      <c r="BA25" s="318" t="str" cm="1">
        <f t="array" ref="BA25">mediaComposicaoGramatica(AO25,AZ25)</f>
        <v/>
      </c>
    </row>
    <row r="26" spans="1:53" x14ac:dyDescent="0.25">
      <c r="A26" s="62">
        <f>IF('Avaliação Períodos'!A27=0,"",'Avaliação Períodos'!A27)</f>
        <v>19</v>
      </c>
      <c r="B26" s="225" t="str">
        <f>IF('Avaliação Períodos'!B27=0,"",'Avaliação Períodos'!B27)</f>
        <v>Santiago</v>
      </c>
      <c r="C26" s="226"/>
      <c r="D26" s="226"/>
      <c r="E26" s="226"/>
      <c r="F26" s="226"/>
      <c r="G26" s="226"/>
      <c r="H26" s="324"/>
      <c r="I26" s="325"/>
      <c r="J26" s="325"/>
      <c r="K26" s="325"/>
      <c r="L26" s="325"/>
      <c r="M26" s="325"/>
      <c r="N26" s="325"/>
      <c r="O26" s="325"/>
      <c r="P26" s="329"/>
      <c r="Q26" s="327"/>
      <c r="R26" s="315" t="str">
        <f t="shared" si="2"/>
        <v/>
      </c>
      <c r="S26" s="328"/>
      <c r="T26" s="325"/>
      <c r="U26" s="325"/>
      <c r="V26" s="325"/>
      <c r="W26" s="325"/>
      <c r="X26" s="325"/>
      <c r="Y26" s="325"/>
      <c r="Z26" s="325"/>
      <c r="AA26" s="329"/>
      <c r="AB26" s="327"/>
      <c r="AC26" s="315" t="str">
        <f t="shared" si="3"/>
        <v/>
      </c>
      <c r="AD26" s="316" t="str" cm="1">
        <f t="array" ref="AD26">mediaComposicaoGramatica(R26,AC26)</f>
        <v/>
      </c>
      <c r="AE26" s="324"/>
      <c r="AF26" s="325"/>
      <c r="AG26" s="325"/>
      <c r="AH26" s="325"/>
      <c r="AI26" s="325"/>
      <c r="AJ26" s="325"/>
      <c r="AK26" s="325"/>
      <c r="AL26" s="325"/>
      <c r="AM26" s="329"/>
      <c r="AN26" s="327"/>
      <c r="AO26" s="315" t="str">
        <f t="shared" si="0"/>
        <v/>
      </c>
      <c r="AP26" s="324"/>
      <c r="AQ26" s="325"/>
      <c r="AR26" s="325"/>
      <c r="AS26" s="325"/>
      <c r="AT26" s="325"/>
      <c r="AU26" s="325"/>
      <c r="AV26" s="325"/>
      <c r="AW26" s="325"/>
      <c r="AX26" s="329"/>
      <c r="AY26" s="327"/>
      <c r="AZ26" s="323" t="str">
        <f t="shared" si="1"/>
        <v/>
      </c>
      <c r="BA26" s="318" t="str" cm="1">
        <f t="array" ref="BA26">mediaComposicaoGramatica(AO26,AZ26)</f>
        <v/>
      </c>
    </row>
    <row r="27" spans="1:53" x14ac:dyDescent="0.25">
      <c r="A27" s="63">
        <f>IF('Avaliação Períodos'!A28=0,"",'Avaliação Períodos'!A28)</f>
        <v>20</v>
      </c>
      <c r="B27" s="232" t="str">
        <f>IF('Avaliação Períodos'!B28=0,"",'Avaliação Períodos'!B28)</f>
        <v>Sophie</v>
      </c>
      <c r="C27" s="233"/>
      <c r="D27" s="233"/>
      <c r="E27" s="233"/>
      <c r="F27" s="233"/>
      <c r="G27" s="233"/>
      <c r="H27" s="319"/>
      <c r="I27" s="288"/>
      <c r="J27" s="288"/>
      <c r="K27" s="288"/>
      <c r="L27" s="288"/>
      <c r="M27" s="288"/>
      <c r="N27" s="288"/>
      <c r="O27" s="288"/>
      <c r="P27" s="320"/>
      <c r="Q27" s="321"/>
      <c r="R27" s="315" t="str">
        <f t="shared" si="2"/>
        <v/>
      </c>
      <c r="S27" s="322"/>
      <c r="T27" s="288"/>
      <c r="U27" s="288"/>
      <c r="V27" s="288"/>
      <c r="W27" s="288"/>
      <c r="X27" s="288"/>
      <c r="Y27" s="288"/>
      <c r="Z27" s="288"/>
      <c r="AA27" s="320"/>
      <c r="AB27" s="321"/>
      <c r="AC27" s="315" t="str">
        <f t="shared" si="3"/>
        <v/>
      </c>
      <c r="AD27" s="316" t="str" cm="1">
        <f t="array" ref="AD27">mediaComposicaoGramatica(R27,AC27)</f>
        <v/>
      </c>
      <c r="AE27" s="319"/>
      <c r="AF27" s="288"/>
      <c r="AG27" s="288"/>
      <c r="AH27" s="288"/>
      <c r="AI27" s="288"/>
      <c r="AJ27" s="288"/>
      <c r="AK27" s="288"/>
      <c r="AL27" s="288"/>
      <c r="AM27" s="320"/>
      <c r="AN27" s="321"/>
      <c r="AO27" s="315" t="str">
        <f t="shared" si="0"/>
        <v/>
      </c>
      <c r="AP27" s="319"/>
      <c r="AQ27" s="288"/>
      <c r="AR27" s="288"/>
      <c r="AS27" s="288"/>
      <c r="AT27" s="288"/>
      <c r="AU27" s="288"/>
      <c r="AV27" s="288"/>
      <c r="AW27" s="288"/>
      <c r="AX27" s="320"/>
      <c r="AY27" s="321"/>
      <c r="AZ27" s="323" t="str">
        <f t="shared" si="1"/>
        <v/>
      </c>
      <c r="BA27" s="318" t="str" cm="1">
        <f t="array" ref="BA27">mediaComposicaoGramatica(AO27,AZ27)</f>
        <v/>
      </c>
    </row>
    <row r="28" spans="1:53" x14ac:dyDescent="0.25">
      <c r="A28" s="62">
        <f>IF('Avaliação Períodos'!A29=0,"",'Avaliação Períodos'!A29)</f>
        <v>21</v>
      </c>
      <c r="B28" s="225" t="str">
        <f>IF('Avaliação Períodos'!B29=0,"",'Avaliação Períodos'!B29)</f>
        <v>Tiago</v>
      </c>
      <c r="C28" s="226"/>
      <c r="D28" s="226"/>
      <c r="E28" s="226"/>
      <c r="F28" s="226"/>
      <c r="G28" s="226"/>
      <c r="H28" s="324"/>
      <c r="I28" s="325"/>
      <c r="J28" s="325"/>
      <c r="K28" s="325"/>
      <c r="L28" s="325"/>
      <c r="M28" s="325"/>
      <c r="N28" s="325"/>
      <c r="O28" s="325"/>
      <c r="P28" s="329"/>
      <c r="Q28" s="327"/>
      <c r="R28" s="315" t="str">
        <f t="shared" si="2"/>
        <v/>
      </c>
      <c r="S28" s="328"/>
      <c r="T28" s="325"/>
      <c r="U28" s="325"/>
      <c r="V28" s="325"/>
      <c r="W28" s="325"/>
      <c r="X28" s="325"/>
      <c r="Y28" s="325"/>
      <c r="Z28" s="325"/>
      <c r="AA28" s="329"/>
      <c r="AB28" s="327"/>
      <c r="AC28" s="315" t="str">
        <f t="shared" si="3"/>
        <v/>
      </c>
      <c r="AD28" s="316" t="str" cm="1">
        <f t="array" ref="AD28">mediaComposicaoGramatica(R28,AC28)</f>
        <v/>
      </c>
      <c r="AE28" s="324"/>
      <c r="AF28" s="325"/>
      <c r="AG28" s="325"/>
      <c r="AH28" s="325"/>
      <c r="AI28" s="325"/>
      <c r="AJ28" s="325"/>
      <c r="AK28" s="325"/>
      <c r="AL28" s="325"/>
      <c r="AM28" s="329"/>
      <c r="AN28" s="327"/>
      <c r="AO28" s="315" t="str">
        <f t="shared" si="0"/>
        <v/>
      </c>
      <c r="AP28" s="324"/>
      <c r="AQ28" s="325"/>
      <c r="AR28" s="325"/>
      <c r="AS28" s="325"/>
      <c r="AT28" s="325"/>
      <c r="AU28" s="325"/>
      <c r="AV28" s="325"/>
      <c r="AW28" s="325"/>
      <c r="AX28" s="329"/>
      <c r="AY28" s="327"/>
      <c r="AZ28" s="323" t="str">
        <f t="shared" si="1"/>
        <v/>
      </c>
      <c r="BA28" s="318" t="str" cm="1">
        <f t="array" ref="BA28">mediaComposicaoGramatica(AO28,AZ28)</f>
        <v/>
      </c>
    </row>
    <row r="29" spans="1:53" x14ac:dyDescent="0.25">
      <c r="A29" s="63">
        <f>IF('Avaliação Períodos'!A30=0,"",'Avaliação Períodos'!A30)</f>
        <v>22</v>
      </c>
      <c r="B29" s="232" t="str">
        <f>IF('Avaliação Períodos'!B30=0,"",'Avaliação Períodos'!B30)</f>
        <v>Yarianny</v>
      </c>
      <c r="C29" s="233"/>
      <c r="D29" s="233"/>
      <c r="E29" s="233"/>
      <c r="F29" s="233"/>
      <c r="G29" s="233"/>
      <c r="H29" s="319"/>
      <c r="I29" s="288"/>
      <c r="J29" s="288"/>
      <c r="K29" s="288"/>
      <c r="L29" s="288"/>
      <c r="M29" s="288"/>
      <c r="N29" s="288"/>
      <c r="O29" s="288"/>
      <c r="P29" s="330"/>
      <c r="Q29" s="331"/>
      <c r="R29" s="315" t="str">
        <f t="shared" si="2"/>
        <v/>
      </c>
      <c r="S29" s="322"/>
      <c r="T29" s="288"/>
      <c r="U29" s="288"/>
      <c r="V29" s="288"/>
      <c r="W29" s="288"/>
      <c r="X29" s="288"/>
      <c r="Y29" s="288"/>
      <c r="Z29" s="288"/>
      <c r="AA29" s="330"/>
      <c r="AB29" s="331"/>
      <c r="AC29" s="315" t="str">
        <f t="shared" si="3"/>
        <v/>
      </c>
      <c r="AD29" s="316" t="str" cm="1">
        <f t="array" ref="AD29">mediaComposicaoGramatica(R29,AC29)</f>
        <v/>
      </c>
      <c r="AE29" s="319"/>
      <c r="AF29" s="288"/>
      <c r="AG29" s="288"/>
      <c r="AH29" s="288"/>
      <c r="AI29" s="288"/>
      <c r="AJ29" s="288"/>
      <c r="AK29" s="288"/>
      <c r="AL29" s="288"/>
      <c r="AM29" s="330"/>
      <c r="AN29" s="331"/>
      <c r="AO29" s="315" t="str">
        <f t="shared" si="0"/>
        <v/>
      </c>
      <c r="AP29" s="319"/>
      <c r="AQ29" s="288"/>
      <c r="AR29" s="288"/>
      <c r="AS29" s="288"/>
      <c r="AT29" s="288"/>
      <c r="AU29" s="288"/>
      <c r="AV29" s="288"/>
      <c r="AW29" s="288"/>
      <c r="AX29" s="330"/>
      <c r="AY29" s="331"/>
      <c r="AZ29" s="323" t="str">
        <f t="shared" si="1"/>
        <v/>
      </c>
      <c r="BA29" s="318" t="str" cm="1">
        <f t="array" ref="BA29">mediaComposicaoGramatica(AO29,AZ29)</f>
        <v/>
      </c>
    </row>
    <row r="30" spans="1:53" x14ac:dyDescent="0.25">
      <c r="A30" s="62">
        <f>IF('Avaliação Períodos'!A31=0,"",'Avaliação Períodos'!A31)</f>
        <v>23</v>
      </c>
      <c r="B30" s="225" t="str">
        <f>IF('Avaliação Períodos'!B31=0,"",'Avaliação Períodos'!B31)</f>
        <v>Dhébora</v>
      </c>
      <c r="C30" s="226"/>
      <c r="D30" s="226"/>
      <c r="E30" s="226"/>
      <c r="F30" s="226"/>
      <c r="G30" s="226"/>
      <c r="H30" s="324"/>
      <c r="I30" s="325"/>
      <c r="J30" s="325"/>
      <c r="K30" s="325"/>
      <c r="L30" s="325"/>
      <c r="M30" s="325"/>
      <c r="N30" s="325"/>
      <c r="O30" s="325"/>
      <c r="P30" s="329"/>
      <c r="Q30" s="327"/>
      <c r="R30" s="315" t="str">
        <f t="shared" si="2"/>
        <v/>
      </c>
      <c r="S30" s="328"/>
      <c r="T30" s="325"/>
      <c r="U30" s="325"/>
      <c r="V30" s="325"/>
      <c r="W30" s="325"/>
      <c r="X30" s="325"/>
      <c r="Y30" s="325"/>
      <c r="Z30" s="325"/>
      <c r="AA30" s="329"/>
      <c r="AB30" s="327"/>
      <c r="AC30" s="315" t="str">
        <f t="shared" si="3"/>
        <v/>
      </c>
      <c r="AD30" s="316" t="str" cm="1">
        <f t="array" ref="AD30">mediaComposicaoGramatica(R30,AC30)</f>
        <v/>
      </c>
      <c r="AE30" s="324"/>
      <c r="AF30" s="325"/>
      <c r="AG30" s="325"/>
      <c r="AH30" s="325"/>
      <c r="AI30" s="325"/>
      <c r="AJ30" s="325"/>
      <c r="AK30" s="325"/>
      <c r="AL30" s="325"/>
      <c r="AM30" s="329"/>
      <c r="AN30" s="327"/>
      <c r="AO30" s="315" t="str">
        <f t="shared" si="0"/>
        <v/>
      </c>
      <c r="AP30" s="324"/>
      <c r="AQ30" s="325"/>
      <c r="AR30" s="325"/>
      <c r="AS30" s="325"/>
      <c r="AT30" s="325"/>
      <c r="AU30" s="325"/>
      <c r="AV30" s="325"/>
      <c r="AW30" s="325"/>
      <c r="AX30" s="329"/>
      <c r="AY30" s="327"/>
      <c r="AZ30" s="323" t="str">
        <f t="shared" si="1"/>
        <v/>
      </c>
      <c r="BA30" s="318" t="str" cm="1">
        <f t="array" ref="BA30">mediaComposicaoGramatica(AO30,AZ30)</f>
        <v/>
      </c>
    </row>
    <row r="31" spans="1:53" x14ac:dyDescent="0.25">
      <c r="A31" s="63" t="str">
        <f>IF('Avaliação Períodos'!A32=0,"",'Avaliação Períodos'!A32)</f>
        <v/>
      </c>
      <c r="B31" s="232" t="str">
        <f>IF('Avaliação Períodos'!B32=0,"",'Avaliação Períodos'!B32)</f>
        <v/>
      </c>
      <c r="C31" s="233"/>
      <c r="D31" s="233"/>
      <c r="E31" s="233"/>
      <c r="F31" s="233"/>
      <c r="G31" s="233"/>
      <c r="H31" s="319"/>
      <c r="I31" s="288"/>
      <c r="J31" s="288"/>
      <c r="K31" s="288"/>
      <c r="L31" s="288"/>
      <c r="M31" s="288"/>
      <c r="N31" s="288"/>
      <c r="O31" s="288"/>
      <c r="P31" s="320"/>
      <c r="Q31" s="321"/>
      <c r="R31" s="315" t="str">
        <f t="shared" si="2"/>
        <v/>
      </c>
      <c r="S31" s="322"/>
      <c r="T31" s="288"/>
      <c r="U31" s="288"/>
      <c r="V31" s="288"/>
      <c r="W31" s="288"/>
      <c r="X31" s="288"/>
      <c r="Y31" s="288"/>
      <c r="Z31" s="288"/>
      <c r="AA31" s="320"/>
      <c r="AB31" s="321"/>
      <c r="AC31" s="315" t="str">
        <f t="shared" si="3"/>
        <v/>
      </c>
      <c r="AD31" s="316" t="str" cm="1">
        <f t="array" ref="AD31">mediaComposicaoGramatica(R31,AC31)</f>
        <v/>
      </c>
      <c r="AE31" s="319"/>
      <c r="AF31" s="288"/>
      <c r="AG31" s="288"/>
      <c r="AH31" s="288"/>
      <c r="AI31" s="288"/>
      <c r="AJ31" s="288"/>
      <c r="AK31" s="288"/>
      <c r="AL31" s="288"/>
      <c r="AM31" s="320"/>
      <c r="AN31" s="321"/>
      <c r="AO31" s="315" t="str">
        <f t="shared" si="0"/>
        <v/>
      </c>
      <c r="AP31" s="319"/>
      <c r="AQ31" s="288"/>
      <c r="AR31" s="288"/>
      <c r="AS31" s="288"/>
      <c r="AT31" s="288"/>
      <c r="AU31" s="288"/>
      <c r="AV31" s="288"/>
      <c r="AW31" s="288"/>
      <c r="AX31" s="320"/>
      <c r="AY31" s="321"/>
      <c r="AZ31" s="323" t="str">
        <f t="shared" si="1"/>
        <v/>
      </c>
      <c r="BA31" s="318" t="str" cm="1">
        <f t="array" ref="BA31">mediaComposicaoGramatica(AO31,AZ31)</f>
        <v/>
      </c>
    </row>
    <row r="32" spans="1:53" x14ac:dyDescent="0.25">
      <c r="A32" s="62" t="str">
        <f>IF('Avaliação Períodos'!A33=0,"",'Avaliação Períodos'!A33)</f>
        <v/>
      </c>
      <c r="B32" s="225" t="str">
        <f>IF('Avaliação Períodos'!B33=0,"",'Avaliação Períodos'!B33)</f>
        <v/>
      </c>
      <c r="C32" s="226"/>
      <c r="D32" s="226"/>
      <c r="E32" s="226"/>
      <c r="F32" s="226"/>
      <c r="G32" s="226"/>
      <c r="H32" s="324"/>
      <c r="I32" s="325"/>
      <c r="J32" s="325"/>
      <c r="K32" s="325"/>
      <c r="L32" s="325"/>
      <c r="M32" s="325"/>
      <c r="N32" s="325"/>
      <c r="O32" s="325"/>
      <c r="P32" s="329"/>
      <c r="Q32" s="327"/>
      <c r="R32" s="315" t="str">
        <f t="shared" si="2"/>
        <v/>
      </c>
      <c r="S32" s="328"/>
      <c r="T32" s="325"/>
      <c r="U32" s="325"/>
      <c r="V32" s="325"/>
      <c r="W32" s="325"/>
      <c r="X32" s="325"/>
      <c r="Y32" s="325"/>
      <c r="Z32" s="325"/>
      <c r="AA32" s="329"/>
      <c r="AB32" s="327"/>
      <c r="AC32" s="315" t="str">
        <f t="shared" si="3"/>
        <v/>
      </c>
      <c r="AD32" s="316" t="str" cm="1">
        <f t="array" ref="AD32">mediaComposicaoGramatica(R32,AC32)</f>
        <v/>
      </c>
      <c r="AE32" s="324"/>
      <c r="AF32" s="325"/>
      <c r="AG32" s="325"/>
      <c r="AH32" s="325"/>
      <c r="AI32" s="325"/>
      <c r="AJ32" s="325"/>
      <c r="AK32" s="325"/>
      <c r="AL32" s="325"/>
      <c r="AM32" s="329"/>
      <c r="AN32" s="327"/>
      <c r="AO32" s="315" t="str">
        <f t="shared" si="0"/>
        <v/>
      </c>
      <c r="AP32" s="324"/>
      <c r="AQ32" s="325"/>
      <c r="AR32" s="325"/>
      <c r="AS32" s="325"/>
      <c r="AT32" s="325"/>
      <c r="AU32" s="325"/>
      <c r="AV32" s="325"/>
      <c r="AW32" s="325"/>
      <c r="AX32" s="329"/>
      <c r="AY32" s="327"/>
      <c r="AZ32" s="323" t="str">
        <f t="shared" si="1"/>
        <v/>
      </c>
      <c r="BA32" s="318" t="str" cm="1">
        <f t="array" ref="BA32">mediaComposicaoGramatica(AO32,AZ32)</f>
        <v/>
      </c>
    </row>
    <row r="33" spans="1:53" x14ac:dyDescent="0.25">
      <c r="A33" s="63" t="str">
        <f>IF('Avaliação Períodos'!A34=0,"",'Avaliação Períodos'!A34)</f>
        <v/>
      </c>
      <c r="B33" s="232" t="str">
        <f>IF('Avaliação Períodos'!B34=0,"",'Avaliação Períodos'!B34)</f>
        <v/>
      </c>
      <c r="C33" s="233"/>
      <c r="D33" s="233"/>
      <c r="E33" s="233"/>
      <c r="F33" s="233"/>
      <c r="G33" s="233"/>
      <c r="H33" s="319"/>
      <c r="I33" s="288"/>
      <c r="J33" s="288"/>
      <c r="K33" s="288"/>
      <c r="L33" s="288"/>
      <c r="M33" s="288"/>
      <c r="N33" s="288"/>
      <c r="O33" s="288"/>
      <c r="P33" s="320"/>
      <c r="Q33" s="321"/>
      <c r="R33" s="315" t="str">
        <f t="shared" si="2"/>
        <v/>
      </c>
      <c r="S33" s="322"/>
      <c r="T33" s="288"/>
      <c r="U33" s="288"/>
      <c r="V33" s="288"/>
      <c r="W33" s="288"/>
      <c r="X33" s="288"/>
      <c r="Y33" s="288"/>
      <c r="Z33" s="288"/>
      <c r="AA33" s="320"/>
      <c r="AB33" s="321"/>
      <c r="AC33" s="315" t="str">
        <f t="shared" si="3"/>
        <v/>
      </c>
      <c r="AD33" s="316" t="str" cm="1">
        <f t="array" ref="AD33">mediaComposicaoGramatica(R33,AC33)</f>
        <v/>
      </c>
      <c r="AE33" s="319"/>
      <c r="AF33" s="288"/>
      <c r="AG33" s="288"/>
      <c r="AH33" s="288"/>
      <c r="AI33" s="288"/>
      <c r="AJ33" s="288"/>
      <c r="AK33" s="288"/>
      <c r="AL33" s="288"/>
      <c r="AM33" s="320"/>
      <c r="AN33" s="321"/>
      <c r="AO33" s="315" t="str">
        <f t="shared" si="0"/>
        <v/>
      </c>
      <c r="AP33" s="319"/>
      <c r="AQ33" s="288"/>
      <c r="AR33" s="288"/>
      <c r="AS33" s="288"/>
      <c r="AT33" s="288"/>
      <c r="AU33" s="288"/>
      <c r="AV33" s="288"/>
      <c r="AW33" s="288"/>
      <c r="AX33" s="320"/>
      <c r="AY33" s="321"/>
      <c r="AZ33" s="323" t="str">
        <f t="shared" si="1"/>
        <v/>
      </c>
      <c r="BA33" s="318" t="str" cm="1">
        <f t="array" ref="BA33">mediaComposicaoGramatica(AO33,AZ33)</f>
        <v/>
      </c>
    </row>
    <row r="34" spans="1:53" x14ac:dyDescent="0.25">
      <c r="A34" s="62" t="str">
        <f>IF('Avaliação Períodos'!A35=0,"",'Avaliação Períodos'!A35)</f>
        <v/>
      </c>
      <c r="B34" s="225" t="str">
        <f>IF('Avaliação Períodos'!B35=0,"",'Avaliação Períodos'!B35)</f>
        <v/>
      </c>
      <c r="C34" s="226"/>
      <c r="D34" s="226"/>
      <c r="E34" s="226"/>
      <c r="F34" s="226"/>
      <c r="G34" s="226"/>
      <c r="H34" s="332"/>
      <c r="I34" s="325"/>
      <c r="J34" s="325"/>
      <c r="K34" s="325"/>
      <c r="L34" s="325"/>
      <c r="M34" s="325"/>
      <c r="N34" s="325"/>
      <c r="O34" s="325"/>
      <c r="P34" s="329"/>
      <c r="Q34" s="327"/>
      <c r="R34" s="315" t="str">
        <f t="shared" si="2"/>
        <v/>
      </c>
      <c r="S34" s="333"/>
      <c r="T34" s="325"/>
      <c r="U34" s="325"/>
      <c r="V34" s="325"/>
      <c r="W34" s="325"/>
      <c r="X34" s="325"/>
      <c r="Y34" s="325"/>
      <c r="Z34" s="325"/>
      <c r="AA34" s="329"/>
      <c r="AB34" s="327"/>
      <c r="AC34" s="315" t="str">
        <f t="shared" si="3"/>
        <v/>
      </c>
      <c r="AD34" s="316" t="str" cm="1">
        <f t="array" ref="AD34">mediaComposicaoGramatica(R34,AC34)</f>
        <v/>
      </c>
      <c r="AE34" s="332"/>
      <c r="AF34" s="325"/>
      <c r="AG34" s="325"/>
      <c r="AH34" s="325"/>
      <c r="AI34" s="325"/>
      <c r="AJ34" s="325"/>
      <c r="AK34" s="325"/>
      <c r="AL34" s="325"/>
      <c r="AM34" s="329"/>
      <c r="AN34" s="327"/>
      <c r="AO34" s="315" t="str">
        <f t="shared" si="0"/>
        <v/>
      </c>
      <c r="AP34" s="332"/>
      <c r="AQ34" s="325"/>
      <c r="AR34" s="325"/>
      <c r="AS34" s="325"/>
      <c r="AT34" s="325"/>
      <c r="AU34" s="325"/>
      <c r="AV34" s="325"/>
      <c r="AW34" s="325"/>
      <c r="AX34" s="329"/>
      <c r="AY34" s="327"/>
      <c r="AZ34" s="323" t="str">
        <f t="shared" si="1"/>
        <v/>
      </c>
      <c r="BA34" s="318" t="str" cm="1">
        <f t="array" ref="BA34">mediaComposicaoGramatica(AO34,AZ34)</f>
        <v/>
      </c>
    </row>
    <row r="35" spans="1:53" x14ac:dyDescent="0.25">
      <c r="A35" s="63" t="str">
        <f>IF('Avaliação Períodos'!A36=0,"",'Avaliação Períodos'!A36)</f>
        <v/>
      </c>
      <c r="B35" s="232" t="str">
        <f>IF('Avaliação Períodos'!B36=0,"",'Avaliação Períodos'!B36)</f>
        <v/>
      </c>
      <c r="C35" s="233"/>
      <c r="D35" s="233"/>
      <c r="E35" s="233"/>
      <c r="F35" s="233"/>
      <c r="G35" s="233"/>
      <c r="H35" s="334"/>
      <c r="I35" s="288"/>
      <c r="J35" s="288"/>
      <c r="K35" s="288"/>
      <c r="L35" s="288"/>
      <c r="M35" s="288"/>
      <c r="N35" s="288"/>
      <c r="O35" s="288"/>
      <c r="P35" s="320"/>
      <c r="Q35" s="321"/>
      <c r="R35" s="315" t="str">
        <f t="shared" si="2"/>
        <v/>
      </c>
      <c r="S35" s="335"/>
      <c r="T35" s="288"/>
      <c r="U35" s="288"/>
      <c r="V35" s="288"/>
      <c r="W35" s="288"/>
      <c r="X35" s="288"/>
      <c r="Y35" s="288"/>
      <c r="Z35" s="288"/>
      <c r="AA35" s="320"/>
      <c r="AB35" s="321"/>
      <c r="AC35" s="315" t="str">
        <f t="shared" si="3"/>
        <v/>
      </c>
      <c r="AD35" s="316" t="str" cm="1">
        <f t="array" ref="AD35">mediaComposicaoGramatica(R35,AC35)</f>
        <v/>
      </c>
      <c r="AE35" s="334"/>
      <c r="AF35" s="288"/>
      <c r="AG35" s="288"/>
      <c r="AH35" s="288"/>
      <c r="AI35" s="288"/>
      <c r="AJ35" s="288"/>
      <c r="AK35" s="288"/>
      <c r="AL35" s="288"/>
      <c r="AM35" s="320"/>
      <c r="AN35" s="321"/>
      <c r="AO35" s="315" t="str">
        <f t="shared" si="0"/>
        <v/>
      </c>
      <c r="AP35" s="334"/>
      <c r="AQ35" s="288"/>
      <c r="AR35" s="288"/>
      <c r="AS35" s="288"/>
      <c r="AT35" s="288"/>
      <c r="AU35" s="288"/>
      <c r="AV35" s="288"/>
      <c r="AW35" s="288"/>
      <c r="AX35" s="320"/>
      <c r="AY35" s="321"/>
      <c r="AZ35" s="323" t="str">
        <f t="shared" si="1"/>
        <v/>
      </c>
      <c r="BA35" s="318" t="str" cm="1">
        <f t="array" ref="BA35">mediaComposicaoGramatica(AO35,AZ35)</f>
        <v/>
      </c>
    </row>
    <row r="36" spans="1:53" x14ac:dyDescent="0.25">
      <c r="A36" s="64" t="str">
        <f>IF('Avaliação Períodos'!A37=0,"",'Avaliação Períodos'!A37)</f>
        <v/>
      </c>
      <c r="B36" s="225" t="str">
        <f>IF('Avaliação Períodos'!B37=0,"",'Avaliação Períodos'!B37)</f>
        <v/>
      </c>
      <c r="C36" s="226"/>
      <c r="D36" s="226"/>
      <c r="E36" s="226"/>
      <c r="F36" s="226"/>
      <c r="G36" s="226"/>
      <c r="H36" s="332"/>
      <c r="I36" s="325"/>
      <c r="J36" s="325"/>
      <c r="K36" s="325"/>
      <c r="L36" s="325"/>
      <c r="M36" s="325"/>
      <c r="N36" s="325"/>
      <c r="O36" s="325"/>
      <c r="P36" s="329"/>
      <c r="Q36" s="327"/>
      <c r="R36" s="315" t="str">
        <f t="shared" si="2"/>
        <v/>
      </c>
      <c r="S36" s="333"/>
      <c r="T36" s="325"/>
      <c r="U36" s="325"/>
      <c r="V36" s="325"/>
      <c r="W36" s="325"/>
      <c r="X36" s="325"/>
      <c r="Y36" s="325"/>
      <c r="Z36" s="325"/>
      <c r="AA36" s="329"/>
      <c r="AB36" s="327"/>
      <c r="AC36" s="315" t="str">
        <f t="shared" si="3"/>
        <v/>
      </c>
      <c r="AD36" s="316" t="str" cm="1">
        <f t="array" ref="AD36">mediaComposicaoGramatica(R36,AC36)</f>
        <v/>
      </c>
      <c r="AE36" s="332"/>
      <c r="AF36" s="325"/>
      <c r="AG36" s="325"/>
      <c r="AH36" s="325"/>
      <c r="AI36" s="325"/>
      <c r="AJ36" s="325"/>
      <c r="AK36" s="325"/>
      <c r="AL36" s="325"/>
      <c r="AM36" s="329"/>
      <c r="AN36" s="327"/>
      <c r="AO36" s="315" t="str">
        <f t="shared" si="0"/>
        <v/>
      </c>
      <c r="AP36" s="332"/>
      <c r="AQ36" s="325"/>
      <c r="AR36" s="325"/>
      <c r="AS36" s="325"/>
      <c r="AT36" s="325"/>
      <c r="AU36" s="325"/>
      <c r="AV36" s="325"/>
      <c r="AW36" s="325"/>
      <c r="AX36" s="329"/>
      <c r="AY36" s="327"/>
      <c r="AZ36" s="323" t="str">
        <f t="shared" si="1"/>
        <v/>
      </c>
      <c r="BA36" s="318" t="str" cm="1">
        <f t="array" ref="BA36">mediaComposicaoGramatica(AO36,AZ36)</f>
        <v/>
      </c>
    </row>
    <row r="37" spans="1:53" ht="15.75" thickBot="1" x14ac:dyDescent="0.3">
      <c r="A37" s="65" t="str">
        <f>IF('Avaliação Períodos'!A38=0,"",'Avaliação Períodos'!A38)</f>
        <v/>
      </c>
      <c r="B37" s="232" t="str">
        <f>IF('Avaliação Períodos'!B38=0,"",'Avaliação Períodos'!B38)</f>
        <v xml:space="preserve"> </v>
      </c>
      <c r="C37" s="233"/>
      <c r="D37" s="233"/>
      <c r="E37" s="233"/>
      <c r="F37" s="233"/>
      <c r="G37" s="233"/>
      <c r="H37" s="336"/>
      <c r="I37" s="337"/>
      <c r="J37" s="337"/>
      <c r="K37" s="337"/>
      <c r="L37" s="337"/>
      <c r="M37" s="337"/>
      <c r="N37" s="337"/>
      <c r="O37" s="337"/>
      <c r="P37" s="338"/>
      <c r="Q37" s="339"/>
      <c r="R37" s="340" t="str">
        <f t="shared" si="2"/>
        <v/>
      </c>
      <c r="S37" s="341"/>
      <c r="T37" s="337"/>
      <c r="U37" s="337"/>
      <c r="V37" s="337"/>
      <c r="W37" s="337"/>
      <c r="X37" s="337"/>
      <c r="Y37" s="337"/>
      <c r="Z37" s="337"/>
      <c r="AA37" s="338"/>
      <c r="AB37" s="339"/>
      <c r="AC37" s="340" t="str">
        <f t="shared" si="3"/>
        <v/>
      </c>
      <c r="AD37" s="342" t="str" cm="1">
        <f t="array" ref="AD37">mediaComposicaoGramatica(R37,AC37)</f>
        <v/>
      </c>
      <c r="AE37" s="336"/>
      <c r="AF37" s="337"/>
      <c r="AG37" s="337"/>
      <c r="AH37" s="337"/>
      <c r="AI37" s="337"/>
      <c r="AJ37" s="337"/>
      <c r="AK37" s="337"/>
      <c r="AL37" s="337"/>
      <c r="AM37" s="338"/>
      <c r="AN37" s="339"/>
      <c r="AO37" s="340" t="str">
        <f t="shared" si="0"/>
        <v/>
      </c>
      <c r="AP37" s="336"/>
      <c r="AQ37" s="337"/>
      <c r="AR37" s="337"/>
      <c r="AS37" s="337"/>
      <c r="AT37" s="337"/>
      <c r="AU37" s="337"/>
      <c r="AV37" s="337"/>
      <c r="AW37" s="337"/>
      <c r="AX37" s="338"/>
      <c r="AY37" s="339"/>
      <c r="AZ37" s="343" t="str">
        <f t="shared" si="1"/>
        <v/>
      </c>
      <c r="BA37" s="344" t="str" cm="1">
        <f t="array" ref="BA37">mediaComposicaoGramatica(AO37,AZ37)</f>
        <v/>
      </c>
    </row>
    <row r="38" spans="1:53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30" t="s">
        <v>22</v>
      </c>
      <c r="O38" s="230"/>
      <c r="P38" s="230"/>
      <c r="Q38" s="230"/>
      <c r="R38" s="345">
        <f>IF(COUNT(R8:R37)=0,"",AVERAGE(R8:R37))</f>
        <v>64</v>
      </c>
      <c r="Z38" s="230" t="s">
        <v>22</v>
      </c>
      <c r="AA38" s="230"/>
      <c r="AB38" s="230"/>
      <c r="AC38" s="230"/>
      <c r="AD38" s="345">
        <f>IF(COUNT(AD8:AD37)=0,"",AVERAGE(AD8:AD37))</f>
        <v>63.5</v>
      </c>
      <c r="AK38" s="230" t="s">
        <v>22</v>
      </c>
      <c r="AL38" s="230"/>
      <c r="AM38" s="230"/>
      <c r="AN38" s="230"/>
      <c r="AO38" s="345" t="str">
        <f>IF(COUNT(AO8:AO37)=0,"",AVERAGE(AO8:AO37))</f>
        <v/>
      </c>
      <c r="AW38" s="230" t="s">
        <v>22</v>
      </c>
      <c r="AX38" s="230"/>
      <c r="AY38" s="230"/>
      <c r="AZ38" s="230"/>
      <c r="BA38" s="345" t="str">
        <f>IF(COUNT(BA8:BA37)=0,"",AVERAGE(BA8:BA37))</f>
        <v/>
      </c>
    </row>
    <row r="39" spans="1:53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31" t="s">
        <v>23</v>
      </c>
      <c r="O39" s="231"/>
      <c r="P39" s="231"/>
      <c r="Q39" s="231"/>
      <c r="R39" s="67">
        <f>COUNTIF(R8:R37,"&lt;50")</f>
        <v>0</v>
      </c>
      <c r="Z39" s="231" t="s">
        <v>23</v>
      </c>
      <c r="AA39" s="231"/>
      <c r="AB39" s="231"/>
      <c r="AC39" s="231"/>
      <c r="AD39" s="67">
        <f>COUNTIF(AD8:AD37,"&lt;50")</f>
        <v>0</v>
      </c>
      <c r="AK39" s="231" t="s">
        <v>23</v>
      </c>
      <c r="AL39" s="231"/>
      <c r="AM39" s="231"/>
      <c r="AN39" s="231"/>
      <c r="AO39" s="67">
        <f>COUNTIF(AO8:AO37,"&lt;50")</f>
        <v>0</v>
      </c>
      <c r="AW39" s="231" t="s">
        <v>23</v>
      </c>
      <c r="AX39" s="231"/>
      <c r="AY39" s="231"/>
      <c r="AZ39" s="231"/>
      <c r="BA39" s="67">
        <f>COUNTIF(CP8:CP37,"&lt;50")</f>
        <v>0</v>
      </c>
    </row>
    <row r="40" spans="1:53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31" t="s">
        <v>24</v>
      </c>
      <c r="O40" s="231"/>
      <c r="P40" s="231"/>
      <c r="Q40" s="231"/>
      <c r="R40" s="68">
        <f>IF(COUNT(R8:R37)=0,"",R39/(COUNT(R8:R37))*100)</f>
        <v>0</v>
      </c>
      <c r="Z40" s="231" t="s">
        <v>24</v>
      </c>
      <c r="AA40" s="231"/>
      <c r="AB40" s="231"/>
      <c r="AC40" s="231"/>
      <c r="AD40" s="68">
        <f>IF(COUNT(AD8:AD37)=0,"",AD39/(COUNT(AD8:AD37))*100)</f>
        <v>0</v>
      </c>
      <c r="AK40" s="231" t="s">
        <v>24</v>
      </c>
      <c r="AL40" s="231"/>
      <c r="AM40" s="231"/>
      <c r="AN40" s="231"/>
      <c r="AO40" s="68" t="str">
        <f>IF(COUNT(AO8:AO37)=0,"",AO39/(COUNT(AO8:AO37))*100)</f>
        <v/>
      </c>
      <c r="AW40" s="231" t="s">
        <v>24</v>
      </c>
      <c r="AX40" s="231"/>
      <c r="AY40" s="231"/>
      <c r="AZ40" s="231"/>
      <c r="BA40" s="68" t="str">
        <f>IF(COUNT(CP8:CP37)=0,"",BA39/(COUNT(CP8:CP37))*100)</f>
        <v/>
      </c>
    </row>
  </sheetData>
  <sheetProtection algorithmName="SHA-512" hashValue="sKjLzJ6RzlIy7k29wIcqv7HuPVB1XZ+HPRo7AXQFhK5ELXLXuRKsKgem9DJ6l7wpI1/lw3FEKXpmgErcyyjumA==" saltValue="ftbJY5B8OyLvQ8sSM7fEZQ==" spinCount="100000" sheet="1" objects="1" scenarios="1"/>
  <mergeCells count="53">
    <mergeCell ref="AW38:AZ38"/>
    <mergeCell ref="AW39:AZ39"/>
    <mergeCell ref="AW40:AZ40"/>
    <mergeCell ref="AK38:AN38"/>
    <mergeCell ref="AK39:AN39"/>
    <mergeCell ref="AK40:AN40"/>
    <mergeCell ref="Z38:AC38"/>
    <mergeCell ref="Z39:AC39"/>
    <mergeCell ref="Z40:AC40"/>
    <mergeCell ref="S5:AC5"/>
    <mergeCell ref="AE4:BA4"/>
    <mergeCell ref="AE5:AO5"/>
    <mergeCell ref="AP5:BA5"/>
    <mergeCell ref="H3:BA3"/>
    <mergeCell ref="AD6:AD7"/>
    <mergeCell ref="H4:AD4"/>
    <mergeCell ref="H5:R5"/>
    <mergeCell ref="B18:G18"/>
    <mergeCell ref="B7:G7"/>
    <mergeCell ref="A4:G5"/>
    <mergeCell ref="A6:G6"/>
    <mergeCell ref="B37:G37"/>
    <mergeCell ref="B8:G8"/>
    <mergeCell ref="B9:G9"/>
    <mergeCell ref="B10:G10"/>
    <mergeCell ref="B11:G11"/>
    <mergeCell ref="B12:G12"/>
    <mergeCell ref="B27:G27"/>
    <mergeCell ref="B28:G28"/>
    <mergeCell ref="B29:G29"/>
    <mergeCell ref="B13:G13"/>
    <mergeCell ref="B14:G14"/>
    <mergeCell ref="B15:G15"/>
    <mergeCell ref="B16:G16"/>
    <mergeCell ref="B17:G17"/>
    <mergeCell ref="B22:G22"/>
    <mergeCell ref="B23:G23"/>
    <mergeCell ref="B36:G36"/>
    <mergeCell ref="B30:G30"/>
    <mergeCell ref="B19:G19"/>
    <mergeCell ref="B20:G20"/>
    <mergeCell ref="B21:G21"/>
    <mergeCell ref="B31:G31"/>
    <mergeCell ref="B32:G32"/>
    <mergeCell ref="B33:G33"/>
    <mergeCell ref="B34:G34"/>
    <mergeCell ref="B35:G35"/>
    <mergeCell ref="B24:G24"/>
    <mergeCell ref="B25:G25"/>
    <mergeCell ref="B26:G26"/>
    <mergeCell ref="N38:Q38"/>
    <mergeCell ref="N39:Q39"/>
    <mergeCell ref="N40:Q40"/>
  </mergeCells>
  <dataValidations count="4">
    <dataValidation type="decimal" operator="lessThanOrEqual" allowBlank="1" showInputMessage="1" showErrorMessage="1" errorTitle="ERRO!" error="A pergunta não vale tanto!..." sqref="AZ8:AZ37 R8:R37 AO8:AO37 AC8:AC37" xr:uid="{00000000-0002-0000-0100-000002000000}">
      <formula1>R$7</formula1>
    </dataValidation>
    <dataValidation type="decimal" operator="lessThanOrEqual" allowBlank="1" showInputMessage="1" showErrorMessage="1" errorTitle="Erro." error="Ultrapassou cotação máxima." sqref="H8:Q37 AE8:AN37 S8:AB37 AP8:AY37" xr:uid="{00000000-0002-0000-0100-000003000000}">
      <formula1>H$7</formula1>
    </dataValidation>
    <dataValidation type="decimal" operator="lessThanOrEqual" allowBlank="1" showInputMessage="1" showErrorMessage="1" sqref="AD8:AD37" xr:uid="{C8772F56-9E9C-49A2-BA31-3B410C80F353}">
      <formula1>100</formula1>
    </dataValidation>
    <dataValidation type="decimal" operator="lessThanOrEqual" allowBlank="1" showInputMessage="1" showErrorMessage="1" sqref="BA8:BA37" xr:uid="{4FCC2486-82D4-4FDA-9C83-B7441A7CF84C}">
      <formula1>100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D41"/>
  <sheetViews>
    <sheetView zoomScaleNormal="100" workbookViewId="0">
      <pane xSplit="7" ySplit="7" topLeftCell="H8" activePane="bottomRight" state="frozen"/>
      <selection activeCell="U42" sqref="U42"/>
      <selection pane="topRight" activeCell="U42" sqref="U42"/>
      <selection pane="bottomLeft" activeCell="U42" sqref="U42"/>
      <selection pane="bottomRight" activeCell="Q15" sqref="Q15"/>
    </sheetView>
  </sheetViews>
  <sheetFormatPr defaultRowHeight="15" x14ac:dyDescent="0.25"/>
  <cols>
    <col min="1" max="1" width="7" style="30" customWidth="1"/>
    <col min="2" max="2" width="2.42578125" style="30" customWidth="1"/>
    <col min="3" max="3" width="9.140625" style="30" hidden="1" customWidth="1"/>
    <col min="4" max="4" width="1.5703125" style="30" customWidth="1"/>
    <col min="5" max="5" width="7.5703125" style="30" customWidth="1"/>
    <col min="6" max="6" width="5.140625" style="30" customWidth="1"/>
    <col min="7" max="7" width="5" style="30" customWidth="1"/>
    <col min="8" max="12" width="9.140625" style="30" customWidth="1"/>
    <col min="13" max="13" width="9.42578125" style="30" customWidth="1"/>
    <col min="14" max="15" width="9.85546875" style="30" customWidth="1"/>
    <col min="16" max="16" width="9.140625" style="30"/>
    <col min="17" max="18" width="10.28515625" style="30" customWidth="1"/>
    <col min="19" max="16384" width="9.140625" style="30"/>
  </cols>
  <sheetData>
    <row r="1" spans="1:30" ht="27" x14ac:dyDescent="0.25">
      <c r="A1" s="1" t="s">
        <v>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30" ht="27" x14ac:dyDescent="0.25">
      <c r="A2" s="3" t="s">
        <v>1</v>
      </c>
      <c r="B2" s="1"/>
      <c r="C2" s="1"/>
      <c r="D2" s="1"/>
      <c r="E2" s="1"/>
      <c r="F2" s="1"/>
      <c r="G2" s="1"/>
      <c r="H2" s="1"/>
      <c r="I2" s="1"/>
      <c r="J2" s="1"/>
      <c r="K2" s="1" t="s">
        <v>55</v>
      </c>
      <c r="L2" s="1"/>
      <c r="M2" s="1"/>
      <c r="N2" s="1"/>
      <c r="O2" s="1"/>
      <c r="P2" s="1"/>
      <c r="Q2" s="1"/>
      <c r="R2" s="1"/>
    </row>
    <row r="3" spans="1:30" ht="20.25" customHeight="1" x14ac:dyDescent="0.25">
      <c r="A3" s="243"/>
      <c r="B3" s="244"/>
      <c r="C3" s="244"/>
      <c r="D3" s="244"/>
      <c r="E3" s="244"/>
      <c r="F3" s="244"/>
      <c r="G3" s="244"/>
      <c r="H3" s="246" t="s">
        <v>46</v>
      </c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</row>
    <row r="4" spans="1:30" ht="15.75" customHeight="1" x14ac:dyDescent="0.25">
      <c r="A4" s="4"/>
      <c r="B4" s="5"/>
      <c r="C4" s="5"/>
      <c r="D4" s="258"/>
      <c r="E4" s="258"/>
      <c r="F4" s="258"/>
      <c r="G4" s="245"/>
      <c r="H4" s="248" t="s">
        <v>37</v>
      </c>
      <c r="I4" s="249"/>
      <c r="J4" s="249"/>
      <c r="K4" s="249"/>
      <c r="L4" s="249"/>
      <c r="M4" s="249"/>
      <c r="N4" s="249"/>
      <c r="O4" s="249"/>
      <c r="P4" s="250"/>
      <c r="Q4" s="248" t="s">
        <v>36</v>
      </c>
      <c r="R4" s="249"/>
      <c r="S4" s="249"/>
      <c r="T4" s="249"/>
      <c r="U4" s="249"/>
      <c r="V4" s="249"/>
      <c r="W4" s="249"/>
      <c r="X4" s="249"/>
      <c r="Y4" s="250"/>
    </row>
    <row r="5" spans="1:30" ht="15.75" customHeight="1" x14ac:dyDescent="0.25">
      <c r="A5" s="4"/>
      <c r="B5" s="5"/>
      <c r="C5" s="5"/>
      <c r="D5" s="258"/>
      <c r="E5" s="258"/>
      <c r="F5" s="258"/>
      <c r="G5" s="245"/>
      <c r="H5" s="251"/>
      <c r="I5" s="252"/>
      <c r="J5" s="252"/>
      <c r="K5" s="252"/>
      <c r="L5" s="252"/>
      <c r="M5" s="252"/>
      <c r="N5" s="252"/>
      <c r="O5" s="252"/>
      <c r="P5" s="253"/>
      <c r="Q5" s="251"/>
      <c r="R5" s="252"/>
      <c r="S5" s="252"/>
      <c r="T5" s="252"/>
      <c r="U5" s="252"/>
      <c r="V5" s="252"/>
      <c r="W5" s="252"/>
      <c r="X5" s="252"/>
      <c r="Y5" s="253"/>
    </row>
    <row r="6" spans="1:30" ht="28.5" customHeight="1" x14ac:dyDescent="0.25">
      <c r="A6" s="6"/>
      <c r="B6" s="17"/>
      <c r="C6" s="17"/>
      <c r="D6" s="237" t="s">
        <v>19</v>
      </c>
      <c r="E6" s="237"/>
      <c r="F6" s="237"/>
      <c r="G6" s="245"/>
      <c r="H6" s="69">
        <v>1</v>
      </c>
      <c r="I6" s="70">
        <v>2</v>
      </c>
      <c r="J6" s="70">
        <v>3</v>
      </c>
      <c r="K6" s="70">
        <v>4</v>
      </c>
      <c r="L6" s="70"/>
      <c r="M6" s="71"/>
      <c r="N6" s="26" t="s">
        <v>34</v>
      </c>
      <c r="O6" s="69">
        <v>1</v>
      </c>
      <c r="P6" s="26" t="s">
        <v>47</v>
      </c>
      <c r="Q6" s="27">
        <v>1</v>
      </c>
      <c r="R6" s="24"/>
      <c r="S6" s="24"/>
      <c r="T6" s="24"/>
      <c r="U6" s="24"/>
      <c r="V6" s="25"/>
      <c r="W6" s="26" t="s">
        <v>34</v>
      </c>
      <c r="X6" s="27">
        <v>1</v>
      </c>
      <c r="Y6" s="26" t="s">
        <v>47</v>
      </c>
      <c r="Z6" s="254"/>
      <c r="AA6" s="254"/>
      <c r="AB6" s="28"/>
      <c r="AC6" s="7"/>
      <c r="AD6" s="2"/>
    </row>
    <row r="7" spans="1:30" ht="28.5" customHeight="1" x14ac:dyDescent="0.25">
      <c r="A7" s="15" t="s">
        <v>4</v>
      </c>
      <c r="B7" s="255" t="s">
        <v>26</v>
      </c>
      <c r="C7" s="256"/>
      <c r="D7" s="256"/>
      <c r="E7" s="256"/>
      <c r="F7" s="256"/>
      <c r="G7" s="257"/>
      <c r="H7" s="357">
        <v>32</v>
      </c>
      <c r="I7" s="355">
        <v>18</v>
      </c>
      <c r="J7" s="355">
        <v>20</v>
      </c>
      <c r="K7" s="355">
        <v>30</v>
      </c>
      <c r="L7" s="355"/>
      <c r="M7" s="470"/>
      <c r="N7" s="354">
        <f>IF(OR(SUM(H7:M7)&gt;100,SUM(H7:M7)&lt;0),"",SUM(H7:M7))</f>
        <v>100</v>
      </c>
      <c r="O7" s="357">
        <v>100</v>
      </c>
      <c r="P7" s="471">
        <v>100</v>
      </c>
      <c r="Q7" s="357">
        <v>100</v>
      </c>
      <c r="R7" s="355"/>
      <c r="S7" s="355"/>
      <c r="T7" s="355"/>
      <c r="U7" s="355"/>
      <c r="V7" s="355"/>
      <c r="W7" s="356">
        <f>IF(OR(SUM(Q7:V7)&gt;100,SUM(Q7:V7)&lt;0),"",SUM(Q7:V7))</f>
        <v>100</v>
      </c>
      <c r="X7" s="357">
        <v>100</v>
      </c>
      <c r="Y7" s="310">
        <v>100</v>
      </c>
      <c r="AD7" s="2"/>
    </row>
    <row r="8" spans="1:30" ht="15" customHeight="1" x14ac:dyDescent="0.25">
      <c r="A8" s="62">
        <f>IF('Avaliação Períodos'!A9=0,"",'Avaliação Períodos'!A9)</f>
        <v>1</v>
      </c>
      <c r="B8" s="260" t="str">
        <f>IF('Avaliação Períodos'!B9=0,"",'Avaliação Períodos'!B9)</f>
        <v>Afonso</v>
      </c>
      <c r="C8" s="261"/>
      <c r="D8" s="261"/>
      <c r="E8" s="261"/>
      <c r="F8" s="261"/>
      <c r="G8" s="262"/>
      <c r="H8" s="362">
        <v>28</v>
      </c>
      <c r="I8" s="360">
        <v>0</v>
      </c>
      <c r="J8" s="360">
        <v>20</v>
      </c>
      <c r="K8" s="360">
        <v>30</v>
      </c>
      <c r="L8" s="361"/>
      <c r="M8" s="361"/>
      <c r="N8" s="317">
        <f t="shared" ref="N8:N37" si="0">IF(COUNT(H8:M8)=0,"",SUM(H8:M8))</f>
        <v>78</v>
      </c>
      <c r="O8" s="362"/>
      <c r="P8" s="472" t="str">
        <f>IF(COUNT(O8:O8)=0,"",SUM(O8:O8))</f>
        <v/>
      </c>
      <c r="Q8" s="366"/>
      <c r="R8" s="365"/>
      <c r="S8" s="365"/>
      <c r="T8" s="365"/>
      <c r="U8" s="365"/>
      <c r="V8" s="365"/>
      <c r="W8" s="317" t="str">
        <f>IF(COUNT(Q8:V8)=0,"",SUM(Q8:V8))</f>
        <v/>
      </c>
      <c r="X8" s="366"/>
      <c r="Y8" s="317"/>
      <c r="AD8" s="2"/>
    </row>
    <row r="9" spans="1:30" ht="15" customHeight="1" x14ac:dyDescent="0.25">
      <c r="A9" s="63">
        <f>IF('Avaliação Períodos'!A10=0,"",'Avaliação Períodos'!A10)</f>
        <v>2</v>
      </c>
      <c r="B9" s="263" t="str">
        <f>IF('Avaliação Períodos'!B10=0,"",'Avaliação Períodos'!B10)</f>
        <v>André</v>
      </c>
      <c r="C9" s="264"/>
      <c r="D9" s="264"/>
      <c r="E9" s="264"/>
      <c r="F9" s="264"/>
      <c r="G9" s="265"/>
      <c r="H9" s="370">
        <v>28</v>
      </c>
      <c r="I9" s="368">
        <v>0</v>
      </c>
      <c r="J9" s="368">
        <v>20</v>
      </c>
      <c r="K9" s="368">
        <v>30</v>
      </c>
      <c r="L9" s="369"/>
      <c r="M9" s="473"/>
      <c r="N9" s="317">
        <f t="shared" si="0"/>
        <v>78</v>
      </c>
      <c r="O9" s="370"/>
      <c r="P9" s="472" t="str">
        <f>IF(COUNT(O9:O9)=0,"",SUM(O9:O9))</f>
        <v/>
      </c>
      <c r="Q9" s="370"/>
      <c r="R9" s="368"/>
      <c r="S9" s="368"/>
      <c r="T9" s="368"/>
      <c r="U9" s="368"/>
      <c r="V9" s="368"/>
      <c r="W9" s="317" t="str">
        <f>IF(COUNT(Q9:V9)=0,"",SUM(Q9:V9))</f>
        <v/>
      </c>
      <c r="X9" s="370"/>
      <c r="Y9" s="317"/>
      <c r="AD9" s="2"/>
    </row>
    <row r="10" spans="1:30" ht="15" customHeight="1" x14ac:dyDescent="0.25">
      <c r="A10" s="62">
        <f>IF('Avaliação Períodos'!A11=0,"",'Avaliação Períodos'!A11)</f>
        <v>3</v>
      </c>
      <c r="B10" s="266" t="str">
        <f>IF('Avaliação Períodos'!B11=0,"",'Avaliação Períodos'!B11)</f>
        <v>Bruno</v>
      </c>
      <c r="C10" s="267"/>
      <c r="D10" s="267"/>
      <c r="E10" s="267"/>
      <c r="F10" s="267"/>
      <c r="G10" s="268"/>
      <c r="H10" s="375">
        <v>28</v>
      </c>
      <c r="I10" s="373">
        <v>9</v>
      </c>
      <c r="J10" s="373">
        <v>20</v>
      </c>
      <c r="K10" s="373">
        <v>30</v>
      </c>
      <c r="L10" s="374"/>
      <c r="M10" s="374"/>
      <c r="N10" s="317">
        <f t="shared" si="0"/>
        <v>87</v>
      </c>
      <c r="O10" s="375"/>
      <c r="P10" s="472" t="str">
        <f>IF(COUNT(O10:O10)=0,"",SUM(O10:O10))</f>
        <v/>
      </c>
      <c r="Q10" s="375"/>
      <c r="R10" s="373"/>
      <c r="S10" s="373"/>
      <c r="T10" s="373"/>
      <c r="U10" s="373"/>
      <c r="V10" s="373"/>
      <c r="W10" s="317" t="str">
        <f t="shared" ref="W10:W37" si="1">IF(COUNT(Q10:V10)=0,"",SUM(Q10:V10))</f>
        <v/>
      </c>
      <c r="X10" s="366"/>
      <c r="Y10" s="317"/>
      <c r="AD10" s="2"/>
    </row>
    <row r="11" spans="1:30" ht="15" customHeight="1" x14ac:dyDescent="0.25">
      <c r="A11" s="63">
        <f>IF('Avaliação Períodos'!A12=0,"",'Avaliação Períodos'!A12)</f>
        <v>4</v>
      </c>
      <c r="B11" s="263" t="str">
        <f>IF('Avaliação Períodos'!B12=0,"",'Avaliação Períodos'!B12)</f>
        <v>Catarina</v>
      </c>
      <c r="C11" s="264"/>
      <c r="D11" s="264"/>
      <c r="E11" s="264"/>
      <c r="F11" s="264"/>
      <c r="G11" s="265"/>
      <c r="H11" s="380">
        <v>28</v>
      </c>
      <c r="I11" s="378">
        <v>0</v>
      </c>
      <c r="J11" s="378">
        <v>20</v>
      </c>
      <c r="K11" s="378">
        <v>30</v>
      </c>
      <c r="L11" s="379"/>
      <c r="M11" s="379"/>
      <c r="N11" s="317">
        <f t="shared" si="0"/>
        <v>78</v>
      </c>
      <c r="O11" s="380"/>
      <c r="P11" s="472" t="str">
        <f>IF(COUNT(O11:O11)=0,"",SUM(O11:O11))</f>
        <v/>
      </c>
      <c r="Q11" s="380"/>
      <c r="R11" s="378"/>
      <c r="S11" s="378"/>
      <c r="T11" s="378"/>
      <c r="U11" s="378"/>
      <c r="V11" s="378"/>
      <c r="W11" s="317" t="str">
        <f t="shared" si="1"/>
        <v/>
      </c>
      <c r="X11" s="370"/>
      <c r="Y11" s="317"/>
      <c r="AD11" s="2"/>
    </row>
    <row r="12" spans="1:30" ht="15" customHeight="1" x14ac:dyDescent="0.25">
      <c r="A12" s="62">
        <f>IF('Avaliação Períodos'!A13=0,"",'Avaliação Períodos'!A13)</f>
        <v>5</v>
      </c>
      <c r="B12" s="266" t="str">
        <f>IF('Avaliação Períodos'!B13=0,"",'Avaliação Períodos'!B13)</f>
        <v>Cheila</v>
      </c>
      <c r="C12" s="267"/>
      <c r="D12" s="267"/>
      <c r="E12" s="267"/>
      <c r="F12" s="267"/>
      <c r="G12" s="268"/>
      <c r="H12" s="375">
        <v>20</v>
      </c>
      <c r="I12" s="373">
        <v>0</v>
      </c>
      <c r="J12" s="373">
        <v>20</v>
      </c>
      <c r="K12" s="373">
        <v>30</v>
      </c>
      <c r="L12" s="374"/>
      <c r="M12" s="374"/>
      <c r="N12" s="317">
        <f t="shared" si="0"/>
        <v>70</v>
      </c>
      <c r="O12" s="375"/>
      <c r="P12" s="472" t="str">
        <f>IF(COUNT(O12:O12)=0,"",SUM(O12:O12))</f>
        <v/>
      </c>
      <c r="Q12" s="375"/>
      <c r="R12" s="373"/>
      <c r="S12" s="373"/>
      <c r="T12" s="373"/>
      <c r="U12" s="373"/>
      <c r="V12" s="373"/>
      <c r="W12" s="317" t="str">
        <f t="shared" si="1"/>
        <v/>
      </c>
      <c r="X12" s="366"/>
      <c r="Y12" s="317"/>
      <c r="AD12" s="2"/>
    </row>
    <row r="13" spans="1:30" ht="15" customHeight="1" x14ac:dyDescent="0.25">
      <c r="A13" s="63">
        <f>IF('Avaliação Períodos'!A14=0,"",'Avaliação Períodos'!A14)</f>
        <v>6</v>
      </c>
      <c r="B13" s="263" t="str">
        <f>IF('Avaliação Períodos'!B14=0,"",'Avaliação Períodos'!B14)</f>
        <v>Clara</v>
      </c>
      <c r="C13" s="264"/>
      <c r="D13" s="264"/>
      <c r="E13" s="264"/>
      <c r="F13" s="264"/>
      <c r="G13" s="265"/>
      <c r="H13" s="380">
        <v>24</v>
      </c>
      <c r="I13" s="378">
        <v>18</v>
      </c>
      <c r="J13" s="378">
        <v>20</v>
      </c>
      <c r="K13" s="378">
        <v>30</v>
      </c>
      <c r="L13" s="379"/>
      <c r="M13" s="379"/>
      <c r="N13" s="317">
        <f t="shared" si="0"/>
        <v>92</v>
      </c>
      <c r="O13" s="380"/>
      <c r="P13" s="472" t="str">
        <f>IF(COUNT(O13:O13)=0,"",SUM(O13:O13))</f>
        <v/>
      </c>
      <c r="Q13" s="380"/>
      <c r="R13" s="378"/>
      <c r="S13" s="378"/>
      <c r="T13" s="378"/>
      <c r="U13" s="378"/>
      <c r="V13" s="378"/>
      <c r="W13" s="317" t="str">
        <f t="shared" si="1"/>
        <v/>
      </c>
      <c r="X13" s="370"/>
      <c r="Y13" s="317"/>
      <c r="AD13" s="2"/>
    </row>
    <row r="14" spans="1:30" ht="15" customHeight="1" x14ac:dyDescent="0.25">
      <c r="A14" s="62">
        <f>IF('Avaliação Períodos'!A15=0,"",'Avaliação Períodos'!A15)</f>
        <v>7</v>
      </c>
      <c r="B14" s="266" t="str">
        <f>IF('Avaliação Períodos'!B15=0,"",'Avaliação Períodos'!B15)</f>
        <v>Daniel</v>
      </c>
      <c r="C14" s="267"/>
      <c r="D14" s="267"/>
      <c r="E14" s="267"/>
      <c r="F14" s="267"/>
      <c r="G14" s="268"/>
      <c r="H14" s="375">
        <v>20</v>
      </c>
      <c r="I14" s="373">
        <v>0</v>
      </c>
      <c r="J14" s="373">
        <v>20</v>
      </c>
      <c r="K14" s="373">
        <v>30</v>
      </c>
      <c r="L14" s="374"/>
      <c r="M14" s="374"/>
      <c r="N14" s="317">
        <f t="shared" si="0"/>
        <v>70</v>
      </c>
      <c r="O14" s="375"/>
      <c r="P14" s="472" t="str">
        <f>IF(COUNT(O14:O14)=0,"",SUM(O14:O14))</f>
        <v/>
      </c>
      <c r="Q14" s="375"/>
      <c r="R14" s="373"/>
      <c r="S14" s="373"/>
      <c r="T14" s="373"/>
      <c r="U14" s="373"/>
      <c r="V14" s="373"/>
      <c r="W14" s="317" t="str">
        <f t="shared" si="1"/>
        <v/>
      </c>
      <c r="X14" s="366"/>
      <c r="Y14" s="317"/>
      <c r="AD14" s="2"/>
    </row>
    <row r="15" spans="1:30" ht="15" customHeight="1" x14ac:dyDescent="0.25">
      <c r="A15" s="63">
        <f>IF('Avaliação Períodos'!A16=0,"",'Avaliação Períodos'!A16)</f>
        <v>8</v>
      </c>
      <c r="B15" s="232" t="str">
        <f>IF('Avaliação Períodos'!B16=0,"",'Avaliação Períodos'!B16)</f>
        <v>Filipa</v>
      </c>
      <c r="C15" s="233"/>
      <c r="D15" s="233"/>
      <c r="E15" s="233"/>
      <c r="F15" s="233"/>
      <c r="G15" s="259"/>
      <c r="H15" s="380">
        <v>28</v>
      </c>
      <c r="I15" s="378">
        <v>0</v>
      </c>
      <c r="J15" s="382">
        <v>20</v>
      </c>
      <c r="K15" s="378">
        <v>30</v>
      </c>
      <c r="L15" s="379"/>
      <c r="M15" s="379"/>
      <c r="N15" s="317">
        <f t="shared" si="0"/>
        <v>78</v>
      </c>
      <c r="O15" s="380"/>
      <c r="P15" s="472" t="str">
        <f>IF(COUNT(O15:O15)=0,"",SUM(O15:O15))</f>
        <v/>
      </c>
      <c r="Q15" s="380"/>
      <c r="R15" s="378"/>
      <c r="S15" s="382"/>
      <c r="T15" s="378"/>
      <c r="U15" s="378"/>
      <c r="V15" s="378"/>
      <c r="W15" s="317" t="str">
        <f t="shared" si="1"/>
        <v/>
      </c>
      <c r="X15" s="370"/>
      <c r="Y15" s="317"/>
      <c r="AD15" s="2"/>
    </row>
    <row r="16" spans="1:30" ht="15" customHeight="1" x14ac:dyDescent="0.25">
      <c r="A16" s="62">
        <f>IF('Avaliação Períodos'!A17=0,"",'Avaliação Períodos'!A17)</f>
        <v>9</v>
      </c>
      <c r="B16" s="225" t="str">
        <f>IF('Avaliação Períodos'!B17=0,"",'Avaliação Períodos'!B17)</f>
        <v>Guilherme</v>
      </c>
      <c r="C16" s="226"/>
      <c r="D16" s="226"/>
      <c r="E16" s="226"/>
      <c r="F16" s="226"/>
      <c r="G16" s="269"/>
      <c r="H16" s="375">
        <v>32</v>
      </c>
      <c r="I16" s="373">
        <v>18</v>
      </c>
      <c r="J16" s="373">
        <v>20</v>
      </c>
      <c r="K16" s="373">
        <v>30</v>
      </c>
      <c r="L16" s="374"/>
      <c r="M16" s="374"/>
      <c r="N16" s="317">
        <f t="shared" si="0"/>
        <v>100</v>
      </c>
      <c r="O16" s="375"/>
      <c r="P16" s="472" t="str">
        <f>IF(COUNT(O16:O16)=0,"",SUM(O16:O16))</f>
        <v/>
      </c>
      <c r="Q16" s="375"/>
      <c r="R16" s="373"/>
      <c r="S16" s="373"/>
      <c r="T16" s="373"/>
      <c r="U16" s="373"/>
      <c r="V16" s="373"/>
      <c r="W16" s="317" t="str">
        <f t="shared" si="1"/>
        <v/>
      </c>
      <c r="X16" s="366"/>
      <c r="Y16" s="317"/>
      <c r="AD16" s="2"/>
    </row>
    <row r="17" spans="1:30" ht="15" customHeight="1" x14ac:dyDescent="0.25">
      <c r="A17" s="63">
        <f>IF('Avaliação Períodos'!A18=0,"",'Avaliação Períodos'!A18)</f>
        <v>10</v>
      </c>
      <c r="B17" s="232" t="str">
        <f>IF('Avaliação Períodos'!B18=0,"",'Avaliação Períodos'!B18)</f>
        <v/>
      </c>
      <c r="C17" s="233"/>
      <c r="D17" s="233"/>
      <c r="E17" s="233"/>
      <c r="F17" s="233"/>
      <c r="G17" s="259"/>
      <c r="H17" s="380"/>
      <c r="I17" s="378"/>
      <c r="J17" s="378"/>
      <c r="K17" s="378"/>
      <c r="L17" s="379"/>
      <c r="M17" s="379"/>
      <c r="N17" s="317" t="str">
        <f t="shared" si="0"/>
        <v/>
      </c>
      <c r="O17" s="380"/>
      <c r="P17" s="472" t="str">
        <f>IF(COUNT(O17:O17)=0,"",SUM(O17:O17))</f>
        <v/>
      </c>
      <c r="Q17" s="380"/>
      <c r="R17" s="378"/>
      <c r="S17" s="378"/>
      <c r="T17" s="378"/>
      <c r="U17" s="378"/>
      <c r="V17" s="378"/>
      <c r="W17" s="317" t="str">
        <f t="shared" si="1"/>
        <v/>
      </c>
      <c r="X17" s="370"/>
      <c r="Y17" s="317"/>
      <c r="Z17" s="2"/>
      <c r="AA17" s="2"/>
      <c r="AB17" s="2"/>
      <c r="AC17" s="2"/>
      <c r="AD17" s="2"/>
    </row>
    <row r="18" spans="1:30" ht="15" customHeight="1" x14ac:dyDescent="0.25">
      <c r="A18" s="62">
        <f>IF('Avaliação Períodos'!A19=0,"",'Avaliação Períodos'!A19)</f>
        <v>11</v>
      </c>
      <c r="B18" s="225" t="str">
        <f>IF('Avaliação Períodos'!B19=0,"",'Avaliação Períodos'!B19)</f>
        <v xml:space="preserve">Iara </v>
      </c>
      <c r="C18" s="226"/>
      <c r="D18" s="226"/>
      <c r="E18" s="226"/>
      <c r="F18" s="226"/>
      <c r="G18" s="269"/>
      <c r="H18" s="384">
        <v>32</v>
      </c>
      <c r="I18" s="373">
        <v>9</v>
      </c>
      <c r="J18" s="373">
        <v>20</v>
      </c>
      <c r="K18" s="373">
        <v>30</v>
      </c>
      <c r="L18" s="374"/>
      <c r="M18" s="374"/>
      <c r="N18" s="317">
        <f t="shared" si="0"/>
        <v>91</v>
      </c>
      <c r="O18" s="384"/>
      <c r="P18" s="472" t="str">
        <f>IF(COUNT(O18:O18)=0,"",SUM(O18:O18))</f>
        <v/>
      </c>
      <c r="Q18" s="384"/>
      <c r="R18" s="373"/>
      <c r="S18" s="373"/>
      <c r="T18" s="373"/>
      <c r="U18" s="373"/>
      <c r="V18" s="373"/>
      <c r="W18" s="317" t="str">
        <f t="shared" si="1"/>
        <v/>
      </c>
      <c r="X18" s="366"/>
      <c r="Y18" s="317"/>
      <c r="AD18" s="2"/>
    </row>
    <row r="19" spans="1:30" ht="15" customHeight="1" x14ac:dyDescent="0.25">
      <c r="A19" s="63">
        <f>IF('Avaliação Períodos'!A20=0,"",'Avaliação Períodos'!A20)</f>
        <v>12</v>
      </c>
      <c r="B19" s="232" t="str">
        <f>IF('Avaliação Períodos'!B20=0,"",'Avaliação Períodos'!B20)</f>
        <v>João</v>
      </c>
      <c r="C19" s="233"/>
      <c r="D19" s="233"/>
      <c r="E19" s="233"/>
      <c r="F19" s="233"/>
      <c r="G19" s="259"/>
      <c r="H19" s="380">
        <v>12</v>
      </c>
      <c r="I19" s="378">
        <v>0</v>
      </c>
      <c r="J19" s="378">
        <v>20</v>
      </c>
      <c r="K19" s="378">
        <v>30</v>
      </c>
      <c r="L19" s="379"/>
      <c r="M19" s="379"/>
      <c r="N19" s="317">
        <f t="shared" si="0"/>
        <v>62</v>
      </c>
      <c r="O19" s="380"/>
      <c r="P19" s="472" t="str">
        <f>IF(COUNT(O19:O19)=0,"",SUM(O19:O19))</f>
        <v/>
      </c>
      <c r="Q19" s="380"/>
      <c r="R19" s="378"/>
      <c r="S19" s="378"/>
      <c r="T19" s="378"/>
      <c r="U19" s="378"/>
      <c r="V19" s="378"/>
      <c r="W19" s="317" t="str">
        <f t="shared" si="1"/>
        <v/>
      </c>
      <c r="X19" s="370"/>
      <c r="Y19" s="317"/>
      <c r="AD19" s="2"/>
    </row>
    <row r="20" spans="1:30" ht="15" customHeight="1" x14ac:dyDescent="0.25">
      <c r="A20" s="62">
        <f>IF('Avaliação Períodos'!A21=0,"",'Avaliação Períodos'!A21)</f>
        <v>13</v>
      </c>
      <c r="B20" s="225" t="str">
        <f>IF('Avaliação Períodos'!B21=0,"",'Avaliação Períodos'!B21)</f>
        <v>Josué</v>
      </c>
      <c r="C20" s="226"/>
      <c r="D20" s="226"/>
      <c r="E20" s="226"/>
      <c r="F20" s="226"/>
      <c r="G20" s="269"/>
      <c r="H20" s="384"/>
      <c r="I20" s="373"/>
      <c r="J20" s="373"/>
      <c r="K20" s="373"/>
      <c r="L20" s="374">
        <v>1</v>
      </c>
      <c r="M20" s="374"/>
      <c r="N20" s="317">
        <f t="shared" si="0"/>
        <v>1</v>
      </c>
      <c r="O20" s="384">
        <v>1</v>
      </c>
      <c r="P20" s="472">
        <f>IF(COUNT(O20:O20)=0,"",SUM(O20:O20))</f>
        <v>1</v>
      </c>
      <c r="Q20" s="384"/>
      <c r="R20" s="373"/>
      <c r="S20" s="373"/>
      <c r="T20" s="373"/>
      <c r="U20" s="373"/>
      <c r="V20" s="373"/>
      <c r="W20" s="317" t="str">
        <f t="shared" si="1"/>
        <v/>
      </c>
      <c r="X20" s="366"/>
      <c r="Y20" s="317"/>
      <c r="AD20" s="11"/>
    </row>
    <row r="21" spans="1:30" ht="15" customHeight="1" x14ac:dyDescent="0.25">
      <c r="A21" s="63">
        <f>IF('Avaliação Períodos'!A22=0,"",'Avaliação Períodos'!A22)</f>
        <v>14</v>
      </c>
      <c r="B21" s="232" t="str">
        <f>IF('Avaliação Períodos'!B22=0,"",'Avaliação Períodos'!B22)</f>
        <v>Leonor</v>
      </c>
      <c r="C21" s="233"/>
      <c r="D21" s="233"/>
      <c r="E21" s="233"/>
      <c r="F21" s="233"/>
      <c r="G21" s="259"/>
      <c r="H21" s="380">
        <v>32</v>
      </c>
      <c r="I21" s="378">
        <v>18</v>
      </c>
      <c r="J21" s="378">
        <v>20</v>
      </c>
      <c r="K21" s="378">
        <v>30</v>
      </c>
      <c r="L21" s="379"/>
      <c r="M21" s="379"/>
      <c r="N21" s="317">
        <f t="shared" si="0"/>
        <v>100</v>
      </c>
      <c r="O21" s="380">
        <v>70</v>
      </c>
      <c r="P21" s="472">
        <f>IF(COUNT(O21:O21)=0,"",SUM(O21:O21))</f>
        <v>70</v>
      </c>
      <c r="Q21" s="380"/>
      <c r="R21" s="378"/>
      <c r="S21" s="378"/>
      <c r="T21" s="378"/>
      <c r="U21" s="378"/>
      <c r="V21" s="378"/>
      <c r="W21" s="317" t="str">
        <f t="shared" si="1"/>
        <v/>
      </c>
      <c r="X21" s="370"/>
      <c r="Y21" s="317"/>
      <c r="AD21" s="11"/>
    </row>
    <row r="22" spans="1:30" ht="15" customHeight="1" x14ac:dyDescent="0.25">
      <c r="A22" s="62">
        <f>IF('Avaliação Períodos'!A23=0,"",'Avaliação Períodos'!A23)</f>
        <v>15</v>
      </c>
      <c r="B22" s="225" t="str">
        <f>IF('Avaliação Períodos'!B23=0,"",'Avaliação Períodos'!B23)</f>
        <v>Lívia</v>
      </c>
      <c r="C22" s="226"/>
      <c r="D22" s="226"/>
      <c r="E22" s="226"/>
      <c r="F22" s="226"/>
      <c r="G22" s="269"/>
      <c r="H22" s="384">
        <v>28</v>
      </c>
      <c r="I22" s="373">
        <v>18</v>
      </c>
      <c r="J22" s="373">
        <v>20</v>
      </c>
      <c r="K22" s="373">
        <v>30</v>
      </c>
      <c r="L22" s="374"/>
      <c r="M22" s="374"/>
      <c r="N22" s="317">
        <f t="shared" si="0"/>
        <v>96</v>
      </c>
      <c r="O22" s="384">
        <v>70</v>
      </c>
      <c r="P22" s="472">
        <f>IF(COUNT(O22:O22)=0,"",SUM(O22:O22))</f>
        <v>70</v>
      </c>
      <c r="Q22" s="384"/>
      <c r="R22" s="373"/>
      <c r="S22" s="373"/>
      <c r="T22" s="373"/>
      <c r="U22" s="373"/>
      <c r="V22" s="373"/>
      <c r="W22" s="317" t="str">
        <f t="shared" si="1"/>
        <v/>
      </c>
      <c r="X22" s="366"/>
      <c r="Y22" s="317"/>
      <c r="AD22" s="2"/>
    </row>
    <row r="23" spans="1:30" ht="15" customHeight="1" x14ac:dyDescent="0.25">
      <c r="A23" s="63">
        <f>IF('Avaliação Períodos'!A24=0,"",'Avaliação Períodos'!A24)</f>
        <v>16</v>
      </c>
      <c r="B23" s="232" t="str">
        <f>IF('Avaliação Períodos'!B24=0,"",'Avaliação Períodos'!B24)</f>
        <v>Lourenço</v>
      </c>
      <c r="C23" s="233"/>
      <c r="D23" s="233"/>
      <c r="E23" s="233"/>
      <c r="F23" s="233"/>
      <c r="G23" s="259"/>
      <c r="H23" s="380">
        <v>32</v>
      </c>
      <c r="I23" s="378">
        <v>18</v>
      </c>
      <c r="J23" s="378">
        <v>20</v>
      </c>
      <c r="K23" s="378">
        <v>30</v>
      </c>
      <c r="L23" s="379"/>
      <c r="M23" s="379"/>
      <c r="N23" s="317">
        <f t="shared" si="0"/>
        <v>100</v>
      </c>
      <c r="O23" s="380">
        <v>90</v>
      </c>
      <c r="P23" s="472">
        <f>IF(COUNT(O23:O23)=0,"",SUM(O23:O23))</f>
        <v>90</v>
      </c>
      <c r="Q23" s="380"/>
      <c r="R23" s="378"/>
      <c r="S23" s="378"/>
      <c r="T23" s="378"/>
      <c r="U23" s="378"/>
      <c r="V23" s="378"/>
      <c r="W23" s="317" t="str">
        <f t="shared" si="1"/>
        <v/>
      </c>
      <c r="X23" s="370"/>
      <c r="Y23" s="317"/>
      <c r="AD23" s="2"/>
    </row>
    <row r="24" spans="1:30" ht="16.5" customHeight="1" x14ac:dyDescent="0.25">
      <c r="A24" s="62">
        <f>IF('Avaliação Períodos'!A25=0,"",'Avaliação Períodos'!A25)</f>
        <v>17</v>
      </c>
      <c r="B24" s="225" t="str">
        <f>IF('Avaliação Períodos'!B25=0,"",'Avaliação Períodos'!B25)</f>
        <v>Matheus</v>
      </c>
      <c r="C24" s="226"/>
      <c r="D24" s="226"/>
      <c r="E24" s="226"/>
      <c r="F24" s="226"/>
      <c r="G24" s="269"/>
      <c r="H24" s="384">
        <v>32</v>
      </c>
      <c r="I24" s="373">
        <v>18</v>
      </c>
      <c r="J24" s="373">
        <v>20</v>
      </c>
      <c r="K24" s="373">
        <v>30</v>
      </c>
      <c r="L24" s="374"/>
      <c r="M24" s="374"/>
      <c r="N24" s="317">
        <f t="shared" si="0"/>
        <v>100</v>
      </c>
      <c r="O24" s="384">
        <v>1</v>
      </c>
      <c r="P24" s="472">
        <f>IF(COUNT(O24:O24)=0,"",SUM(O24:O24))</f>
        <v>1</v>
      </c>
      <c r="Q24" s="384"/>
      <c r="R24" s="373"/>
      <c r="S24" s="373"/>
      <c r="T24" s="373"/>
      <c r="U24" s="373"/>
      <c r="V24" s="373"/>
      <c r="W24" s="317" t="str">
        <f t="shared" si="1"/>
        <v/>
      </c>
      <c r="X24" s="366"/>
      <c r="Y24" s="317"/>
      <c r="AD24" s="2"/>
    </row>
    <row r="25" spans="1:30" ht="15" customHeight="1" x14ac:dyDescent="0.25">
      <c r="A25" s="63">
        <f>IF('Avaliação Períodos'!A26=0,"",'Avaliação Períodos'!A26)</f>
        <v>18</v>
      </c>
      <c r="B25" s="232" t="str">
        <f>IF('Avaliação Períodos'!B26=0,"",'Avaliação Períodos'!B26)</f>
        <v>Miguel</v>
      </c>
      <c r="C25" s="233"/>
      <c r="D25" s="233"/>
      <c r="E25" s="233"/>
      <c r="F25" s="233"/>
      <c r="G25" s="259"/>
      <c r="H25" s="380">
        <v>32</v>
      </c>
      <c r="I25" s="378">
        <v>18</v>
      </c>
      <c r="J25" s="378">
        <v>20</v>
      </c>
      <c r="K25" s="378">
        <v>30</v>
      </c>
      <c r="L25" s="379"/>
      <c r="M25" s="379"/>
      <c r="N25" s="317">
        <f t="shared" si="0"/>
        <v>100</v>
      </c>
      <c r="O25" s="380">
        <v>60</v>
      </c>
      <c r="P25" s="472">
        <f>IF(COUNT(O25:O25)=0,"",SUM(O25:O25))</f>
        <v>60</v>
      </c>
      <c r="Q25" s="380"/>
      <c r="R25" s="378"/>
      <c r="S25" s="378"/>
      <c r="T25" s="378"/>
      <c r="U25" s="378"/>
      <c r="V25" s="378"/>
      <c r="W25" s="317" t="str">
        <f t="shared" si="1"/>
        <v/>
      </c>
      <c r="X25" s="370"/>
      <c r="Y25" s="317"/>
      <c r="AD25" s="2"/>
    </row>
    <row r="26" spans="1:30" ht="15" customHeight="1" x14ac:dyDescent="0.25">
      <c r="A26" s="62">
        <f>IF('Avaliação Períodos'!A27=0,"",'Avaliação Períodos'!A27)</f>
        <v>19</v>
      </c>
      <c r="B26" s="225" t="str">
        <f>IF('Avaliação Períodos'!B27=0,"",'Avaliação Períodos'!B27)</f>
        <v>Santiago</v>
      </c>
      <c r="C26" s="226"/>
      <c r="D26" s="226"/>
      <c r="E26" s="226"/>
      <c r="F26" s="226"/>
      <c r="G26" s="269"/>
      <c r="H26" s="384">
        <v>32</v>
      </c>
      <c r="I26" s="373">
        <v>18</v>
      </c>
      <c r="J26" s="373">
        <v>20</v>
      </c>
      <c r="K26" s="373">
        <v>30</v>
      </c>
      <c r="L26" s="374"/>
      <c r="M26" s="374"/>
      <c r="N26" s="317">
        <f t="shared" si="0"/>
        <v>100</v>
      </c>
      <c r="O26" s="384">
        <v>60</v>
      </c>
      <c r="P26" s="472">
        <f>IF(COUNT(O26:O26)=0,"",SUM(O26:O26))</f>
        <v>60</v>
      </c>
      <c r="Q26" s="384"/>
      <c r="R26" s="373"/>
      <c r="S26" s="373"/>
      <c r="T26" s="373"/>
      <c r="U26" s="373"/>
      <c r="V26" s="373"/>
      <c r="W26" s="317" t="str">
        <f t="shared" si="1"/>
        <v/>
      </c>
      <c r="X26" s="366"/>
      <c r="Y26" s="317"/>
      <c r="AD26" s="2"/>
    </row>
    <row r="27" spans="1:30" ht="15" customHeight="1" x14ac:dyDescent="0.25">
      <c r="A27" s="63">
        <f>IF('Avaliação Períodos'!A28=0,"",'Avaliação Períodos'!A28)</f>
        <v>20</v>
      </c>
      <c r="B27" s="232" t="str">
        <f>IF('Avaliação Períodos'!B28=0,"",'Avaliação Períodos'!B28)</f>
        <v>Sophie</v>
      </c>
      <c r="C27" s="233"/>
      <c r="D27" s="233"/>
      <c r="E27" s="233"/>
      <c r="F27" s="233"/>
      <c r="G27" s="259"/>
      <c r="H27" s="380">
        <v>32</v>
      </c>
      <c r="I27" s="378">
        <v>9</v>
      </c>
      <c r="J27" s="378">
        <v>20</v>
      </c>
      <c r="K27" s="378">
        <v>30</v>
      </c>
      <c r="L27" s="379"/>
      <c r="M27" s="379"/>
      <c r="N27" s="317">
        <f t="shared" si="0"/>
        <v>91</v>
      </c>
      <c r="O27" s="380">
        <v>60</v>
      </c>
      <c r="P27" s="472">
        <f>IF(COUNT(O27:O27)=0,"",SUM(O27:O27))</f>
        <v>60</v>
      </c>
      <c r="Q27" s="380"/>
      <c r="R27" s="378"/>
      <c r="S27" s="378"/>
      <c r="T27" s="378"/>
      <c r="U27" s="378"/>
      <c r="V27" s="378"/>
      <c r="W27" s="317" t="str">
        <f t="shared" si="1"/>
        <v/>
      </c>
      <c r="X27" s="370"/>
      <c r="Y27" s="317"/>
      <c r="AD27" s="2"/>
    </row>
    <row r="28" spans="1:30" ht="15" customHeight="1" x14ac:dyDescent="0.25">
      <c r="A28" s="62">
        <f>IF('Avaliação Períodos'!A29=0,"",'Avaliação Períodos'!A29)</f>
        <v>21</v>
      </c>
      <c r="B28" s="225" t="str">
        <f>IF('Avaliação Períodos'!B29=0,"",'Avaliação Períodos'!B29)</f>
        <v>Tiago</v>
      </c>
      <c r="C28" s="226"/>
      <c r="D28" s="226"/>
      <c r="E28" s="226"/>
      <c r="F28" s="226"/>
      <c r="G28" s="269"/>
      <c r="H28" s="384">
        <v>24</v>
      </c>
      <c r="I28" s="373">
        <v>0</v>
      </c>
      <c r="J28" s="373">
        <v>20</v>
      </c>
      <c r="K28" s="373">
        <v>30</v>
      </c>
      <c r="L28" s="374"/>
      <c r="M28" s="374"/>
      <c r="N28" s="317">
        <f t="shared" si="0"/>
        <v>74</v>
      </c>
      <c r="O28" s="384">
        <v>60</v>
      </c>
      <c r="P28" s="472">
        <f>IF(COUNT(O28:O28)=0,"",SUM(O28:O28))</f>
        <v>60</v>
      </c>
      <c r="Q28" s="384"/>
      <c r="R28" s="373"/>
      <c r="S28" s="373"/>
      <c r="T28" s="373"/>
      <c r="U28" s="373"/>
      <c r="V28" s="373"/>
      <c r="W28" s="317" t="str">
        <f t="shared" si="1"/>
        <v/>
      </c>
      <c r="X28" s="366"/>
      <c r="Y28" s="317"/>
      <c r="AD28" s="2"/>
    </row>
    <row r="29" spans="1:30" ht="15" customHeight="1" x14ac:dyDescent="0.25">
      <c r="A29" s="63">
        <f>IF('Avaliação Períodos'!A30=0,"",'Avaliação Períodos'!A30)</f>
        <v>22</v>
      </c>
      <c r="B29" s="232" t="str">
        <f>IF('Avaliação Períodos'!B30=0,"",'Avaliação Períodos'!B30)</f>
        <v>Yarianny</v>
      </c>
      <c r="C29" s="233"/>
      <c r="D29" s="233"/>
      <c r="E29" s="233"/>
      <c r="F29" s="233"/>
      <c r="G29" s="259"/>
      <c r="H29" s="389">
        <v>32</v>
      </c>
      <c r="I29" s="387">
        <v>0</v>
      </c>
      <c r="J29" s="387">
        <v>20</v>
      </c>
      <c r="K29" s="387">
        <v>30</v>
      </c>
      <c r="L29" s="388"/>
      <c r="M29" s="388"/>
      <c r="N29" s="317">
        <f t="shared" si="0"/>
        <v>82</v>
      </c>
      <c r="O29" s="389">
        <v>55</v>
      </c>
      <c r="P29" s="472">
        <f>IF(COUNT(O29:O29)=0,"",SUM(O29:O29))</f>
        <v>55</v>
      </c>
      <c r="Q29" s="389"/>
      <c r="R29" s="387"/>
      <c r="S29" s="387"/>
      <c r="T29" s="387"/>
      <c r="U29" s="387"/>
      <c r="V29" s="387"/>
      <c r="W29" s="317" t="str">
        <f t="shared" si="1"/>
        <v/>
      </c>
      <c r="X29" s="370"/>
      <c r="Y29" s="317"/>
      <c r="AD29" s="2"/>
    </row>
    <row r="30" spans="1:30" ht="15" customHeight="1" x14ac:dyDescent="0.25">
      <c r="A30" s="62">
        <f>IF('Avaliação Períodos'!A31=0,"",'Avaliação Períodos'!A31)</f>
        <v>23</v>
      </c>
      <c r="B30" s="225" t="str">
        <f>IF('Avaliação Períodos'!B31=0,"",'Avaliação Períodos'!B31)</f>
        <v>Dhébora</v>
      </c>
      <c r="C30" s="226"/>
      <c r="D30" s="226"/>
      <c r="E30" s="226"/>
      <c r="F30" s="226"/>
      <c r="G30" s="269"/>
      <c r="H30" s="384">
        <v>32</v>
      </c>
      <c r="I30" s="373">
        <v>0</v>
      </c>
      <c r="J30" s="373">
        <v>20</v>
      </c>
      <c r="K30" s="373">
        <v>30</v>
      </c>
      <c r="L30" s="374"/>
      <c r="M30" s="374"/>
      <c r="N30" s="317">
        <f t="shared" si="0"/>
        <v>82</v>
      </c>
      <c r="O30" s="384">
        <v>70</v>
      </c>
      <c r="P30" s="472">
        <f>IF(COUNT(O30:O30)=0,"",SUM(O30:O30))</f>
        <v>70</v>
      </c>
      <c r="Q30" s="384"/>
      <c r="R30" s="373"/>
      <c r="S30" s="373"/>
      <c r="T30" s="373"/>
      <c r="U30" s="373"/>
      <c r="V30" s="373"/>
      <c r="W30" s="317" t="str">
        <f t="shared" si="1"/>
        <v/>
      </c>
      <c r="X30" s="366"/>
      <c r="Y30" s="317"/>
      <c r="AD30" s="2"/>
    </row>
    <row r="31" spans="1:30" ht="15" customHeight="1" x14ac:dyDescent="0.25">
      <c r="A31" s="63" t="str">
        <f>IF('Avaliação Períodos'!A32=0,"",'Avaliação Períodos'!A32)</f>
        <v/>
      </c>
      <c r="B31" s="232" t="str">
        <f>IF('Avaliação Períodos'!B32=0,"",'Avaliação Períodos'!B32)</f>
        <v/>
      </c>
      <c r="C31" s="233"/>
      <c r="D31" s="233"/>
      <c r="E31" s="233"/>
      <c r="F31" s="233"/>
      <c r="G31" s="259"/>
      <c r="H31" s="380"/>
      <c r="I31" s="378"/>
      <c r="J31" s="378"/>
      <c r="K31" s="378"/>
      <c r="L31" s="379"/>
      <c r="M31" s="379"/>
      <c r="N31" s="317" t="str">
        <f t="shared" si="0"/>
        <v/>
      </c>
      <c r="O31" s="380"/>
      <c r="P31" s="472" t="str">
        <f>IF(COUNT(O31:O31)=0,"",SUM(O31:O31))</f>
        <v/>
      </c>
      <c r="Q31" s="380"/>
      <c r="R31" s="378"/>
      <c r="S31" s="378"/>
      <c r="T31" s="378"/>
      <c r="U31" s="378"/>
      <c r="V31" s="378"/>
      <c r="W31" s="317" t="str">
        <f t="shared" si="1"/>
        <v/>
      </c>
      <c r="X31" s="370"/>
      <c r="Y31" s="317"/>
      <c r="AD31" s="2"/>
    </row>
    <row r="32" spans="1:30" ht="15" customHeight="1" x14ac:dyDescent="0.25">
      <c r="A32" s="62" t="str">
        <f>IF('Avaliação Períodos'!A33=0,"",'Avaliação Períodos'!A33)</f>
        <v/>
      </c>
      <c r="B32" s="225" t="str">
        <f>IF('Avaliação Períodos'!B33=0,"",'Avaliação Períodos'!B33)</f>
        <v/>
      </c>
      <c r="C32" s="226"/>
      <c r="D32" s="226"/>
      <c r="E32" s="226"/>
      <c r="F32" s="226"/>
      <c r="G32" s="269"/>
      <c r="H32" s="384"/>
      <c r="I32" s="373"/>
      <c r="J32" s="373"/>
      <c r="K32" s="373"/>
      <c r="L32" s="374"/>
      <c r="M32" s="374"/>
      <c r="N32" s="317" t="str">
        <f t="shared" si="0"/>
        <v/>
      </c>
      <c r="O32" s="384"/>
      <c r="P32" s="472" t="str">
        <f>IF(COUNT(O32:O32)=0,"",SUM(O32:O32))</f>
        <v/>
      </c>
      <c r="Q32" s="384"/>
      <c r="R32" s="373"/>
      <c r="S32" s="373"/>
      <c r="T32" s="373"/>
      <c r="U32" s="373"/>
      <c r="V32" s="373"/>
      <c r="W32" s="317" t="str">
        <f t="shared" si="1"/>
        <v/>
      </c>
      <c r="X32" s="366"/>
      <c r="Y32" s="317"/>
      <c r="Z32" s="12"/>
      <c r="AA32" s="12"/>
      <c r="AB32" s="12"/>
      <c r="AC32" s="12"/>
      <c r="AD32" s="2"/>
    </row>
    <row r="33" spans="1:30" ht="15" customHeight="1" x14ac:dyDescent="0.25">
      <c r="A33" s="63" t="str">
        <f>IF('Avaliação Períodos'!A34=0,"",'Avaliação Períodos'!A34)</f>
        <v/>
      </c>
      <c r="B33" s="232" t="str">
        <f>IF('Avaliação Períodos'!B34=0,"",'Avaliação Períodos'!B34)</f>
        <v/>
      </c>
      <c r="C33" s="233"/>
      <c r="D33" s="233"/>
      <c r="E33" s="233"/>
      <c r="F33" s="233"/>
      <c r="G33" s="259"/>
      <c r="H33" s="380"/>
      <c r="I33" s="378"/>
      <c r="J33" s="378"/>
      <c r="K33" s="378"/>
      <c r="L33" s="379"/>
      <c r="M33" s="379"/>
      <c r="N33" s="317" t="str">
        <f t="shared" si="0"/>
        <v/>
      </c>
      <c r="O33" s="380"/>
      <c r="P33" s="472" t="str">
        <f>IF(COUNT(O33:O33)=0,"",SUM(O33:O33))</f>
        <v/>
      </c>
      <c r="Q33" s="380"/>
      <c r="R33" s="378"/>
      <c r="S33" s="378"/>
      <c r="T33" s="378"/>
      <c r="U33" s="378"/>
      <c r="V33" s="378"/>
      <c r="W33" s="317" t="str">
        <f t="shared" si="1"/>
        <v/>
      </c>
      <c r="X33" s="370"/>
      <c r="Y33" s="317"/>
      <c r="Z33" s="12"/>
      <c r="AA33" s="12"/>
      <c r="AB33" s="12"/>
      <c r="AC33" s="12"/>
      <c r="AD33" s="2"/>
    </row>
    <row r="34" spans="1:30" ht="15" customHeight="1" x14ac:dyDescent="0.25">
      <c r="A34" s="62" t="str">
        <f>IF('Avaliação Períodos'!A35=0,"",'Avaliação Períodos'!A35)</f>
        <v/>
      </c>
      <c r="B34" s="225" t="str">
        <f>IF('Avaliação Períodos'!B35=0,"",'Avaliação Períodos'!B35)</f>
        <v/>
      </c>
      <c r="C34" s="226"/>
      <c r="D34" s="226"/>
      <c r="E34" s="226"/>
      <c r="F34" s="226"/>
      <c r="G34" s="269"/>
      <c r="H34" s="384"/>
      <c r="I34" s="373"/>
      <c r="J34" s="373"/>
      <c r="K34" s="373"/>
      <c r="L34" s="374"/>
      <c r="M34" s="374"/>
      <c r="N34" s="317" t="str">
        <f t="shared" si="0"/>
        <v/>
      </c>
      <c r="O34" s="384"/>
      <c r="P34" s="472" t="str">
        <f>IF(COUNT(O34:O34)=0,"",SUM(O34:O34))</f>
        <v/>
      </c>
      <c r="Q34" s="384"/>
      <c r="R34" s="373"/>
      <c r="S34" s="373"/>
      <c r="T34" s="373"/>
      <c r="U34" s="373"/>
      <c r="V34" s="373"/>
      <c r="W34" s="317" t="str">
        <f t="shared" si="1"/>
        <v/>
      </c>
      <c r="X34" s="366"/>
      <c r="Y34" s="317"/>
      <c r="Z34" s="12"/>
      <c r="AA34" s="12"/>
      <c r="AB34" s="12"/>
      <c r="AC34" s="12"/>
      <c r="AD34" s="2"/>
    </row>
    <row r="35" spans="1:30" ht="15" customHeight="1" x14ac:dyDescent="0.25">
      <c r="A35" s="63" t="str">
        <f>IF('Avaliação Períodos'!A36=0,"",'Avaliação Períodos'!A36)</f>
        <v/>
      </c>
      <c r="B35" s="232" t="str">
        <f>IF('Avaliação Períodos'!B36=0,"",'Avaliação Períodos'!B36)</f>
        <v/>
      </c>
      <c r="C35" s="233"/>
      <c r="D35" s="233"/>
      <c r="E35" s="233"/>
      <c r="F35" s="233"/>
      <c r="G35" s="259"/>
      <c r="H35" s="380"/>
      <c r="I35" s="378"/>
      <c r="J35" s="378"/>
      <c r="K35" s="378"/>
      <c r="L35" s="379"/>
      <c r="M35" s="379"/>
      <c r="N35" s="317" t="str">
        <f t="shared" si="0"/>
        <v/>
      </c>
      <c r="O35" s="380"/>
      <c r="P35" s="472" t="str">
        <f>IF(COUNT(O35:O35)=0,"",SUM(O35:O35))</f>
        <v/>
      </c>
      <c r="Q35" s="380"/>
      <c r="R35" s="378"/>
      <c r="S35" s="378"/>
      <c r="T35" s="378"/>
      <c r="U35" s="378"/>
      <c r="V35" s="378"/>
      <c r="W35" s="317" t="str">
        <f t="shared" si="1"/>
        <v/>
      </c>
      <c r="X35" s="370"/>
      <c r="Y35" s="317"/>
      <c r="Z35" s="12"/>
      <c r="AA35" s="12"/>
      <c r="AB35" s="12"/>
      <c r="AC35" s="12"/>
      <c r="AD35" s="2"/>
    </row>
    <row r="36" spans="1:30" ht="15" customHeight="1" x14ac:dyDescent="0.25">
      <c r="A36" s="64" t="str">
        <f>IF('Avaliação Períodos'!A37=0,"",'Avaliação Períodos'!A37)</f>
        <v/>
      </c>
      <c r="B36" s="225" t="str">
        <f>IF('Avaliação Períodos'!B37=0,"",'Avaliação Períodos'!B37)</f>
        <v/>
      </c>
      <c r="C36" s="226"/>
      <c r="D36" s="226"/>
      <c r="E36" s="226"/>
      <c r="F36" s="226"/>
      <c r="G36" s="269"/>
      <c r="H36" s="393"/>
      <c r="I36" s="392"/>
      <c r="J36" s="392"/>
      <c r="K36" s="392"/>
      <c r="L36" s="392"/>
      <c r="M36" s="474"/>
      <c r="N36" s="317" t="str">
        <f t="shared" si="0"/>
        <v/>
      </c>
      <c r="O36" s="393"/>
      <c r="P36" s="472" t="str">
        <f>IF(COUNT(O36:O36)=0,"",SUM(O36:O36))</f>
        <v/>
      </c>
      <c r="Q36" s="393"/>
      <c r="R36" s="392"/>
      <c r="S36" s="392"/>
      <c r="T36" s="392"/>
      <c r="U36" s="392"/>
      <c r="V36" s="392"/>
      <c r="W36" s="317" t="str">
        <f t="shared" si="1"/>
        <v/>
      </c>
      <c r="X36" s="366"/>
      <c r="Y36" s="400"/>
      <c r="Z36" s="12"/>
      <c r="AA36" s="12"/>
      <c r="AB36" s="12"/>
      <c r="AC36" s="12"/>
      <c r="AD36" s="2"/>
    </row>
    <row r="37" spans="1:30" ht="15" customHeight="1" x14ac:dyDescent="0.25">
      <c r="A37" s="65" t="str">
        <f>IF('Avaliação Períodos'!A38=0,"",'Avaliação Períodos'!A38)</f>
        <v/>
      </c>
      <c r="B37" s="232" t="str">
        <f>IF('Avaliação Períodos'!B38=0,"",'Avaliação Períodos'!B38)</f>
        <v xml:space="preserve"> </v>
      </c>
      <c r="C37" s="233"/>
      <c r="D37" s="233"/>
      <c r="E37" s="233"/>
      <c r="F37" s="233"/>
      <c r="G37" s="259"/>
      <c r="H37" s="475"/>
      <c r="I37" s="476"/>
      <c r="J37" s="476"/>
      <c r="K37" s="476"/>
      <c r="L37" s="476"/>
      <c r="M37" s="477"/>
      <c r="N37" s="478" t="str">
        <f t="shared" si="0"/>
        <v/>
      </c>
      <c r="O37" s="475"/>
      <c r="P37" s="478" t="str">
        <f>IF(COUNT(O37:O37)=0,"",SUM(O37:O37))</f>
        <v/>
      </c>
      <c r="Q37" s="475"/>
      <c r="R37" s="476"/>
      <c r="S37" s="476"/>
      <c r="T37" s="476"/>
      <c r="U37" s="476"/>
      <c r="V37" s="476"/>
      <c r="W37" s="478" t="str">
        <f t="shared" si="1"/>
        <v/>
      </c>
      <c r="X37" s="479"/>
      <c r="Y37" s="478"/>
    </row>
    <row r="38" spans="1:30" x14ac:dyDescent="0.25">
      <c r="A38" s="2"/>
      <c r="B38" s="2"/>
      <c r="C38" s="2"/>
      <c r="D38" s="2"/>
      <c r="E38" s="2"/>
      <c r="F38" s="2"/>
      <c r="G38" s="2"/>
      <c r="I38" s="227" t="s">
        <v>22</v>
      </c>
      <c r="J38" s="228"/>
      <c r="K38" s="228"/>
      <c r="L38" s="228"/>
      <c r="M38" s="229"/>
      <c r="N38" s="345">
        <f>IF(COUNT(N8:N37)=0,"",AVERAGE(N8:N37))</f>
        <v>82.272727272727266</v>
      </c>
      <c r="O38" s="345">
        <f>IF(COUNT(P8:P37)=0,"",AVERAGE(P8:P37))</f>
        <v>54.272727272727273</v>
      </c>
      <c r="P38" s="2"/>
      <c r="Q38" s="2"/>
      <c r="R38" s="2"/>
      <c r="V38" s="231" t="s">
        <v>22</v>
      </c>
      <c r="W38" s="231"/>
      <c r="X38" s="231"/>
      <c r="Y38" s="480" t="str">
        <f>IF(COUNT(Y8:Y37)=0,"",AVERAGE(Y8:Y37))</f>
        <v/>
      </c>
    </row>
    <row r="39" spans="1:30" x14ac:dyDescent="0.25">
      <c r="A39" s="2"/>
      <c r="B39" s="2"/>
      <c r="C39" s="2"/>
      <c r="D39" s="2"/>
      <c r="E39" s="2"/>
      <c r="F39" s="2"/>
      <c r="G39" s="2"/>
      <c r="I39" s="227" t="s">
        <v>23</v>
      </c>
      <c r="J39" s="228"/>
      <c r="K39" s="228"/>
      <c r="L39" s="228"/>
      <c r="M39" s="229"/>
      <c r="N39" s="67">
        <f>COUNTIF(N8:N37,"&lt;50")</f>
        <v>1</v>
      </c>
      <c r="O39" s="67">
        <f>COUNTIF(P8:P37,"&lt;50")</f>
        <v>2</v>
      </c>
      <c r="V39" s="231" t="s">
        <v>23</v>
      </c>
      <c r="W39" s="231"/>
      <c r="X39" s="231"/>
      <c r="Y39" s="128">
        <f>COUNTIF(Y8:Y37,"&lt;50")</f>
        <v>0</v>
      </c>
    </row>
    <row r="40" spans="1:30" x14ac:dyDescent="0.25">
      <c r="A40" s="2"/>
      <c r="B40" s="2"/>
      <c r="C40" s="2"/>
      <c r="D40" s="2"/>
      <c r="E40" s="2"/>
      <c r="F40" s="2"/>
      <c r="G40" s="2"/>
      <c r="I40" s="227" t="s">
        <v>24</v>
      </c>
      <c r="J40" s="228"/>
      <c r="K40" s="228"/>
      <c r="L40" s="228"/>
      <c r="M40" s="229"/>
      <c r="N40" s="68">
        <f>IF(COUNT(N8:N37)=0,"",N39/(COUNT(N8:N37))*100)</f>
        <v>4.5454545454545459</v>
      </c>
      <c r="O40" s="68">
        <f>IF(COUNT(P8:P37)=0,"",O39/(COUNT(P8:P37))*100)</f>
        <v>18.181818181818183</v>
      </c>
      <c r="V40" s="231" t="s">
        <v>24</v>
      </c>
      <c r="W40" s="231"/>
      <c r="X40" s="231"/>
      <c r="Y40" s="129" t="str">
        <f>IF(COUNT(Y8:Y37)=0,"",Y39/(COUNT(Y8:Y37))*100)</f>
        <v/>
      </c>
    </row>
    <row r="41" spans="1:3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</sheetData>
  <sheetProtection algorithmName="SHA-512" hashValue="t1eZ7rT5nbz7jImprgnOn+hXz02JoTXEVZRmJJ7mzZaO9802wLvfNZXm7/ntnoFKGziIJgwEGgcbydXXjpecZw==" saltValue="KiewtLDNcEApAPb1GzjGRg==" spinCount="100000" sheet="1" objects="1" scenarios="1"/>
  <dataConsolidate link="1"/>
  <mergeCells count="44">
    <mergeCell ref="I38:M38"/>
    <mergeCell ref="I39:M39"/>
    <mergeCell ref="I40:M40"/>
    <mergeCell ref="V38:X38"/>
    <mergeCell ref="V39:X39"/>
    <mergeCell ref="V40:X40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B22:G22"/>
    <mergeCell ref="B23:G23"/>
    <mergeCell ref="B24:G24"/>
    <mergeCell ref="B20:G20"/>
    <mergeCell ref="B21:G21"/>
    <mergeCell ref="B7:G7"/>
    <mergeCell ref="D4:G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3:G3"/>
    <mergeCell ref="D6:G6"/>
    <mergeCell ref="H3:X3"/>
    <mergeCell ref="Q4:Y5"/>
    <mergeCell ref="Z6:AA6"/>
    <mergeCell ref="H4:P5"/>
  </mergeCells>
  <dataValidations count="6">
    <dataValidation type="decimal" operator="lessThanOrEqual" allowBlank="1" showErrorMessage="1" errorTitle="Erro." error="Ultrapassou cotação máxima." sqref="H8:M37 Q8:V36 O8:O37 X8:X37" xr:uid="{00000000-0002-0000-0200-000000000000}">
      <formula1>H$7</formula1>
    </dataValidation>
    <dataValidation type="decimal" operator="lessThanOrEqual" allowBlank="1" showErrorMessage="1" errorTitle="ERRO!" error="A pergunta não vale tanto!" sqref="Q37" xr:uid="{00000000-0002-0000-0200-000001000000}">
      <formula1>Q$7</formula1>
    </dataValidation>
    <dataValidation type="decimal" operator="lessThanOrEqual" allowBlank="1" showInputMessage="1" showErrorMessage="1" errorTitle="ERRO!" error="A pergunta não vale tanto!..." sqref="R37:V37 N8:N37" xr:uid="{00000000-0002-0000-0200-000002000000}">
      <formula1>N$7</formula1>
    </dataValidation>
    <dataValidation type="decimal" operator="lessThanOrEqual" showInputMessage="1" showErrorMessage="1" sqref="W8:W37" xr:uid="{00000000-0002-0000-0200-000003000000}">
      <formula1>W$7</formula1>
    </dataValidation>
    <dataValidation type="decimal" operator="lessThanOrEqual" allowBlank="1" showInputMessage="1" showErrorMessage="1" errorTitle="Erro." error="Ultrapassou cotação máxima." sqref="P8:P37" xr:uid="{00000000-0002-0000-0200-000004000000}">
      <formula1>P$7</formula1>
    </dataValidation>
    <dataValidation type="decimal" operator="lessThanOrEqual" showInputMessage="1" showErrorMessage="1" errorTitle="Erro" error="Ultrapassou cotação máxima." sqref="Y8:Y37" xr:uid="{00000000-0002-0000-0200-000005000000}">
      <formula1>Y$7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6">
    <pageSetUpPr fitToPage="1"/>
  </sheetPr>
  <dimension ref="A1:AG54"/>
  <sheetViews>
    <sheetView zoomScale="80" zoomScaleNormal="80" workbookViewId="0">
      <pane xSplit="7" ySplit="7" topLeftCell="H11" activePane="bottomRight" state="frozen"/>
      <selection activeCell="U42" sqref="U42"/>
      <selection pane="topRight" activeCell="U42" sqref="U42"/>
      <selection pane="bottomLeft" activeCell="U42" sqref="U42"/>
      <selection pane="bottomRight" activeCell="Q12" sqref="Q12"/>
    </sheetView>
  </sheetViews>
  <sheetFormatPr defaultRowHeight="15" x14ac:dyDescent="0.25"/>
  <cols>
    <col min="1" max="2" width="9.140625" style="30"/>
    <col min="3" max="3" width="8.5703125" style="30" customWidth="1"/>
    <col min="4" max="4" width="9.140625" style="30" hidden="1" customWidth="1"/>
    <col min="5" max="5" width="0.28515625" style="30" customWidth="1"/>
    <col min="6" max="6" width="9.140625" style="30" hidden="1" customWidth="1"/>
    <col min="7" max="7" width="2.7109375" style="30" customWidth="1"/>
    <col min="8" max="8" width="10.140625" style="30" customWidth="1"/>
    <col min="9" max="9" width="9.42578125" style="30" customWidth="1"/>
    <col min="10" max="10" width="9.140625" style="30" customWidth="1"/>
    <col min="11" max="11" width="10" style="30" customWidth="1"/>
    <col min="12" max="12" width="6.5703125" style="30" customWidth="1"/>
    <col min="13" max="13" width="12.28515625" style="30" customWidth="1"/>
    <col min="14" max="14" width="10.85546875" style="30" customWidth="1"/>
    <col min="15" max="15" width="9.42578125" style="30" customWidth="1"/>
    <col min="16" max="16" width="10.42578125" style="30" customWidth="1"/>
    <col min="17" max="17" width="9" style="30" customWidth="1"/>
    <col min="18" max="18" width="9.140625" style="30" customWidth="1"/>
    <col min="19" max="19" width="12.42578125" style="30" customWidth="1"/>
    <col min="20" max="20" width="10" style="30" bestFit="1" customWidth="1"/>
    <col min="21" max="22" width="10.7109375" style="30" customWidth="1"/>
    <col min="23" max="23" width="12.140625" style="30" customWidth="1"/>
    <col min="24" max="24" width="10.140625" style="30" customWidth="1"/>
    <col min="25" max="25" width="8.5703125" style="30" customWidth="1"/>
    <col min="26" max="26" width="12.7109375" style="30" customWidth="1"/>
    <col min="27" max="27" width="11.28515625" style="30" customWidth="1"/>
    <col min="28" max="28" width="13.28515625" style="30" customWidth="1"/>
    <col min="29" max="29" width="10.42578125" style="30" customWidth="1"/>
    <col min="30" max="30" width="10.85546875" style="30" customWidth="1"/>
    <col min="31" max="31" width="9.140625" style="30"/>
    <col min="32" max="32" width="11.7109375" style="30" customWidth="1"/>
    <col min="33" max="33" width="9.85546875" style="30" bestFit="1" customWidth="1"/>
    <col min="34" max="16384" width="9.140625" style="30"/>
  </cols>
  <sheetData>
    <row r="1" spans="1:33" ht="27" x14ac:dyDescent="0.25">
      <c r="A1" s="1" t="s">
        <v>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33" ht="27" x14ac:dyDescent="0.25">
      <c r="A2" s="3" t="s">
        <v>2</v>
      </c>
      <c r="B2" s="1"/>
      <c r="C2" s="1"/>
      <c r="D2" s="1"/>
      <c r="E2" s="1"/>
      <c r="F2" s="1"/>
      <c r="G2" s="1"/>
      <c r="H2" s="1"/>
      <c r="I2" s="1"/>
      <c r="J2" s="1"/>
      <c r="K2" s="124" t="s">
        <v>49</v>
      </c>
      <c r="L2" s="1"/>
      <c r="M2" s="1"/>
      <c r="N2" s="1"/>
      <c r="O2" s="1"/>
      <c r="P2" s="1"/>
    </row>
    <row r="3" spans="1:33" ht="21" thickBot="1" x14ac:dyDescent="0.3">
      <c r="A3" s="243"/>
      <c r="B3" s="244"/>
      <c r="C3" s="244"/>
      <c r="D3" s="244"/>
      <c r="E3" s="244"/>
      <c r="F3" s="244"/>
      <c r="G3" s="270"/>
      <c r="H3" s="246" t="s">
        <v>52</v>
      </c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</row>
    <row r="4" spans="1:33" ht="15.75" thickBot="1" x14ac:dyDescent="0.3">
      <c r="A4" s="4"/>
      <c r="B4" s="5"/>
      <c r="C4" s="5"/>
      <c r="D4" s="258"/>
      <c r="E4" s="258"/>
      <c r="F4" s="258"/>
      <c r="G4" s="237"/>
      <c r="H4" s="279" t="s">
        <v>37</v>
      </c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1"/>
      <c r="U4" s="284" t="s">
        <v>36</v>
      </c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6"/>
    </row>
    <row r="5" spans="1:33" ht="15.75" thickBot="1" x14ac:dyDescent="0.3">
      <c r="A5" s="4"/>
      <c r="B5" s="5"/>
      <c r="C5" s="5"/>
      <c r="D5" s="258"/>
      <c r="E5" s="258"/>
      <c r="F5" s="258"/>
      <c r="G5" s="237"/>
      <c r="H5" s="282" t="s">
        <v>79</v>
      </c>
      <c r="I5" s="274"/>
      <c r="J5" s="274"/>
      <c r="K5" s="274"/>
      <c r="L5" s="274"/>
      <c r="M5" s="283"/>
      <c r="N5" s="273" t="s">
        <v>80</v>
      </c>
      <c r="O5" s="274"/>
      <c r="P5" s="274"/>
      <c r="Q5" s="274"/>
      <c r="R5" s="274"/>
      <c r="S5" s="283"/>
      <c r="T5" s="348" t="s">
        <v>18</v>
      </c>
      <c r="U5" s="295" t="s">
        <v>79</v>
      </c>
      <c r="V5" s="296"/>
      <c r="W5" s="296"/>
      <c r="X5" s="296"/>
      <c r="Y5" s="296"/>
      <c r="Z5" s="299"/>
      <c r="AA5" s="284" t="s">
        <v>80</v>
      </c>
      <c r="AB5" s="285"/>
      <c r="AC5" s="285"/>
      <c r="AD5" s="285"/>
      <c r="AE5" s="285"/>
      <c r="AF5" s="286"/>
      <c r="AG5" s="351" t="s">
        <v>18</v>
      </c>
    </row>
    <row r="6" spans="1:33" ht="29.25" customHeight="1" thickBot="1" x14ac:dyDescent="0.3">
      <c r="A6" s="6"/>
      <c r="B6" s="17"/>
      <c r="C6" s="275" t="s">
        <v>19</v>
      </c>
      <c r="D6" s="276"/>
      <c r="E6" s="276"/>
      <c r="F6" s="276"/>
      <c r="G6" s="276"/>
      <c r="H6" s="346"/>
      <c r="I6" s="346"/>
      <c r="J6" s="346"/>
      <c r="K6" s="346"/>
      <c r="L6" s="346"/>
      <c r="M6" s="16" t="s">
        <v>17</v>
      </c>
      <c r="N6" s="347"/>
      <c r="O6" s="23"/>
      <c r="P6" s="23"/>
      <c r="Q6" s="23"/>
      <c r="R6" s="403"/>
      <c r="S6" s="16" t="s">
        <v>17</v>
      </c>
      <c r="T6" s="404"/>
      <c r="U6" s="349"/>
      <c r="V6" s="349"/>
      <c r="W6" s="349"/>
      <c r="X6" s="349"/>
      <c r="Y6" s="349"/>
      <c r="Z6" s="130" t="s">
        <v>17</v>
      </c>
      <c r="AA6" s="350"/>
      <c r="AB6" s="70"/>
      <c r="AC6" s="70"/>
      <c r="AD6" s="70"/>
      <c r="AE6" s="131"/>
      <c r="AF6" s="16" t="s">
        <v>17</v>
      </c>
      <c r="AG6" s="352"/>
    </row>
    <row r="7" spans="1:33" ht="30.75" customHeight="1" x14ac:dyDescent="0.25">
      <c r="A7" s="15" t="s">
        <v>4</v>
      </c>
      <c r="B7" s="255" t="s">
        <v>26</v>
      </c>
      <c r="C7" s="256"/>
      <c r="D7" s="256"/>
      <c r="E7" s="256"/>
      <c r="F7" s="256"/>
      <c r="G7" s="257"/>
      <c r="H7" s="310">
        <v>12.5</v>
      </c>
      <c r="I7" s="310"/>
      <c r="J7" s="310"/>
      <c r="K7" s="310"/>
      <c r="L7" s="310"/>
      <c r="M7" s="354">
        <f>100</f>
        <v>100</v>
      </c>
      <c r="N7" s="310">
        <v>25</v>
      </c>
      <c r="O7" s="310">
        <v>25</v>
      </c>
      <c r="P7" s="310">
        <v>25</v>
      </c>
      <c r="Q7" s="310">
        <v>25</v>
      </c>
      <c r="R7" s="310"/>
      <c r="S7" s="354">
        <f>100</f>
        <v>100</v>
      </c>
      <c r="T7" s="405">
        <f>100</f>
        <v>100</v>
      </c>
      <c r="U7" s="310"/>
      <c r="V7" s="310"/>
      <c r="W7" s="310"/>
      <c r="X7" s="310"/>
      <c r="Y7" s="310"/>
      <c r="Z7" s="356">
        <f>100</f>
        <v>100</v>
      </c>
      <c r="AA7" s="310"/>
      <c r="AB7" s="310"/>
      <c r="AC7" s="310"/>
      <c r="AD7" s="310"/>
      <c r="AE7" s="310"/>
      <c r="AF7" s="356">
        <f>100</f>
        <v>100</v>
      </c>
      <c r="AG7" s="358">
        <f>100</f>
        <v>100</v>
      </c>
    </row>
    <row r="8" spans="1:33" x14ac:dyDescent="0.25">
      <c r="A8" s="62">
        <f>IF('Avaliação Períodos'!A9=0,"",'Avaliação Períodos'!A9)</f>
        <v>1</v>
      </c>
      <c r="B8" s="260" t="str">
        <f>IF('Avaliação Períodos'!B9=0,"",'Avaliação Períodos'!B9)</f>
        <v>Afonso</v>
      </c>
      <c r="C8" s="261"/>
      <c r="D8" s="261"/>
      <c r="E8" s="261"/>
      <c r="F8" s="261"/>
      <c r="G8" s="261"/>
      <c r="H8" s="359">
        <v>12.5</v>
      </c>
      <c r="I8" s="360"/>
      <c r="J8" s="360"/>
      <c r="K8" s="360"/>
      <c r="L8" s="361"/>
      <c r="M8" s="317">
        <f>IF(COUNT(H8:L8)=0,"",IF(SUM(H8:L8)&gt;M$7,M$7,SUM(H8:L8)))</f>
        <v>12.5</v>
      </c>
      <c r="N8" s="362"/>
      <c r="O8" s="360"/>
      <c r="P8" s="360">
        <v>20</v>
      </c>
      <c r="Q8" s="360"/>
      <c r="R8" s="361">
        <v>45</v>
      </c>
      <c r="S8" s="317">
        <f>IF(COUNT(N8:R8)=0,"",IF(SUM(N8:R8)&gt;S$7,S$7,SUM(N8:R8)))</f>
        <v>65</v>
      </c>
      <c r="T8" s="363" cm="1">
        <f t="array" ref="T8">mediaComposicaoGramatica(M8,S8)</f>
        <v>38.75</v>
      </c>
      <c r="U8" s="364"/>
      <c r="V8" s="365"/>
      <c r="W8" s="365"/>
      <c r="X8" s="365"/>
      <c r="Y8" s="365"/>
      <c r="Z8" s="317" t="str">
        <f>IF(COUNT(U8:Y8)=0,"",IF(SUM(U8:Y8)&gt;Z$7,Z$7,SUM(U8:Y8)))</f>
        <v/>
      </c>
      <c r="AA8" s="366"/>
      <c r="AB8" s="365"/>
      <c r="AC8" s="365"/>
      <c r="AD8" s="365"/>
      <c r="AE8" s="365"/>
      <c r="AF8" s="317" t="str">
        <f>IF(COUNT(AA8:AE8)=0,"",IF(SUM(AA8:AE8)&gt;AF$7,AF$7,SUM(AA8:AE8)))</f>
        <v/>
      </c>
      <c r="AG8" s="363" t="str" cm="1">
        <f t="array" ref="AG8">mediaComposicaoGramatica(Z8,AF8)</f>
        <v/>
      </c>
    </row>
    <row r="9" spans="1:33" x14ac:dyDescent="0.25">
      <c r="A9" s="63">
        <f>IF('Avaliação Períodos'!A10=0,"",'Avaliação Períodos'!A10)</f>
        <v>2</v>
      </c>
      <c r="B9" s="263" t="str">
        <f>IF('Avaliação Períodos'!B10=0,"",'Avaliação Períodos'!B10)</f>
        <v>André</v>
      </c>
      <c r="C9" s="264"/>
      <c r="D9" s="264"/>
      <c r="E9" s="264"/>
      <c r="F9" s="264"/>
      <c r="G9" s="264"/>
      <c r="H9" s="367"/>
      <c r="I9" s="368">
        <v>3</v>
      </c>
      <c r="J9" s="368"/>
      <c r="K9" s="368"/>
      <c r="L9" s="369"/>
      <c r="M9" s="317">
        <f t="shared" ref="M9:M37" si="0">IF(COUNT(H9:L9)=0,"",IF(SUM(H9:L9)&gt;M$7,M$7,SUM(H9:L9)))</f>
        <v>3</v>
      </c>
      <c r="N9" s="370"/>
      <c r="O9" s="368"/>
      <c r="P9" s="368">
        <v>2</v>
      </c>
      <c r="Q9" s="368"/>
      <c r="R9" s="369"/>
      <c r="S9" s="317">
        <f t="shared" ref="S9:S37" si="1">IF(COUNT(N9:R9)=0,"",IF(SUM(N9:R9)&gt;S$7,S$7,SUM(N9:R9)))</f>
        <v>2</v>
      </c>
      <c r="T9" s="363" cm="1">
        <f t="array" ref="T9">mediaComposicaoGramatica(M9,S9)</f>
        <v>2.5</v>
      </c>
      <c r="U9" s="371"/>
      <c r="V9" s="368"/>
      <c r="W9" s="368"/>
      <c r="X9" s="368"/>
      <c r="Y9" s="368"/>
      <c r="Z9" s="317" t="str">
        <f t="shared" ref="Z9:Z37" si="2">IF(COUNT(U9:Y9)=0,"",IF(SUM(U9:Y9)&gt;Z$7,Z$7,SUM(U9:Y9)))</f>
        <v/>
      </c>
      <c r="AA9" s="370"/>
      <c r="AB9" s="368"/>
      <c r="AC9" s="368"/>
      <c r="AD9" s="368"/>
      <c r="AE9" s="368"/>
      <c r="AF9" s="317" t="str">
        <f t="shared" ref="AF9:AF37" si="3">IF(COUNT(AA9:AE9)=0,"",IF(SUM(AA9:AE9)&gt;AF$7,AF$7,SUM(AA9:AE9)))</f>
        <v/>
      </c>
      <c r="AG9" s="363" t="str" cm="1">
        <f t="array" ref="AG9">mediaComposicaoGramatica(Z9,AF9)</f>
        <v/>
      </c>
    </row>
    <row r="10" spans="1:33" x14ac:dyDescent="0.25">
      <c r="A10" s="62">
        <f>IF('Avaliação Períodos'!A11=0,"",'Avaliação Períodos'!A11)</f>
        <v>3</v>
      </c>
      <c r="B10" s="271" t="str">
        <f>IF('Avaliação Períodos'!B11=0,"",'Avaliação Períodos'!B11)</f>
        <v>Bruno</v>
      </c>
      <c r="C10" s="272"/>
      <c r="D10" s="272"/>
      <c r="E10" s="272"/>
      <c r="F10" s="272"/>
      <c r="G10" s="272"/>
      <c r="H10" s="372"/>
      <c r="I10" s="373"/>
      <c r="J10" s="373"/>
      <c r="K10" s="373"/>
      <c r="L10" s="374"/>
      <c r="M10" s="317" t="str">
        <f t="shared" si="0"/>
        <v/>
      </c>
      <c r="N10" s="375"/>
      <c r="O10" s="373"/>
      <c r="P10" s="373"/>
      <c r="Q10" s="373"/>
      <c r="R10" s="374"/>
      <c r="S10" s="317" t="str">
        <f t="shared" si="1"/>
        <v/>
      </c>
      <c r="T10" s="363" t="str" cm="1">
        <f t="array" ref="T10">mediaComposicaoGramatica(M10,S10)</f>
        <v/>
      </c>
      <c r="U10" s="376"/>
      <c r="V10" s="373"/>
      <c r="W10" s="373"/>
      <c r="X10" s="373"/>
      <c r="Y10" s="373"/>
      <c r="Z10" s="317" t="str">
        <f t="shared" si="2"/>
        <v/>
      </c>
      <c r="AA10" s="375"/>
      <c r="AB10" s="373"/>
      <c r="AC10" s="373"/>
      <c r="AD10" s="373"/>
      <c r="AE10" s="373"/>
      <c r="AF10" s="317" t="str">
        <f t="shared" si="3"/>
        <v/>
      </c>
      <c r="AG10" s="363" t="str" cm="1">
        <f t="array" ref="AG10">mediaComposicaoGramatica(Z10,AF10)</f>
        <v/>
      </c>
    </row>
    <row r="11" spans="1:33" x14ac:dyDescent="0.25">
      <c r="A11" s="63">
        <f>IF('Avaliação Períodos'!A12=0,"",'Avaliação Períodos'!A12)</f>
        <v>4</v>
      </c>
      <c r="B11" s="263" t="str">
        <f>IF('Avaliação Períodos'!B12=0,"",'Avaliação Períodos'!B12)</f>
        <v>Catarina</v>
      </c>
      <c r="C11" s="264"/>
      <c r="D11" s="264"/>
      <c r="E11" s="264"/>
      <c r="F11" s="264"/>
      <c r="G11" s="264"/>
      <c r="H11" s="377"/>
      <c r="I11" s="378"/>
      <c r="J11" s="378"/>
      <c r="K11" s="378"/>
      <c r="L11" s="379"/>
      <c r="M11" s="317" t="str">
        <f t="shared" si="0"/>
        <v/>
      </c>
      <c r="N11" s="380"/>
      <c r="O11" s="378"/>
      <c r="P11" s="378"/>
      <c r="Q11" s="378"/>
      <c r="R11" s="379"/>
      <c r="S11" s="317" t="str">
        <f t="shared" si="1"/>
        <v/>
      </c>
      <c r="T11" s="363" t="str" cm="1">
        <f t="array" ref="T11">mediaComposicaoGramatica(M11,S11)</f>
        <v/>
      </c>
      <c r="U11" s="381"/>
      <c r="V11" s="378"/>
      <c r="W11" s="378"/>
      <c r="X11" s="378"/>
      <c r="Y11" s="378"/>
      <c r="Z11" s="317" t="str">
        <f t="shared" si="2"/>
        <v/>
      </c>
      <c r="AA11" s="380"/>
      <c r="AB11" s="378"/>
      <c r="AC11" s="378"/>
      <c r="AD11" s="378"/>
      <c r="AE11" s="378"/>
      <c r="AF11" s="317" t="str">
        <f t="shared" si="3"/>
        <v/>
      </c>
      <c r="AG11" s="363" t="str" cm="1">
        <f t="array" ref="AG11">mediaComposicaoGramatica(Z11,AF11)</f>
        <v/>
      </c>
    </row>
    <row r="12" spans="1:33" x14ac:dyDescent="0.25">
      <c r="A12" s="62">
        <f>IF('Avaliação Períodos'!A13=0,"",'Avaliação Períodos'!A13)</f>
        <v>5</v>
      </c>
      <c r="B12" s="271" t="str">
        <f>IF('Avaliação Períodos'!B13=0,"",'Avaliação Períodos'!B13)</f>
        <v>Cheila</v>
      </c>
      <c r="C12" s="272"/>
      <c r="D12" s="272"/>
      <c r="E12" s="272"/>
      <c r="F12" s="272"/>
      <c r="G12" s="272"/>
      <c r="H12" s="372"/>
      <c r="I12" s="373"/>
      <c r="J12" s="373"/>
      <c r="K12" s="373"/>
      <c r="L12" s="374"/>
      <c r="M12" s="317" t="str">
        <f t="shared" si="0"/>
        <v/>
      </c>
      <c r="N12" s="375"/>
      <c r="O12" s="373"/>
      <c r="P12" s="373"/>
      <c r="Q12" s="373"/>
      <c r="R12" s="374"/>
      <c r="S12" s="317" t="str">
        <f t="shared" si="1"/>
        <v/>
      </c>
      <c r="T12" s="363" t="str" cm="1">
        <f t="array" ref="T12">mediaComposicaoGramatica(M12,S12)</f>
        <v/>
      </c>
      <c r="U12" s="376"/>
      <c r="V12" s="373"/>
      <c r="W12" s="373"/>
      <c r="X12" s="373"/>
      <c r="Y12" s="373"/>
      <c r="Z12" s="317" t="str">
        <f t="shared" si="2"/>
        <v/>
      </c>
      <c r="AA12" s="375"/>
      <c r="AB12" s="373"/>
      <c r="AC12" s="373"/>
      <c r="AD12" s="373"/>
      <c r="AE12" s="373"/>
      <c r="AF12" s="317" t="str">
        <f t="shared" si="3"/>
        <v/>
      </c>
      <c r="AG12" s="363" t="str" cm="1">
        <f t="array" ref="AG12">mediaComposicaoGramatica(Z12,AF12)</f>
        <v/>
      </c>
    </row>
    <row r="13" spans="1:33" x14ac:dyDescent="0.25">
      <c r="A13" s="63">
        <f>IF('Avaliação Períodos'!A14=0,"",'Avaliação Períodos'!A14)</f>
        <v>6</v>
      </c>
      <c r="B13" s="263" t="str">
        <f>IF('Avaliação Períodos'!B14=0,"",'Avaliação Períodos'!B14)</f>
        <v>Clara</v>
      </c>
      <c r="C13" s="264"/>
      <c r="D13" s="264"/>
      <c r="E13" s="264"/>
      <c r="F13" s="264"/>
      <c r="G13" s="264"/>
      <c r="H13" s="377"/>
      <c r="I13" s="378"/>
      <c r="J13" s="378"/>
      <c r="K13" s="378"/>
      <c r="L13" s="379"/>
      <c r="M13" s="317" t="str">
        <f t="shared" si="0"/>
        <v/>
      </c>
      <c r="N13" s="380"/>
      <c r="O13" s="378"/>
      <c r="P13" s="378"/>
      <c r="Q13" s="378"/>
      <c r="R13" s="379"/>
      <c r="S13" s="317" t="str">
        <f t="shared" si="1"/>
        <v/>
      </c>
      <c r="T13" s="363" t="str" cm="1">
        <f t="array" ref="T13">mediaComposicaoGramatica(M13,S13)</f>
        <v/>
      </c>
      <c r="U13" s="381"/>
      <c r="V13" s="378"/>
      <c r="W13" s="378"/>
      <c r="X13" s="378"/>
      <c r="Y13" s="378"/>
      <c r="Z13" s="317" t="str">
        <f t="shared" si="2"/>
        <v/>
      </c>
      <c r="AA13" s="380"/>
      <c r="AB13" s="378"/>
      <c r="AC13" s="378"/>
      <c r="AD13" s="378"/>
      <c r="AE13" s="378"/>
      <c r="AF13" s="317" t="str">
        <f t="shared" si="3"/>
        <v/>
      </c>
      <c r="AG13" s="363" t="str" cm="1">
        <f t="array" ref="AG13">mediaComposicaoGramatica(Z13,AF13)</f>
        <v/>
      </c>
    </row>
    <row r="14" spans="1:33" x14ac:dyDescent="0.25">
      <c r="A14" s="62">
        <f>IF('Avaliação Períodos'!A15=0,"",'Avaliação Períodos'!A15)</f>
        <v>7</v>
      </c>
      <c r="B14" s="271" t="str">
        <f>IF('Avaliação Períodos'!B15=0,"",'Avaliação Períodos'!B15)</f>
        <v>Daniel</v>
      </c>
      <c r="C14" s="272"/>
      <c r="D14" s="272"/>
      <c r="E14" s="272"/>
      <c r="F14" s="272"/>
      <c r="G14" s="272"/>
      <c r="H14" s="372"/>
      <c r="I14" s="373"/>
      <c r="J14" s="373"/>
      <c r="K14" s="373"/>
      <c r="L14" s="374"/>
      <c r="M14" s="317" t="str">
        <f t="shared" si="0"/>
        <v/>
      </c>
      <c r="N14" s="375"/>
      <c r="O14" s="373"/>
      <c r="P14" s="373"/>
      <c r="Q14" s="373"/>
      <c r="R14" s="374"/>
      <c r="S14" s="317" t="str">
        <f t="shared" si="1"/>
        <v/>
      </c>
      <c r="T14" s="363" t="str" cm="1">
        <f t="array" ref="T14">mediaComposicaoGramatica(M14,S14)</f>
        <v/>
      </c>
      <c r="U14" s="376"/>
      <c r="V14" s="373"/>
      <c r="W14" s="373"/>
      <c r="X14" s="373"/>
      <c r="Y14" s="373"/>
      <c r="Z14" s="317" t="str">
        <f t="shared" si="2"/>
        <v/>
      </c>
      <c r="AA14" s="375"/>
      <c r="AB14" s="373"/>
      <c r="AC14" s="373"/>
      <c r="AD14" s="373"/>
      <c r="AE14" s="373"/>
      <c r="AF14" s="317" t="str">
        <f t="shared" si="3"/>
        <v/>
      </c>
      <c r="AG14" s="363" t="str" cm="1">
        <f t="array" ref="AG14">mediaComposicaoGramatica(Z14,AF14)</f>
        <v/>
      </c>
    </row>
    <row r="15" spans="1:33" x14ac:dyDescent="0.25">
      <c r="A15" s="63">
        <f>IF('Avaliação Períodos'!A16=0,"",'Avaliação Períodos'!A16)</f>
        <v>8</v>
      </c>
      <c r="B15" s="263" t="str">
        <f>IF('Avaliação Períodos'!B16=0,"",'Avaliação Períodos'!B16)</f>
        <v>Filipa</v>
      </c>
      <c r="C15" s="264"/>
      <c r="D15" s="264"/>
      <c r="E15" s="264"/>
      <c r="F15" s="264"/>
      <c r="G15" s="264"/>
      <c r="H15" s="377"/>
      <c r="I15" s="378"/>
      <c r="J15" s="382"/>
      <c r="K15" s="378"/>
      <c r="L15" s="379"/>
      <c r="M15" s="317" t="str">
        <f t="shared" si="0"/>
        <v/>
      </c>
      <c r="N15" s="380"/>
      <c r="O15" s="378"/>
      <c r="P15" s="382"/>
      <c r="Q15" s="378"/>
      <c r="R15" s="379"/>
      <c r="S15" s="317" t="str">
        <f t="shared" si="1"/>
        <v/>
      </c>
      <c r="T15" s="363" t="str" cm="1">
        <f t="array" ref="T15">mediaComposicaoGramatica(M15,S15)</f>
        <v/>
      </c>
      <c r="U15" s="381"/>
      <c r="V15" s="378"/>
      <c r="W15" s="382"/>
      <c r="X15" s="378"/>
      <c r="Y15" s="378"/>
      <c r="Z15" s="317" t="str">
        <f t="shared" si="2"/>
        <v/>
      </c>
      <c r="AA15" s="380"/>
      <c r="AB15" s="378"/>
      <c r="AC15" s="382"/>
      <c r="AD15" s="378"/>
      <c r="AE15" s="378"/>
      <c r="AF15" s="317" t="str">
        <f t="shared" si="3"/>
        <v/>
      </c>
      <c r="AG15" s="363" t="str" cm="1">
        <f t="array" ref="AG15">mediaComposicaoGramatica(Z15,AF15)</f>
        <v/>
      </c>
    </row>
    <row r="16" spans="1:33" x14ac:dyDescent="0.25">
      <c r="A16" s="62">
        <f>IF('Avaliação Períodos'!A17=0,"",'Avaliação Períodos'!A17)</f>
        <v>9</v>
      </c>
      <c r="B16" s="271" t="str">
        <f>IF('Avaliação Períodos'!B17=0,"",'Avaliação Períodos'!B17)</f>
        <v>Guilherme</v>
      </c>
      <c r="C16" s="272"/>
      <c r="D16" s="272"/>
      <c r="E16" s="272"/>
      <c r="F16" s="272"/>
      <c r="G16" s="272"/>
      <c r="H16" s="372"/>
      <c r="I16" s="373"/>
      <c r="J16" s="373"/>
      <c r="K16" s="373"/>
      <c r="L16" s="374"/>
      <c r="M16" s="317" t="str">
        <f t="shared" si="0"/>
        <v/>
      </c>
      <c r="N16" s="375"/>
      <c r="O16" s="373"/>
      <c r="P16" s="373"/>
      <c r="Q16" s="373"/>
      <c r="R16" s="374"/>
      <c r="S16" s="317" t="str">
        <f t="shared" si="1"/>
        <v/>
      </c>
      <c r="T16" s="363" t="str" cm="1">
        <f t="array" ref="T16">mediaComposicaoGramatica(M16,S16)</f>
        <v/>
      </c>
      <c r="U16" s="376"/>
      <c r="V16" s="373"/>
      <c r="W16" s="373"/>
      <c r="X16" s="373"/>
      <c r="Y16" s="373"/>
      <c r="Z16" s="317" t="str">
        <f t="shared" si="2"/>
        <v/>
      </c>
      <c r="AA16" s="375"/>
      <c r="AB16" s="373"/>
      <c r="AC16" s="373"/>
      <c r="AD16" s="373"/>
      <c r="AE16" s="373"/>
      <c r="AF16" s="317" t="str">
        <f t="shared" si="3"/>
        <v/>
      </c>
      <c r="AG16" s="363" t="str" cm="1">
        <f t="array" ref="AG16">mediaComposicaoGramatica(Z16,AF16)</f>
        <v/>
      </c>
    </row>
    <row r="17" spans="1:33" x14ac:dyDescent="0.25">
      <c r="A17" s="63">
        <f>IF('Avaliação Períodos'!A18=0,"",'Avaliação Períodos'!A18)</f>
        <v>10</v>
      </c>
      <c r="B17" s="263" t="str">
        <f>IF('Avaliação Períodos'!B18=0,"",'Avaliação Períodos'!B18)</f>
        <v/>
      </c>
      <c r="C17" s="264"/>
      <c r="D17" s="264"/>
      <c r="E17" s="264"/>
      <c r="F17" s="264"/>
      <c r="G17" s="264"/>
      <c r="H17" s="377"/>
      <c r="I17" s="378"/>
      <c r="J17" s="378"/>
      <c r="K17" s="378"/>
      <c r="L17" s="379"/>
      <c r="M17" s="317" t="str">
        <f t="shared" si="0"/>
        <v/>
      </c>
      <c r="N17" s="380"/>
      <c r="O17" s="378"/>
      <c r="P17" s="378"/>
      <c r="Q17" s="378"/>
      <c r="R17" s="379"/>
      <c r="S17" s="317" t="str">
        <f t="shared" si="1"/>
        <v/>
      </c>
      <c r="T17" s="363" t="str" cm="1">
        <f t="array" ref="T17">mediaComposicaoGramatica(M17,S17)</f>
        <v/>
      </c>
      <c r="U17" s="381"/>
      <c r="V17" s="378"/>
      <c r="W17" s="378"/>
      <c r="X17" s="378"/>
      <c r="Y17" s="378"/>
      <c r="Z17" s="317" t="str">
        <f t="shared" si="2"/>
        <v/>
      </c>
      <c r="AA17" s="380"/>
      <c r="AB17" s="378"/>
      <c r="AC17" s="378"/>
      <c r="AD17" s="378"/>
      <c r="AE17" s="378"/>
      <c r="AF17" s="317" t="str">
        <f t="shared" si="3"/>
        <v/>
      </c>
      <c r="AG17" s="363" t="str" cm="1">
        <f t="array" ref="AG17">mediaComposicaoGramatica(Z17,AF17)</f>
        <v/>
      </c>
    </row>
    <row r="18" spans="1:33" x14ac:dyDescent="0.25">
      <c r="A18" s="62">
        <f>IF('Avaliação Períodos'!A19=0,"",'Avaliação Períodos'!A19)</f>
        <v>11</v>
      </c>
      <c r="B18" s="271" t="str">
        <f>IF('Avaliação Períodos'!B19=0,"",'Avaliação Períodos'!B19)</f>
        <v xml:space="preserve">Iara </v>
      </c>
      <c r="C18" s="272"/>
      <c r="D18" s="272"/>
      <c r="E18" s="272"/>
      <c r="F18" s="272"/>
      <c r="G18" s="272"/>
      <c r="H18" s="383"/>
      <c r="I18" s="373"/>
      <c r="J18" s="373"/>
      <c r="K18" s="373"/>
      <c r="L18" s="374"/>
      <c r="M18" s="317" t="str">
        <f t="shared" si="0"/>
        <v/>
      </c>
      <c r="N18" s="384"/>
      <c r="O18" s="373"/>
      <c r="P18" s="373"/>
      <c r="Q18" s="373"/>
      <c r="R18" s="374"/>
      <c r="S18" s="317" t="str">
        <f t="shared" si="1"/>
        <v/>
      </c>
      <c r="T18" s="363" t="str" cm="1">
        <f t="array" ref="T18">mediaComposicaoGramatica(M18,S18)</f>
        <v/>
      </c>
      <c r="U18" s="385"/>
      <c r="V18" s="373"/>
      <c r="W18" s="373"/>
      <c r="X18" s="373"/>
      <c r="Y18" s="373"/>
      <c r="Z18" s="317" t="str">
        <f t="shared" si="2"/>
        <v/>
      </c>
      <c r="AA18" s="384"/>
      <c r="AB18" s="373"/>
      <c r="AC18" s="373"/>
      <c r="AD18" s="373"/>
      <c r="AE18" s="373"/>
      <c r="AF18" s="317" t="str">
        <f t="shared" si="3"/>
        <v/>
      </c>
      <c r="AG18" s="363" t="str" cm="1">
        <f t="array" ref="AG18">mediaComposicaoGramatica(Z18,AF18)</f>
        <v/>
      </c>
    </row>
    <row r="19" spans="1:33" x14ac:dyDescent="0.25">
      <c r="A19" s="63">
        <f>IF('Avaliação Períodos'!A20=0,"",'Avaliação Períodos'!A20)</f>
        <v>12</v>
      </c>
      <c r="B19" s="263" t="str">
        <f>IF('Avaliação Períodos'!B20=0,"",'Avaliação Períodos'!B20)</f>
        <v>João</v>
      </c>
      <c r="C19" s="264"/>
      <c r="D19" s="264"/>
      <c r="E19" s="264"/>
      <c r="F19" s="264"/>
      <c r="G19" s="264"/>
      <c r="H19" s="377"/>
      <c r="I19" s="378"/>
      <c r="J19" s="378"/>
      <c r="K19" s="378"/>
      <c r="L19" s="379"/>
      <c r="M19" s="317" t="str">
        <f t="shared" si="0"/>
        <v/>
      </c>
      <c r="N19" s="380"/>
      <c r="O19" s="378"/>
      <c r="P19" s="378"/>
      <c r="Q19" s="378"/>
      <c r="R19" s="379"/>
      <c r="S19" s="317" t="str">
        <f t="shared" si="1"/>
        <v/>
      </c>
      <c r="T19" s="363" t="str" cm="1">
        <f t="array" ref="T19">mediaComposicaoGramatica(M19,S19)</f>
        <v/>
      </c>
      <c r="U19" s="381"/>
      <c r="V19" s="378"/>
      <c r="W19" s="378"/>
      <c r="X19" s="378"/>
      <c r="Y19" s="378"/>
      <c r="Z19" s="317" t="str">
        <f t="shared" si="2"/>
        <v/>
      </c>
      <c r="AA19" s="380"/>
      <c r="AB19" s="378"/>
      <c r="AC19" s="378"/>
      <c r="AD19" s="378"/>
      <c r="AE19" s="378"/>
      <c r="AF19" s="317" t="str">
        <f t="shared" si="3"/>
        <v/>
      </c>
      <c r="AG19" s="363" t="str" cm="1">
        <f t="array" ref="AG19">mediaComposicaoGramatica(Z19,AF19)</f>
        <v/>
      </c>
    </row>
    <row r="20" spans="1:33" x14ac:dyDescent="0.25">
      <c r="A20" s="62">
        <f>IF('Avaliação Períodos'!A21=0,"",'Avaliação Períodos'!A21)</f>
        <v>13</v>
      </c>
      <c r="B20" s="271" t="str">
        <f>IF('Avaliação Períodos'!B21=0,"",'Avaliação Períodos'!B21)</f>
        <v>Josué</v>
      </c>
      <c r="C20" s="272"/>
      <c r="D20" s="272"/>
      <c r="E20" s="272"/>
      <c r="F20" s="272"/>
      <c r="G20" s="272"/>
      <c r="H20" s="383"/>
      <c r="I20" s="373"/>
      <c r="J20" s="373"/>
      <c r="K20" s="373"/>
      <c r="L20" s="374"/>
      <c r="M20" s="317" t="str">
        <f t="shared" si="0"/>
        <v/>
      </c>
      <c r="N20" s="384"/>
      <c r="O20" s="373"/>
      <c r="P20" s="373"/>
      <c r="Q20" s="373"/>
      <c r="R20" s="374"/>
      <c r="S20" s="317" t="str">
        <f t="shared" si="1"/>
        <v/>
      </c>
      <c r="T20" s="363" t="str" cm="1">
        <f t="array" ref="T20">mediaComposicaoGramatica(M20,S20)</f>
        <v/>
      </c>
      <c r="U20" s="385"/>
      <c r="V20" s="373"/>
      <c r="W20" s="373"/>
      <c r="X20" s="373"/>
      <c r="Y20" s="373"/>
      <c r="Z20" s="317" t="str">
        <f t="shared" si="2"/>
        <v/>
      </c>
      <c r="AA20" s="384"/>
      <c r="AB20" s="373"/>
      <c r="AC20" s="373"/>
      <c r="AD20" s="373"/>
      <c r="AE20" s="373"/>
      <c r="AF20" s="317" t="str">
        <f t="shared" si="3"/>
        <v/>
      </c>
      <c r="AG20" s="363" t="str" cm="1">
        <f t="array" ref="AG20">mediaComposicaoGramatica(Z20,AF20)</f>
        <v/>
      </c>
    </row>
    <row r="21" spans="1:33" x14ac:dyDescent="0.25">
      <c r="A21" s="63">
        <f>IF('Avaliação Períodos'!A22=0,"",'Avaliação Períodos'!A22)</f>
        <v>14</v>
      </c>
      <c r="B21" s="263" t="str">
        <f>IF('Avaliação Períodos'!B22=0,"",'Avaliação Períodos'!B22)</f>
        <v>Leonor</v>
      </c>
      <c r="C21" s="264"/>
      <c r="D21" s="264"/>
      <c r="E21" s="264"/>
      <c r="F21" s="264"/>
      <c r="G21" s="264"/>
      <c r="H21" s="377"/>
      <c r="I21" s="378"/>
      <c r="J21" s="378"/>
      <c r="K21" s="378"/>
      <c r="L21" s="379"/>
      <c r="M21" s="317" t="str">
        <f t="shared" si="0"/>
        <v/>
      </c>
      <c r="N21" s="380"/>
      <c r="O21" s="378"/>
      <c r="P21" s="378"/>
      <c r="Q21" s="378"/>
      <c r="R21" s="379"/>
      <c r="S21" s="317" t="str">
        <f t="shared" si="1"/>
        <v/>
      </c>
      <c r="T21" s="363" t="str" cm="1">
        <f t="array" ref="T21">mediaComposicaoGramatica(M21,S21)</f>
        <v/>
      </c>
      <c r="U21" s="381"/>
      <c r="V21" s="378"/>
      <c r="W21" s="378"/>
      <c r="X21" s="378"/>
      <c r="Y21" s="378"/>
      <c r="Z21" s="317" t="str">
        <f t="shared" si="2"/>
        <v/>
      </c>
      <c r="AA21" s="380"/>
      <c r="AB21" s="378"/>
      <c r="AC21" s="378"/>
      <c r="AD21" s="378"/>
      <c r="AE21" s="378"/>
      <c r="AF21" s="317" t="str">
        <f t="shared" si="3"/>
        <v/>
      </c>
      <c r="AG21" s="363" t="str" cm="1">
        <f t="array" ref="AG21">mediaComposicaoGramatica(Z21,AF21)</f>
        <v/>
      </c>
    </row>
    <row r="22" spans="1:33" x14ac:dyDescent="0.25">
      <c r="A22" s="62">
        <f>IF('Avaliação Períodos'!A23=0,"",'Avaliação Períodos'!A23)</f>
        <v>15</v>
      </c>
      <c r="B22" s="271" t="str">
        <f>IF('Avaliação Períodos'!B23=0,"",'Avaliação Períodos'!B23)</f>
        <v>Lívia</v>
      </c>
      <c r="C22" s="272"/>
      <c r="D22" s="272"/>
      <c r="E22" s="272"/>
      <c r="F22" s="272"/>
      <c r="G22" s="272"/>
      <c r="H22" s="383"/>
      <c r="I22" s="373"/>
      <c r="J22" s="373"/>
      <c r="K22" s="373"/>
      <c r="L22" s="374"/>
      <c r="M22" s="317" t="str">
        <f t="shared" si="0"/>
        <v/>
      </c>
      <c r="N22" s="384"/>
      <c r="O22" s="373"/>
      <c r="P22" s="373"/>
      <c r="Q22" s="373"/>
      <c r="R22" s="374"/>
      <c r="S22" s="317" t="str">
        <f t="shared" si="1"/>
        <v/>
      </c>
      <c r="T22" s="363" t="str" cm="1">
        <f t="array" ref="T22">mediaComposicaoGramatica(M22,S22)</f>
        <v/>
      </c>
      <c r="U22" s="385"/>
      <c r="V22" s="373"/>
      <c r="W22" s="373"/>
      <c r="X22" s="373"/>
      <c r="Y22" s="373"/>
      <c r="Z22" s="317" t="str">
        <f t="shared" si="2"/>
        <v/>
      </c>
      <c r="AA22" s="384"/>
      <c r="AB22" s="373"/>
      <c r="AC22" s="373"/>
      <c r="AD22" s="373"/>
      <c r="AE22" s="373"/>
      <c r="AF22" s="317" t="str">
        <f t="shared" si="3"/>
        <v/>
      </c>
      <c r="AG22" s="363" t="str" cm="1">
        <f t="array" ref="AG22">mediaComposicaoGramatica(Z22,AF22)</f>
        <v/>
      </c>
    </row>
    <row r="23" spans="1:33" x14ac:dyDescent="0.25">
      <c r="A23" s="63">
        <f>IF('Avaliação Períodos'!A24=0,"",'Avaliação Períodos'!A24)</f>
        <v>16</v>
      </c>
      <c r="B23" s="263" t="str">
        <f>IF('Avaliação Períodos'!B24=0,"",'Avaliação Períodos'!B24)</f>
        <v>Lourenço</v>
      </c>
      <c r="C23" s="264"/>
      <c r="D23" s="264"/>
      <c r="E23" s="264"/>
      <c r="F23" s="264"/>
      <c r="G23" s="264"/>
      <c r="H23" s="377"/>
      <c r="I23" s="378"/>
      <c r="J23" s="378"/>
      <c r="K23" s="378"/>
      <c r="L23" s="379"/>
      <c r="M23" s="317" t="str">
        <f t="shared" si="0"/>
        <v/>
      </c>
      <c r="N23" s="380"/>
      <c r="O23" s="378"/>
      <c r="P23" s="378"/>
      <c r="Q23" s="378"/>
      <c r="R23" s="379"/>
      <c r="S23" s="317" t="str">
        <f t="shared" si="1"/>
        <v/>
      </c>
      <c r="T23" s="363" t="str" cm="1">
        <f t="array" ref="T23">mediaComposicaoGramatica(M23,S23)</f>
        <v/>
      </c>
      <c r="U23" s="381"/>
      <c r="V23" s="378"/>
      <c r="W23" s="378"/>
      <c r="X23" s="378"/>
      <c r="Y23" s="378"/>
      <c r="Z23" s="317" t="str">
        <f t="shared" si="2"/>
        <v/>
      </c>
      <c r="AA23" s="380"/>
      <c r="AB23" s="378"/>
      <c r="AC23" s="378"/>
      <c r="AD23" s="378"/>
      <c r="AE23" s="378"/>
      <c r="AF23" s="317" t="str">
        <f t="shared" si="3"/>
        <v/>
      </c>
      <c r="AG23" s="363" t="str" cm="1">
        <f t="array" ref="AG23">mediaComposicaoGramatica(Z23,AF23)</f>
        <v/>
      </c>
    </row>
    <row r="24" spans="1:33" x14ac:dyDescent="0.25">
      <c r="A24" s="62">
        <f>IF('Avaliação Períodos'!A25=0,"",'Avaliação Períodos'!A25)</f>
        <v>17</v>
      </c>
      <c r="B24" s="271" t="str">
        <f>IF('Avaliação Períodos'!B25=0,"",'Avaliação Períodos'!B25)</f>
        <v>Matheus</v>
      </c>
      <c r="C24" s="272"/>
      <c r="D24" s="272"/>
      <c r="E24" s="272"/>
      <c r="F24" s="272"/>
      <c r="G24" s="272"/>
      <c r="H24" s="383"/>
      <c r="I24" s="373"/>
      <c r="J24" s="373"/>
      <c r="K24" s="373"/>
      <c r="L24" s="374"/>
      <c r="M24" s="317" t="str">
        <f t="shared" si="0"/>
        <v/>
      </c>
      <c r="N24" s="384"/>
      <c r="O24" s="373"/>
      <c r="P24" s="373"/>
      <c r="Q24" s="373"/>
      <c r="R24" s="374"/>
      <c r="S24" s="317" t="str">
        <f t="shared" si="1"/>
        <v/>
      </c>
      <c r="T24" s="363" t="str" cm="1">
        <f t="array" ref="T24">mediaComposicaoGramatica(M24,S24)</f>
        <v/>
      </c>
      <c r="U24" s="385"/>
      <c r="V24" s="373"/>
      <c r="W24" s="373"/>
      <c r="X24" s="373"/>
      <c r="Y24" s="373"/>
      <c r="Z24" s="317" t="str">
        <f t="shared" si="2"/>
        <v/>
      </c>
      <c r="AA24" s="384"/>
      <c r="AB24" s="373"/>
      <c r="AC24" s="373"/>
      <c r="AD24" s="373"/>
      <c r="AE24" s="373"/>
      <c r="AF24" s="317" t="str">
        <f t="shared" si="3"/>
        <v/>
      </c>
      <c r="AG24" s="363" t="str" cm="1">
        <f t="array" ref="AG24">mediaComposicaoGramatica(Z24,AF24)</f>
        <v/>
      </c>
    </row>
    <row r="25" spans="1:33" x14ac:dyDescent="0.25">
      <c r="A25" s="63">
        <f>IF('Avaliação Períodos'!A26=0,"",'Avaliação Períodos'!A26)</f>
        <v>18</v>
      </c>
      <c r="B25" s="263" t="str">
        <f>IF('Avaliação Períodos'!B26=0,"",'Avaliação Períodos'!B26)</f>
        <v>Miguel</v>
      </c>
      <c r="C25" s="264"/>
      <c r="D25" s="264"/>
      <c r="E25" s="264"/>
      <c r="F25" s="264"/>
      <c r="G25" s="264"/>
      <c r="H25" s="377"/>
      <c r="I25" s="378"/>
      <c r="J25" s="378"/>
      <c r="K25" s="378"/>
      <c r="L25" s="379"/>
      <c r="M25" s="317" t="str">
        <f t="shared" si="0"/>
        <v/>
      </c>
      <c r="N25" s="380"/>
      <c r="O25" s="378"/>
      <c r="P25" s="378"/>
      <c r="Q25" s="378"/>
      <c r="R25" s="379"/>
      <c r="S25" s="317" t="str">
        <f t="shared" si="1"/>
        <v/>
      </c>
      <c r="T25" s="363" t="str" cm="1">
        <f t="array" ref="T25">mediaComposicaoGramatica(M25,S25)</f>
        <v/>
      </c>
      <c r="U25" s="381"/>
      <c r="V25" s="378"/>
      <c r="W25" s="378"/>
      <c r="X25" s="378"/>
      <c r="Y25" s="378"/>
      <c r="Z25" s="317" t="str">
        <f t="shared" si="2"/>
        <v/>
      </c>
      <c r="AA25" s="380"/>
      <c r="AB25" s="378"/>
      <c r="AC25" s="378"/>
      <c r="AD25" s="378"/>
      <c r="AE25" s="378"/>
      <c r="AF25" s="317" t="str">
        <f t="shared" si="3"/>
        <v/>
      </c>
      <c r="AG25" s="363" t="str" cm="1">
        <f t="array" ref="AG25">mediaComposicaoGramatica(Z25,AF25)</f>
        <v/>
      </c>
    </row>
    <row r="26" spans="1:33" x14ac:dyDescent="0.25">
      <c r="A26" s="62">
        <f>IF('Avaliação Períodos'!A27=0,"",'Avaliação Períodos'!A27)</f>
        <v>19</v>
      </c>
      <c r="B26" s="271" t="str">
        <f>IF('Avaliação Períodos'!B27=0,"",'Avaliação Períodos'!B27)</f>
        <v>Santiago</v>
      </c>
      <c r="C26" s="272"/>
      <c r="D26" s="272"/>
      <c r="E26" s="272"/>
      <c r="F26" s="272"/>
      <c r="G26" s="272"/>
      <c r="H26" s="383"/>
      <c r="I26" s="373"/>
      <c r="J26" s="373"/>
      <c r="K26" s="373"/>
      <c r="L26" s="374"/>
      <c r="M26" s="317" t="str">
        <f t="shared" si="0"/>
        <v/>
      </c>
      <c r="N26" s="384"/>
      <c r="O26" s="373"/>
      <c r="P26" s="373"/>
      <c r="Q26" s="373"/>
      <c r="R26" s="374"/>
      <c r="S26" s="317" t="str">
        <f t="shared" si="1"/>
        <v/>
      </c>
      <c r="T26" s="363" t="str" cm="1">
        <f t="array" ref="T26">mediaComposicaoGramatica(M26,S26)</f>
        <v/>
      </c>
      <c r="U26" s="385"/>
      <c r="V26" s="373"/>
      <c r="W26" s="373"/>
      <c r="X26" s="373"/>
      <c r="Y26" s="373"/>
      <c r="Z26" s="317" t="str">
        <f t="shared" si="2"/>
        <v/>
      </c>
      <c r="AA26" s="384"/>
      <c r="AB26" s="373"/>
      <c r="AC26" s="373"/>
      <c r="AD26" s="373"/>
      <c r="AE26" s="373"/>
      <c r="AF26" s="317" t="str">
        <f t="shared" si="3"/>
        <v/>
      </c>
      <c r="AG26" s="363" t="str" cm="1">
        <f t="array" ref="AG26">mediaComposicaoGramatica(Z26,AF26)</f>
        <v/>
      </c>
    </row>
    <row r="27" spans="1:33" x14ac:dyDescent="0.25">
      <c r="A27" s="63">
        <f>IF('Avaliação Períodos'!A28=0,"",'Avaliação Períodos'!A28)</f>
        <v>20</v>
      </c>
      <c r="B27" s="263" t="str">
        <f>IF('Avaliação Períodos'!B28=0,"",'Avaliação Períodos'!B28)</f>
        <v>Sophie</v>
      </c>
      <c r="C27" s="264"/>
      <c r="D27" s="264"/>
      <c r="E27" s="264"/>
      <c r="F27" s="264"/>
      <c r="G27" s="264"/>
      <c r="H27" s="377"/>
      <c r="I27" s="378"/>
      <c r="J27" s="378"/>
      <c r="K27" s="378"/>
      <c r="L27" s="379"/>
      <c r="M27" s="317" t="str">
        <f t="shared" si="0"/>
        <v/>
      </c>
      <c r="N27" s="380"/>
      <c r="O27" s="378"/>
      <c r="P27" s="378"/>
      <c r="Q27" s="378"/>
      <c r="R27" s="379"/>
      <c r="S27" s="317" t="str">
        <f t="shared" si="1"/>
        <v/>
      </c>
      <c r="T27" s="363" t="str" cm="1">
        <f t="array" ref="T27">mediaComposicaoGramatica(M27,S27)</f>
        <v/>
      </c>
      <c r="U27" s="381"/>
      <c r="V27" s="378"/>
      <c r="W27" s="378"/>
      <c r="X27" s="378"/>
      <c r="Y27" s="378"/>
      <c r="Z27" s="317" t="str">
        <f t="shared" si="2"/>
        <v/>
      </c>
      <c r="AA27" s="380"/>
      <c r="AB27" s="378"/>
      <c r="AC27" s="378"/>
      <c r="AD27" s="378"/>
      <c r="AE27" s="378"/>
      <c r="AF27" s="317" t="str">
        <f t="shared" si="3"/>
        <v/>
      </c>
      <c r="AG27" s="363" t="str" cm="1">
        <f t="array" ref="AG27">mediaComposicaoGramatica(Z27,AF27)</f>
        <v/>
      </c>
    </row>
    <row r="28" spans="1:33" x14ac:dyDescent="0.25">
      <c r="A28" s="62">
        <f>IF('Avaliação Períodos'!A29=0,"",'Avaliação Períodos'!A29)</f>
        <v>21</v>
      </c>
      <c r="B28" s="271" t="str">
        <f>IF('Avaliação Períodos'!B29=0,"",'Avaliação Períodos'!B29)</f>
        <v>Tiago</v>
      </c>
      <c r="C28" s="272"/>
      <c r="D28" s="272"/>
      <c r="E28" s="272"/>
      <c r="F28" s="272"/>
      <c r="G28" s="272"/>
      <c r="H28" s="383"/>
      <c r="I28" s="373"/>
      <c r="J28" s="373"/>
      <c r="K28" s="373"/>
      <c r="L28" s="374"/>
      <c r="M28" s="317" t="str">
        <f t="shared" si="0"/>
        <v/>
      </c>
      <c r="N28" s="384"/>
      <c r="O28" s="373"/>
      <c r="P28" s="373"/>
      <c r="Q28" s="373"/>
      <c r="R28" s="374"/>
      <c r="S28" s="317" t="str">
        <f t="shared" si="1"/>
        <v/>
      </c>
      <c r="T28" s="363" t="str" cm="1">
        <f t="array" ref="T28">mediaComposicaoGramatica(M28,S28)</f>
        <v/>
      </c>
      <c r="U28" s="385"/>
      <c r="V28" s="373"/>
      <c r="W28" s="373"/>
      <c r="X28" s="373"/>
      <c r="Y28" s="373"/>
      <c r="Z28" s="317" t="str">
        <f t="shared" si="2"/>
        <v/>
      </c>
      <c r="AA28" s="384"/>
      <c r="AB28" s="373"/>
      <c r="AC28" s="373"/>
      <c r="AD28" s="373"/>
      <c r="AE28" s="373"/>
      <c r="AF28" s="317" t="str">
        <f t="shared" si="3"/>
        <v/>
      </c>
      <c r="AG28" s="363" t="str" cm="1">
        <f t="array" ref="AG28">mediaComposicaoGramatica(Z28,AF28)</f>
        <v/>
      </c>
    </row>
    <row r="29" spans="1:33" x14ac:dyDescent="0.25">
      <c r="A29" s="63">
        <f>IF('Avaliação Períodos'!A30=0,"",'Avaliação Períodos'!A30)</f>
        <v>22</v>
      </c>
      <c r="B29" s="263" t="str">
        <f>IF('Avaliação Períodos'!B30=0,"",'Avaliação Períodos'!B30)</f>
        <v>Yarianny</v>
      </c>
      <c r="C29" s="264"/>
      <c r="D29" s="264"/>
      <c r="E29" s="264"/>
      <c r="F29" s="264"/>
      <c r="G29" s="264"/>
      <c r="H29" s="386"/>
      <c r="I29" s="387"/>
      <c r="J29" s="387"/>
      <c r="K29" s="387"/>
      <c r="L29" s="388"/>
      <c r="M29" s="317" t="str">
        <f t="shared" si="0"/>
        <v/>
      </c>
      <c r="N29" s="389"/>
      <c r="O29" s="387"/>
      <c r="P29" s="387"/>
      <c r="Q29" s="387"/>
      <c r="R29" s="388"/>
      <c r="S29" s="317" t="str">
        <f t="shared" si="1"/>
        <v/>
      </c>
      <c r="T29" s="363" t="str" cm="1">
        <f t="array" ref="T29">mediaComposicaoGramatica(M29,S29)</f>
        <v/>
      </c>
      <c r="U29" s="390"/>
      <c r="V29" s="387"/>
      <c r="W29" s="387"/>
      <c r="X29" s="387"/>
      <c r="Y29" s="387"/>
      <c r="Z29" s="317" t="str">
        <f t="shared" si="2"/>
        <v/>
      </c>
      <c r="AA29" s="389"/>
      <c r="AB29" s="387"/>
      <c r="AC29" s="387"/>
      <c r="AD29" s="387"/>
      <c r="AE29" s="387"/>
      <c r="AF29" s="317" t="str">
        <f t="shared" si="3"/>
        <v/>
      </c>
      <c r="AG29" s="363" t="str" cm="1">
        <f t="array" ref="AG29">mediaComposicaoGramatica(Z29,AF29)</f>
        <v/>
      </c>
    </row>
    <row r="30" spans="1:33" x14ac:dyDescent="0.25">
      <c r="A30" s="62">
        <f>IF('Avaliação Períodos'!A31=0,"",'Avaliação Períodos'!A31)</f>
        <v>23</v>
      </c>
      <c r="B30" s="271" t="str">
        <f>IF('Avaliação Períodos'!B31=0,"",'Avaliação Períodos'!B31)</f>
        <v>Dhébora</v>
      </c>
      <c r="C30" s="272"/>
      <c r="D30" s="272"/>
      <c r="E30" s="272"/>
      <c r="F30" s="272"/>
      <c r="G30" s="272"/>
      <c r="H30" s="383"/>
      <c r="I30" s="373"/>
      <c r="J30" s="373"/>
      <c r="K30" s="373"/>
      <c r="L30" s="374"/>
      <c r="M30" s="317" t="str">
        <f t="shared" si="0"/>
        <v/>
      </c>
      <c r="N30" s="384"/>
      <c r="O30" s="373"/>
      <c r="P30" s="373"/>
      <c r="Q30" s="373"/>
      <c r="R30" s="374"/>
      <c r="S30" s="317" t="str">
        <f t="shared" si="1"/>
        <v/>
      </c>
      <c r="T30" s="363" t="str" cm="1">
        <f t="array" ref="T30">mediaComposicaoGramatica(M30,S30)</f>
        <v/>
      </c>
      <c r="U30" s="385"/>
      <c r="V30" s="373"/>
      <c r="W30" s="373"/>
      <c r="X30" s="373"/>
      <c r="Y30" s="373"/>
      <c r="Z30" s="317" t="str">
        <f t="shared" si="2"/>
        <v/>
      </c>
      <c r="AA30" s="384"/>
      <c r="AB30" s="373"/>
      <c r="AC30" s="373"/>
      <c r="AD30" s="373"/>
      <c r="AE30" s="373"/>
      <c r="AF30" s="317" t="str">
        <f t="shared" si="3"/>
        <v/>
      </c>
      <c r="AG30" s="363" t="str" cm="1">
        <f t="array" ref="AG30">mediaComposicaoGramatica(Z30,AF30)</f>
        <v/>
      </c>
    </row>
    <row r="31" spans="1:33" x14ac:dyDescent="0.25">
      <c r="A31" s="63" t="str">
        <f>IF('Avaliação Períodos'!A32=0,"",'Avaliação Períodos'!A32)</f>
        <v/>
      </c>
      <c r="B31" s="263" t="str">
        <f>IF('Avaliação Períodos'!B32=0,"",'Avaliação Períodos'!B32)</f>
        <v/>
      </c>
      <c r="C31" s="264"/>
      <c r="D31" s="264"/>
      <c r="E31" s="264"/>
      <c r="F31" s="264"/>
      <c r="G31" s="264"/>
      <c r="H31" s="377"/>
      <c r="I31" s="378"/>
      <c r="J31" s="378"/>
      <c r="K31" s="378"/>
      <c r="L31" s="379"/>
      <c r="M31" s="317" t="str">
        <f t="shared" si="0"/>
        <v/>
      </c>
      <c r="N31" s="380"/>
      <c r="O31" s="378"/>
      <c r="P31" s="378"/>
      <c r="Q31" s="378"/>
      <c r="R31" s="379"/>
      <c r="S31" s="317" t="str">
        <f t="shared" si="1"/>
        <v/>
      </c>
      <c r="T31" s="363" t="str" cm="1">
        <f t="array" ref="T31">mediaComposicaoGramatica(M31,S31)</f>
        <v/>
      </c>
      <c r="U31" s="381"/>
      <c r="V31" s="378"/>
      <c r="W31" s="378"/>
      <c r="X31" s="378"/>
      <c r="Y31" s="378"/>
      <c r="Z31" s="317" t="str">
        <f t="shared" si="2"/>
        <v/>
      </c>
      <c r="AA31" s="380"/>
      <c r="AB31" s="378"/>
      <c r="AC31" s="378"/>
      <c r="AD31" s="378"/>
      <c r="AE31" s="378"/>
      <c r="AF31" s="317" t="str">
        <f t="shared" si="3"/>
        <v/>
      </c>
      <c r="AG31" s="363" t="str" cm="1">
        <f t="array" ref="AG31">mediaComposicaoGramatica(Z31,AF31)</f>
        <v/>
      </c>
    </row>
    <row r="32" spans="1:33" x14ac:dyDescent="0.25">
      <c r="A32" s="62" t="str">
        <f>IF('Avaliação Períodos'!A33=0,"",'Avaliação Períodos'!A33)</f>
        <v/>
      </c>
      <c r="B32" s="271" t="str">
        <f>IF('Avaliação Períodos'!B33=0,"",'Avaliação Períodos'!B33)</f>
        <v/>
      </c>
      <c r="C32" s="272"/>
      <c r="D32" s="272"/>
      <c r="E32" s="272"/>
      <c r="F32" s="272"/>
      <c r="G32" s="272"/>
      <c r="H32" s="383"/>
      <c r="I32" s="373"/>
      <c r="J32" s="373"/>
      <c r="K32" s="373"/>
      <c r="L32" s="374"/>
      <c r="M32" s="317" t="str">
        <f t="shared" si="0"/>
        <v/>
      </c>
      <c r="N32" s="384"/>
      <c r="O32" s="373"/>
      <c r="P32" s="373"/>
      <c r="Q32" s="373"/>
      <c r="R32" s="374"/>
      <c r="S32" s="317" t="str">
        <f t="shared" si="1"/>
        <v/>
      </c>
      <c r="T32" s="363" t="str" cm="1">
        <f t="array" ref="T32">mediaComposicaoGramatica(M32,S32)</f>
        <v/>
      </c>
      <c r="U32" s="385"/>
      <c r="V32" s="373"/>
      <c r="W32" s="373"/>
      <c r="X32" s="373"/>
      <c r="Y32" s="373"/>
      <c r="Z32" s="317" t="str">
        <f t="shared" si="2"/>
        <v/>
      </c>
      <c r="AA32" s="384"/>
      <c r="AB32" s="373"/>
      <c r="AC32" s="373"/>
      <c r="AD32" s="373"/>
      <c r="AE32" s="373"/>
      <c r="AF32" s="317" t="str">
        <f t="shared" si="3"/>
        <v/>
      </c>
      <c r="AG32" s="363" t="str" cm="1">
        <f t="array" ref="AG32">mediaComposicaoGramatica(Z32,AF32)</f>
        <v/>
      </c>
    </row>
    <row r="33" spans="1:33" x14ac:dyDescent="0.25">
      <c r="A33" s="63" t="str">
        <f>IF('Avaliação Períodos'!A34=0,"",'Avaliação Períodos'!A34)</f>
        <v/>
      </c>
      <c r="B33" s="263" t="str">
        <f>IF('Avaliação Períodos'!B34=0,"",'Avaliação Períodos'!B34)</f>
        <v/>
      </c>
      <c r="C33" s="264"/>
      <c r="D33" s="264"/>
      <c r="E33" s="264"/>
      <c r="F33" s="264"/>
      <c r="G33" s="264"/>
      <c r="H33" s="377"/>
      <c r="I33" s="378"/>
      <c r="J33" s="378"/>
      <c r="K33" s="378"/>
      <c r="L33" s="379"/>
      <c r="M33" s="317" t="str">
        <f t="shared" si="0"/>
        <v/>
      </c>
      <c r="N33" s="380"/>
      <c r="O33" s="378"/>
      <c r="P33" s="378"/>
      <c r="Q33" s="378"/>
      <c r="R33" s="379"/>
      <c r="S33" s="317" t="str">
        <f t="shared" si="1"/>
        <v/>
      </c>
      <c r="T33" s="363" t="str" cm="1">
        <f t="array" ref="T33">mediaComposicaoGramatica(M33,S33)</f>
        <v/>
      </c>
      <c r="U33" s="381"/>
      <c r="V33" s="378"/>
      <c r="W33" s="378"/>
      <c r="X33" s="378"/>
      <c r="Y33" s="378"/>
      <c r="Z33" s="317" t="str">
        <f t="shared" si="2"/>
        <v/>
      </c>
      <c r="AA33" s="380"/>
      <c r="AB33" s="378"/>
      <c r="AC33" s="378"/>
      <c r="AD33" s="378"/>
      <c r="AE33" s="378"/>
      <c r="AF33" s="317" t="str">
        <f t="shared" si="3"/>
        <v/>
      </c>
      <c r="AG33" s="363" t="str" cm="1">
        <f t="array" ref="AG33">mediaComposicaoGramatica(Z33,AF33)</f>
        <v/>
      </c>
    </row>
    <row r="34" spans="1:33" x14ac:dyDescent="0.25">
      <c r="A34" s="62" t="str">
        <f>IF('Avaliação Períodos'!A35=0,"",'Avaliação Períodos'!A35)</f>
        <v/>
      </c>
      <c r="B34" s="271" t="str">
        <f>IF('Avaliação Períodos'!B35=0,"",'Avaliação Períodos'!B35)</f>
        <v/>
      </c>
      <c r="C34" s="272"/>
      <c r="D34" s="272"/>
      <c r="E34" s="272"/>
      <c r="F34" s="272"/>
      <c r="G34" s="272"/>
      <c r="H34" s="383"/>
      <c r="I34" s="373"/>
      <c r="J34" s="373"/>
      <c r="K34" s="373"/>
      <c r="L34" s="374"/>
      <c r="M34" s="317" t="str">
        <f t="shared" si="0"/>
        <v/>
      </c>
      <c r="N34" s="384"/>
      <c r="O34" s="373"/>
      <c r="P34" s="373"/>
      <c r="Q34" s="373"/>
      <c r="R34" s="374"/>
      <c r="S34" s="317" t="str">
        <f t="shared" si="1"/>
        <v/>
      </c>
      <c r="T34" s="363" t="str" cm="1">
        <f t="array" ref="T34">mediaComposicaoGramatica(M34,S34)</f>
        <v/>
      </c>
      <c r="U34" s="385"/>
      <c r="V34" s="373"/>
      <c r="W34" s="373"/>
      <c r="X34" s="373"/>
      <c r="Y34" s="373"/>
      <c r="Z34" s="317" t="str">
        <f t="shared" si="2"/>
        <v/>
      </c>
      <c r="AA34" s="384"/>
      <c r="AB34" s="373"/>
      <c r="AC34" s="373"/>
      <c r="AD34" s="373"/>
      <c r="AE34" s="373"/>
      <c r="AF34" s="317" t="str">
        <f t="shared" si="3"/>
        <v/>
      </c>
      <c r="AG34" s="363" t="str" cm="1">
        <f t="array" ref="AG34">mediaComposicaoGramatica(Z34,AF34)</f>
        <v/>
      </c>
    </row>
    <row r="35" spans="1:33" x14ac:dyDescent="0.25">
      <c r="A35" s="63" t="str">
        <f>IF('Avaliação Períodos'!A36=0,"",'Avaliação Períodos'!A36)</f>
        <v/>
      </c>
      <c r="B35" s="263" t="str">
        <f>IF('Avaliação Períodos'!B36=0,"",'Avaliação Períodos'!B36)</f>
        <v/>
      </c>
      <c r="C35" s="264"/>
      <c r="D35" s="264"/>
      <c r="E35" s="264"/>
      <c r="F35" s="264"/>
      <c r="G35" s="264"/>
      <c r="H35" s="377"/>
      <c r="I35" s="378"/>
      <c r="J35" s="378"/>
      <c r="K35" s="378"/>
      <c r="L35" s="379"/>
      <c r="M35" s="317" t="str">
        <f t="shared" si="0"/>
        <v/>
      </c>
      <c r="N35" s="380"/>
      <c r="O35" s="378"/>
      <c r="P35" s="378"/>
      <c r="Q35" s="378"/>
      <c r="R35" s="379"/>
      <c r="S35" s="317" t="str">
        <f t="shared" si="1"/>
        <v/>
      </c>
      <c r="T35" s="363" t="str" cm="1">
        <f t="array" ref="T35">mediaComposicaoGramatica(M35,S35)</f>
        <v/>
      </c>
      <c r="U35" s="381"/>
      <c r="V35" s="378"/>
      <c r="W35" s="378"/>
      <c r="X35" s="378"/>
      <c r="Y35" s="378"/>
      <c r="Z35" s="317" t="str">
        <f t="shared" si="2"/>
        <v/>
      </c>
      <c r="AA35" s="380"/>
      <c r="AB35" s="378"/>
      <c r="AC35" s="378"/>
      <c r="AD35" s="378"/>
      <c r="AE35" s="378"/>
      <c r="AF35" s="317" t="str">
        <f t="shared" si="3"/>
        <v/>
      </c>
      <c r="AG35" s="363" t="str" cm="1">
        <f t="array" ref="AG35">mediaComposicaoGramatica(Z35,AF35)</f>
        <v/>
      </c>
    </row>
    <row r="36" spans="1:33" x14ac:dyDescent="0.25">
      <c r="A36" s="64" t="str">
        <f>IF('Avaliação Períodos'!A37=0,"",'Avaliação Períodos'!A37)</f>
        <v/>
      </c>
      <c r="B36" s="277" t="str">
        <f>IF('Avaliação Períodos'!B37=0,"",'Avaliação Períodos'!B37)</f>
        <v/>
      </c>
      <c r="C36" s="278"/>
      <c r="D36" s="278"/>
      <c r="E36" s="278"/>
      <c r="F36" s="278"/>
      <c r="G36" s="278"/>
      <c r="H36" s="391"/>
      <c r="I36" s="392"/>
      <c r="J36" s="392"/>
      <c r="K36" s="392"/>
      <c r="L36" s="392"/>
      <c r="M36" s="317" t="str">
        <f t="shared" si="0"/>
        <v/>
      </c>
      <c r="N36" s="393"/>
      <c r="O36" s="392"/>
      <c r="P36" s="392"/>
      <c r="Q36" s="392"/>
      <c r="R36" s="392"/>
      <c r="S36" s="317" t="str">
        <f t="shared" si="1"/>
        <v/>
      </c>
      <c r="T36" s="363" t="str" cm="1">
        <f t="array" ref="T36">mediaComposicaoGramatica(M36,S36)</f>
        <v/>
      </c>
      <c r="U36" s="394"/>
      <c r="V36" s="392"/>
      <c r="W36" s="392"/>
      <c r="X36" s="392"/>
      <c r="Y36" s="392"/>
      <c r="Z36" s="317" t="str">
        <f t="shared" si="2"/>
        <v/>
      </c>
      <c r="AA36" s="393"/>
      <c r="AB36" s="392"/>
      <c r="AC36" s="392"/>
      <c r="AD36" s="392"/>
      <c r="AE36" s="392"/>
      <c r="AF36" s="317" t="str">
        <f t="shared" si="3"/>
        <v/>
      </c>
      <c r="AG36" s="363" t="str" cm="1">
        <f t="array" ref="AG36">mediaComposicaoGramatica(Z36,AF36)</f>
        <v/>
      </c>
    </row>
    <row r="37" spans="1:33" ht="15.75" thickBot="1" x14ac:dyDescent="0.3">
      <c r="A37" s="65" t="str">
        <f>IF('Avaliação Períodos'!A38=0,"",'Avaliação Períodos'!A38)</f>
        <v/>
      </c>
      <c r="B37" s="232" t="str">
        <f>IF('Avaliação Períodos'!B38=0,"",'Avaliação Períodos'!B38)</f>
        <v xml:space="preserve"> </v>
      </c>
      <c r="C37" s="233"/>
      <c r="D37" s="233"/>
      <c r="E37" s="233"/>
      <c r="F37" s="233"/>
      <c r="G37" s="233"/>
      <c r="H37" s="395"/>
      <c r="I37" s="396"/>
      <c r="J37" s="396"/>
      <c r="K37" s="396"/>
      <c r="L37" s="396"/>
      <c r="M37" s="397" t="str">
        <f t="shared" si="0"/>
        <v/>
      </c>
      <c r="N37" s="398"/>
      <c r="O37" s="396"/>
      <c r="P37" s="396"/>
      <c r="Q37" s="399"/>
      <c r="R37" s="399"/>
      <c r="S37" s="400" t="str">
        <f t="shared" si="1"/>
        <v/>
      </c>
      <c r="T37" s="401" t="str" cm="1">
        <f t="array" ref="T37">mediaComposicaoGramatica(M37,S37)</f>
        <v/>
      </c>
      <c r="U37" s="402"/>
      <c r="V37" s="396"/>
      <c r="W37" s="396"/>
      <c r="X37" s="396"/>
      <c r="Y37" s="396"/>
      <c r="Z37" s="397" t="str">
        <f t="shared" si="2"/>
        <v/>
      </c>
      <c r="AA37" s="398"/>
      <c r="AB37" s="396"/>
      <c r="AC37" s="399"/>
      <c r="AD37" s="399"/>
      <c r="AE37" s="399"/>
      <c r="AF37" s="400" t="str">
        <f t="shared" si="3"/>
        <v/>
      </c>
      <c r="AG37" s="363" t="str" cm="1">
        <f t="array" ref="AG37">mediaComposicaoGramatica(Z37,AF37)</f>
        <v/>
      </c>
    </row>
    <row r="38" spans="1:33" x14ac:dyDescent="0.25">
      <c r="A38" s="2"/>
      <c r="B38" s="2"/>
      <c r="C38" s="2"/>
      <c r="D38" s="2"/>
      <c r="E38" s="2"/>
      <c r="F38" s="2"/>
      <c r="G38" s="2"/>
      <c r="Q38" s="227" t="s">
        <v>82</v>
      </c>
      <c r="R38" s="228"/>
      <c r="S38" s="229"/>
      <c r="T38" s="353">
        <f>IF(COUNT(T8:T37)=0,"",AVERAGE(T8:T37))</f>
        <v>20.625</v>
      </c>
      <c r="AC38" s="231" t="s">
        <v>81</v>
      </c>
      <c r="AD38" s="231"/>
      <c r="AE38" s="231"/>
      <c r="AF38" s="231"/>
      <c r="AG38" s="66" t="str">
        <f>IF(COUNT(AG8:AG37)=0,"",AVERAGE(AG8:AG37))</f>
        <v/>
      </c>
    </row>
    <row r="39" spans="1:33" x14ac:dyDescent="0.25">
      <c r="A39" s="2"/>
      <c r="B39" s="2"/>
      <c r="C39" s="2"/>
      <c r="D39" s="2"/>
      <c r="E39" s="2"/>
      <c r="F39" s="2"/>
      <c r="G39" s="2"/>
      <c r="Q39" s="231" t="s">
        <v>23</v>
      </c>
      <c r="R39" s="231"/>
      <c r="S39" s="231"/>
      <c r="T39" s="67">
        <f>COUNTIF(M8:M37,"&lt;50")</f>
        <v>2</v>
      </c>
      <c r="AC39" s="231" t="s">
        <v>23</v>
      </c>
      <c r="AD39" s="231"/>
      <c r="AE39" s="231"/>
      <c r="AF39" s="231"/>
      <c r="AG39" s="67">
        <f>COUNTIF(AG8:AG37,"&lt;50")</f>
        <v>0</v>
      </c>
    </row>
    <row r="40" spans="1:33" x14ac:dyDescent="0.25">
      <c r="A40" s="2"/>
      <c r="B40" s="2"/>
      <c r="C40" s="2"/>
      <c r="D40" s="2"/>
      <c r="E40" s="2"/>
      <c r="F40" s="2"/>
      <c r="G40" s="2"/>
      <c r="Q40" s="231" t="s">
        <v>24</v>
      </c>
      <c r="R40" s="231"/>
      <c r="S40" s="231"/>
      <c r="T40" s="68">
        <f>IF(COUNT(M8:M37)=0,"",$T39/(COUNT(M8:M37))*100)</f>
        <v>100</v>
      </c>
      <c r="AC40" s="231" t="s">
        <v>24</v>
      </c>
      <c r="AD40" s="231"/>
      <c r="AE40" s="231"/>
      <c r="AF40" s="231"/>
      <c r="AG40" s="68" t="str">
        <f>IF(COUNT(AG8:AG37)=0,"",$AG39/(COUNT(AG8:AG37))*100)</f>
        <v/>
      </c>
    </row>
    <row r="45" spans="1:33" x14ac:dyDescent="0.25">
      <c r="N45" s="8" t="s">
        <v>20</v>
      </c>
    </row>
    <row r="46" spans="1:33" x14ac:dyDescent="0.25">
      <c r="N46" s="9">
        <v>20</v>
      </c>
    </row>
    <row r="47" spans="1:33" x14ac:dyDescent="0.25">
      <c r="N47" s="9">
        <v>20</v>
      </c>
    </row>
    <row r="48" spans="1:33" x14ac:dyDescent="0.25">
      <c r="N48" s="9">
        <v>20</v>
      </c>
    </row>
    <row r="49" spans="14:14" x14ac:dyDescent="0.25">
      <c r="N49" s="9">
        <v>20</v>
      </c>
    </row>
    <row r="50" spans="14:14" x14ac:dyDescent="0.25">
      <c r="N50" s="9">
        <v>20</v>
      </c>
    </row>
    <row r="51" spans="14:14" x14ac:dyDescent="0.25">
      <c r="N51" s="9"/>
    </row>
    <row r="52" spans="14:14" x14ac:dyDescent="0.25">
      <c r="N52" s="10" t="s">
        <v>21</v>
      </c>
    </row>
    <row r="53" spans="14:14" x14ac:dyDescent="0.25">
      <c r="N53" s="9"/>
    </row>
    <row r="54" spans="14:14" x14ac:dyDescent="0.25">
      <c r="N54" s="29">
        <f>SUM(N46:N51)</f>
        <v>100</v>
      </c>
    </row>
  </sheetData>
  <sheetProtection algorithmName="SHA-512" hashValue="9OQAtumGmRe6kJV79fkd6xr5jyia9SRirIWBPzUTsfO6fKS2rCs3FRxGzZ2umnyRfMuAQ/NIkukqSRXZWfFUcQ==" saltValue="rIvfjgCpCxzCfcogEqcAlg==" spinCount="100000" sheet="1" objects="1" scenarios="1"/>
  <dataConsolidate function="max" link="1"/>
  <mergeCells count="49">
    <mergeCell ref="U4:AG4"/>
    <mergeCell ref="AG5:AG6"/>
    <mergeCell ref="U5:Z5"/>
    <mergeCell ref="AA5:AF5"/>
    <mergeCell ref="H4:T4"/>
    <mergeCell ref="T5:T6"/>
    <mergeCell ref="H5:M5"/>
    <mergeCell ref="N5:S5"/>
    <mergeCell ref="Q38:S38"/>
    <mergeCell ref="Q39:S39"/>
    <mergeCell ref="Q40:S40"/>
    <mergeCell ref="AC38:AF38"/>
    <mergeCell ref="AC39:AF39"/>
    <mergeCell ref="AC40:AF40"/>
    <mergeCell ref="H3:Z3"/>
    <mergeCell ref="B29:G29"/>
    <mergeCell ref="C6:G6"/>
    <mergeCell ref="B36:G36"/>
    <mergeCell ref="B37:G37"/>
    <mergeCell ref="B30:G30"/>
    <mergeCell ref="B31:G31"/>
    <mergeCell ref="B32:G32"/>
    <mergeCell ref="B33:G33"/>
    <mergeCell ref="B34:G34"/>
    <mergeCell ref="B35:G35"/>
    <mergeCell ref="B25:G25"/>
    <mergeCell ref="B16:G16"/>
    <mergeCell ref="B17:G17"/>
    <mergeCell ref="B24:G24"/>
    <mergeCell ref="B18:G18"/>
    <mergeCell ref="B19:G19"/>
    <mergeCell ref="B20:G20"/>
    <mergeCell ref="B21:G21"/>
    <mergeCell ref="B22:G22"/>
    <mergeCell ref="A3:G3"/>
    <mergeCell ref="D4:G5"/>
    <mergeCell ref="B7:G7"/>
    <mergeCell ref="B8:G8"/>
    <mergeCell ref="B9:G9"/>
    <mergeCell ref="B10:G10"/>
    <mergeCell ref="B11:G11"/>
    <mergeCell ref="B23:G23"/>
    <mergeCell ref="B12:G12"/>
    <mergeCell ref="B13:G13"/>
    <mergeCell ref="B14:G14"/>
    <mergeCell ref="B26:G26"/>
    <mergeCell ref="B27:G27"/>
    <mergeCell ref="B28:G28"/>
    <mergeCell ref="B15:G15"/>
  </mergeCells>
  <dataValidations count="5">
    <dataValidation type="decimal" allowBlank="1" showErrorMessage="1" errorTitle="Erro." error="Ultrapassou cotação máxima." sqref="U8:Y36 AA8:AE36 I8:L37 O8:R37" xr:uid="{00000000-0002-0000-0300-000000000000}">
      <formula1>0</formula1>
      <formula2>I$7</formula2>
    </dataValidation>
    <dataValidation type="decimal" operator="lessThanOrEqual" allowBlank="1" showInputMessage="1" showErrorMessage="1" errorTitle="ERRO!" error="A pergunta não vale tanto!..." sqref="S8:S37" xr:uid="{00000000-0002-0000-0300-000001000000}">
      <formula1>S$7</formula1>
    </dataValidation>
    <dataValidation type="whole" allowBlank="1" showInputMessage="1" showErrorMessage="1" sqref="U37:Y37 N8:N37 AA37:AE37" xr:uid="{00000000-0002-0000-0300-000002000000}">
      <formula1>0</formula1>
      <formula2>N$7</formula2>
    </dataValidation>
    <dataValidation type="decimal" allowBlank="1" showInputMessage="1" showErrorMessage="1" sqref="H8:H37" xr:uid="{FF873DA1-1D37-4054-82A4-126D579367A1}">
      <formula1>0</formula1>
      <formula2>H$7</formula2>
    </dataValidation>
    <dataValidation type="decimal" operator="lessThanOrEqual" allowBlank="1" showInputMessage="1" showErrorMessage="1" sqref="M8:M37" xr:uid="{D474C77C-EAB8-4BD7-947D-13579250AB7B}">
      <formula1>M$7</formula1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2</vt:i4>
      </vt:variant>
    </vt:vector>
  </HeadingPairs>
  <TitlesOfParts>
    <vt:vector size="6" baseType="lpstr">
      <vt:lpstr>Avaliação Períodos</vt:lpstr>
      <vt:lpstr>Comp. Escrita</vt:lpstr>
      <vt:lpstr>Oralidade</vt:lpstr>
      <vt:lpstr>Prod. Escrita</vt:lpstr>
      <vt:lpstr>'Avaliação Períodos'!Área_de_Impressão</vt:lpstr>
      <vt:lpstr>'Prod. Escrita'!Área_de_Impressão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2021-12-16T14:14:54Z</cp:lastPrinted>
  <dcterms:created xsi:type="dcterms:W3CDTF">2011-09-16T07:34:53Z</dcterms:created>
  <dcterms:modified xsi:type="dcterms:W3CDTF">2022-01-23T12:02:37Z</dcterms:modified>
</cp:coreProperties>
</file>