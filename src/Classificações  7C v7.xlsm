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EsteLivro" defaultThemeVersion="124226"/>
  <mc:AlternateContent xmlns:mc="http://schemas.openxmlformats.org/markup-compatibility/2006">
    <mc:Choice Requires="x15">
      <x15ac:absPath xmlns:x15ac="http://schemas.microsoft.com/office/spreadsheetml/2010/11/ac" url="D:\git_projects\evaluation_charts\src\"/>
    </mc:Choice>
  </mc:AlternateContent>
  <xr:revisionPtr revIDLastSave="0" documentId="13_ncr:1_{94E6BA78-9231-4581-AFD9-8AEADF5C4555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Avaliação Períodos" sheetId="2" r:id="rId1"/>
    <sheet name="Oralidade" sheetId="8" r:id="rId2"/>
    <sheet name="Leitura" sheetId="4" r:id="rId3"/>
    <sheet name="Ed. Literária" sheetId="5" r:id="rId4"/>
    <sheet name="Gramática" sheetId="6" r:id="rId5"/>
    <sheet name="Escrita" sheetId="7" r:id="rId6"/>
  </sheets>
  <functionGroups builtInGroupCount="19"/>
  <externalReferences>
    <externalReference r:id="rId7"/>
  </externalReferences>
  <definedNames>
    <definedName name="_xlnm.Print_Area" localSheetId="0">'Avaliação Períodos'!$A$4:$AJ$48</definedName>
    <definedName name="_xlnm.Print_Area" localSheetId="5">Escrita!$A$4:$P$40</definedName>
  </definedNames>
  <calcPr calcId="191029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A9" i="2" l="1"/>
  <c r="AE8" i="6"/>
  <c r="AH9" i="7" a="1"/>
  <c r="AH9" i="7"/>
  <c r="AH10" i="7" a="1"/>
  <c r="AH10" i="7"/>
  <c r="AH11" i="7" a="1"/>
  <c r="AH11" i="7"/>
  <c r="AH12" i="7" a="1"/>
  <c r="AH12" i="7"/>
  <c r="AH13" i="7" a="1"/>
  <c r="AH13" i="7"/>
  <c r="AH14" i="7" a="1"/>
  <c r="AH14" i="7"/>
  <c r="AH15" i="7" a="1"/>
  <c r="AH15" i="7"/>
  <c r="AH16" i="7" a="1"/>
  <c r="AH16" i="7"/>
  <c r="AH17" i="7" a="1"/>
  <c r="AH17" i="7"/>
  <c r="AH18" i="7" a="1"/>
  <c r="AH18" i="7"/>
  <c r="AH19" i="7" a="1"/>
  <c r="AH19" i="7"/>
  <c r="AH20" i="7" a="1"/>
  <c r="AH20" i="7"/>
  <c r="AH21" i="7" a="1"/>
  <c r="AH21" i="7"/>
  <c r="AH22" i="7" a="1"/>
  <c r="AH22" i="7"/>
  <c r="AH23" i="7" a="1"/>
  <c r="AH23" i="7"/>
  <c r="AH24" i="7" a="1"/>
  <c r="AH24" i="7"/>
  <c r="AH25" i="7" a="1"/>
  <c r="AH25" i="7"/>
  <c r="AH26" i="7" a="1"/>
  <c r="AH26" i="7"/>
  <c r="AH27" i="7" a="1"/>
  <c r="AH27" i="7"/>
  <c r="AH28" i="7" a="1"/>
  <c r="AH28" i="7"/>
  <c r="AH29" i="7" a="1"/>
  <c r="AH29" i="7"/>
  <c r="AH30" i="7" a="1"/>
  <c r="AH30" i="7"/>
  <c r="AH31" i="7" a="1"/>
  <c r="AH31" i="7"/>
  <c r="AH32" i="7" a="1"/>
  <c r="AH32" i="7"/>
  <c r="AH33" i="7" a="1"/>
  <c r="AH33" i="7"/>
  <c r="AH34" i="7" a="1"/>
  <c r="AH34" i="7"/>
  <c r="AH35" i="7" a="1"/>
  <c r="AH35" i="7"/>
  <c r="AH36" i="7" a="1"/>
  <c r="AH36" i="7"/>
  <c r="AH37" i="7" a="1"/>
  <c r="AH37" i="7"/>
  <c r="AH8" i="7" a="1"/>
  <c r="AH8" i="7"/>
  <c r="AF9" i="7"/>
  <c r="AF10" i="7"/>
  <c r="AF11" i="7"/>
  <c r="AF12" i="7"/>
  <c r="AF13" i="7"/>
  <c r="AF14" i="7"/>
  <c r="AF15" i="7"/>
  <c r="AF16" i="7"/>
  <c r="AF17" i="7"/>
  <c r="AF18" i="7"/>
  <c r="AF19" i="7"/>
  <c r="AF20" i="7"/>
  <c r="AF21" i="7"/>
  <c r="AF22" i="7"/>
  <c r="AF23" i="7"/>
  <c r="AF24" i="7"/>
  <c r="AF25" i="7"/>
  <c r="AF26" i="7"/>
  <c r="AF27" i="7"/>
  <c r="AF28" i="7"/>
  <c r="AF29" i="7"/>
  <c r="AF30" i="7"/>
  <c r="AF31" i="7"/>
  <c r="AF32" i="7"/>
  <c r="AF33" i="7"/>
  <c r="AF34" i="7"/>
  <c r="AF35" i="7"/>
  <c r="AF36" i="7"/>
  <c r="AF37" i="7"/>
  <c r="AF8" i="7"/>
  <c r="Y9" i="7" a="1"/>
  <c r="Y9" i="7"/>
  <c r="Y10" i="7" a="1"/>
  <c r="Y10" i="7"/>
  <c r="Y11" i="7" a="1"/>
  <c r="Y11" i="7"/>
  <c r="Y12" i="7" a="1"/>
  <c r="Y12" i="7"/>
  <c r="Y13" i="7" a="1"/>
  <c r="Y13" i="7"/>
  <c r="Y14" i="7" a="1"/>
  <c r="Y14" i="7"/>
  <c r="Y15" i="7" a="1"/>
  <c r="Y15" i="7"/>
  <c r="Y16" i="7" a="1"/>
  <c r="Y16" i="7"/>
  <c r="Y17" i="7" a="1"/>
  <c r="Y17" i="7"/>
  <c r="Y18" i="7" a="1"/>
  <c r="Y18" i="7"/>
  <c r="Y19" i="7" a="1"/>
  <c r="Y19" i="7"/>
  <c r="Y20" i="7" a="1"/>
  <c r="Y20" i="7"/>
  <c r="Y21" i="7" a="1"/>
  <c r="Y21" i="7"/>
  <c r="Y22" i="7" a="1"/>
  <c r="Y22" i="7"/>
  <c r="Y23" i="7" a="1"/>
  <c r="Y23" i="7"/>
  <c r="Y24" i="7" a="1"/>
  <c r="Y24" i="7"/>
  <c r="Y25" i="7" a="1"/>
  <c r="Y25" i="7"/>
  <c r="Y26" i="7" a="1"/>
  <c r="Y26" i="7"/>
  <c r="Y27" i="7" a="1"/>
  <c r="Y27" i="7"/>
  <c r="Y28" i="7" a="1"/>
  <c r="Y28" i="7"/>
  <c r="Y29" i="7" a="1"/>
  <c r="Y29" i="7"/>
  <c r="Y30" i="7" a="1"/>
  <c r="Y30" i="7"/>
  <c r="Y31" i="7" a="1"/>
  <c r="Y31" i="7"/>
  <c r="Y32" i="7" a="1"/>
  <c r="Y32" i="7"/>
  <c r="Y33" i="7" a="1"/>
  <c r="Y33" i="7"/>
  <c r="Y34" i="7" a="1"/>
  <c r="Y34" i="7"/>
  <c r="Y35" i="7" a="1"/>
  <c r="Y35" i="7"/>
  <c r="Y36" i="7" a="1"/>
  <c r="Y36" i="7"/>
  <c r="Y37" i="7" a="1"/>
  <c r="Y37" i="7"/>
  <c r="Y8" i="7" a="1"/>
  <c r="Y8" i="7"/>
  <c r="W9" i="7"/>
  <c r="W10" i="7"/>
  <c r="W11" i="7"/>
  <c r="W12" i="7"/>
  <c r="W13" i="7"/>
  <c r="W14" i="7"/>
  <c r="W15" i="7"/>
  <c r="W16" i="7"/>
  <c r="W17" i="7"/>
  <c r="W18" i="7"/>
  <c r="W19" i="7"/>
  <c r="W20" i="7"/>
  <c r="W21" i="7"/>
  <c r="W22" i="7"/>
  <c r="W23" i="7"/>
  <c r="W24" i="7"/>
  <c r="W25" i="7"/>
  <c r="W26" i="7"/>
  <c r="W27" i="7"/>
  <c r="W28" i="7"/>
  <c r="W29" i="7"/>
  <c r="W30" i="7"/>
  <c r="W31" i="7"/>
  <c r="W32" i="7"/>
  <c r="W33" i="7"/>
  <c r="W34" i="7"/>
  <c r="W35" i="7"/>
  <c r="W36" i="7"/>
  <c r="W37" i="7"/>
  <c r="W8" i="7"/>
  <c r="N9" i="7"/>
  <c r="N10" i="7"/>
  <c r="N11" i="7"/>
  <c r="N12" i="7"/>
  <c r="N13" i="7"/>
  <c r="N14" i="7"/>
  <c r="N15" i="7"/>
  <c r="N16" i="7"/>
  <c r="N17" i="7"/>
  <c r="N18" i="7"/>
  <c r="N19" i="7"/>
  <c r="N20" i="7"/>
  <c r="N21" i="7"/>
  <c r="N22" i="7"/>
  <c r="N23" i="7"/>
  <c r="N24" i="7"/>
  <c r="N25" i="7"/>
  <c r="N26" i="7"/>
  <c r="N27" i="7"/>
  <c r="N28" i="7"/>
  <c r="N29" i="7"/>
  <c r="N30" i="7"/>
  <c r="N31" i="7"/>
  <c r="N32" i="7"/>
  <c r="N33" i="7"/>
  <c r="N34" i="7"/>
  <c r="N35" i="7"/>
  <c r="N36" i="7"/>
  <c r="N37" i="7"/>
  <c r="N8" i="7"/>
  <c r="P9" i="7" a="1"/>
  <c r="P9" i="7"/>
  <c r="P10" i="7" a="1"/>
  <c r="P10" i="7"/>
  <c r="P11" i="7" a="1"/>
  <c r="P11" i="7"/>
  <c r="P12" i="7" a="1"/>
  <c r="P12" i="7"/>
  <c r="P13" i="7" a="1"/>
  <c r="P13" i="7"/>
  <c r="P14" i="7" a="1"/>
  <c r="P14" i="7"/>
  <c r="P15" i="7" a="1"/>
  <c r="P15" i="7"/>
  <c r="P16" i="7" a="1"/>
  <c r="P16" i="7"/>
  <c r="P17" i="7" a="1"/>
  <c r="P17" i="7"/>
  <c r="P18" i="7" a="1"/>
  <c r="P18" i="7"/>
  <c r="P19" i="7" a="1"/>
  <c r="P19" i="7"/>
  <c r="P20" i="7" a="1"/>
  <c r="P20" i="7"/>
  <c r="P21" i="7" a="1"/>
  <c r="P21" i="7"/>
  <c r="P22" i="7" a="1"/>
  <c r="P22" i="7"/>
  <c r="P23" i="7" a="1"/>
  <c r="P23" i="7"/>
  <c r="P24" i="7" a="1"/>
  <c r="P24" i="7"/>
  <c r="P25" i="7" a="1"/>
  <c r="P25" i="7"/>
  <c r="P26" i="7" a="1"/>
  <c r="P26" i="7"/>
  <c r="P27" i="7" a="1"/>
  <c r="P27" i="7"/>
  <c r="P28" i="7" a="1"/>
  <c r="P28" i="7"/>
  <c r="P29" i="7" a="1"/>
  <c r="P29" i="7"/>
  <c r="P30" i="7" a="1"/>
  <c r="P30" i="7"/>
  <c r="P31" i="7" a="1"/>
  <c r="P31" i="7"/>
  <c r="P32" i="7" a="1"/>
  <c r="P32" i="7"/>
  <c r="P33" i="7" a="1"/>
  <c r="P33" i="7"/>
  <c r="P34" i="7" a="1"/>
  <c r="P34" i="7"/>
  <c r="P35" i="7" a="1"/>
  <c r="P35" i="7"/>
  <c r="P36" i="7" a="1"/>
  <c r="P36" i="7"/>
  <c r="P37" i="7" a="1"/>
  <c r="P37" i="7"/>
  <c r="AF7" i="7"/>
  <c r="W7" i="7"/>
  <c r="Y7" i="7"/>
  <c r="P8" i="7" a="1"/>
  <c r="P8" i="7"/>
  <c r="P7" i="7"/>
  <c r="N7" i="7"/>
  <c r="P38" i="7"/>
  <c r="AK7" i="5"/>
  <c r="T11" i="2"/>
  <c r="R11" i="2"/>
  <c r="X11" i="2"/>
  <c r="AB11" i="2"/>
  <c r="T10" i="2"/>
  <c r="R10" i="2"/>
  <c r="X10" i="2"/>
  <c r="AB10" i="2"/>
  <c r="R9" i="2"/>
  <c r="X9" i="2"/>
  <c r="T9" i="2"/>
  <c r="AB9" i="2"/>
  <c r="T12" i="2"/>
  <c r="R12" i="2"/>
  <c r="X12" i="2"/>
  <c r="AB12" i="2"/>
  <c r="T13" i="2"/>
  <c r="R13" i="2"/>
  <c r="X13" i="2"/>
  <c r="AB13" i="2"/>
  <c r="T14" i="2"/>
  <c r="R14" i="2"/>
  <c r="X14" i="2"/>
  <c r="AB14" i="2"/>
  <c r="T15" i="2"/>
  <c r="R15" i="2"/>
  <c r="X15" i="2"/>
  <c r="AB15" i="2"/>
  <c r="T16" i="2"/>
  <c r="R16" i="2"/>
  <c r="X16" i="2"/>
  <c r="AB16" i="2"/>
  <c r="T17" i="2"/>
  <c r="R17" i="2"/>
  <c r="X17" i="2"/>
  <c r="AB17" i="2"/>
  <c r="T18" i="2"/>
  <c r="R18" i="2"/>
  <c r="X18" i="2"/>
  <c r="AB18" i="2"/>
  <c r="T19" i="2"/>
  <c r="R19" i="2"/>
  <c r="X19" i="2"/>
  <c r="AB19" i="2"/>
  <c r="T20" i="2"/>
  <c r="R20" i="2"/>
  <c r="X20" i="2"/>
  <c r="AB20" i="2"/>
  <c r="T21" i="2"/>
  <c r="R21" i="2"/>
  <c r="X21" i="2"/>
  <c r="AB21" i="2"/>
  <c r="T22" i="2"/>
  <c r="R22" i="2"/>
  <c r="X22" i="2"/>
  <c r="AB22" i="2"/>
  <c r="T23" i="2"/>
  <c r="R23" i="2"/>
  <c r="X23" i="2"/>
  <c r="AB23" i="2"/>
  <c r="T24" i="2"/>
  <c r="R24" i="2"/>
  <c r="X24" i="2"/>
  <c r="AB24" i="2"/>
  <c r="T25" i="2"/>
  <c r="R25" i="2"/>
  <c r="X25" i="2"/>
  <c r="AB25" i="2"/>
  <c r="T26" i="2"/>
  <c r="R26" i="2"/>
  <c r="X26" i="2"/>
  <c r="AB26" i="2"/>
  <c r="T27" i="2"/>
  <c r="R27" i="2"/>
  <c r="X27" i="2"/>
  <c r="AB27" i="2"/>
  <c r="T28" i="2"/>
  <c r="R28" i="2"/>
  <c r="X28" i="2"/>
  <c r="AB28" i="2"/>
  <c r="T29" i="2"/>
  <c r="R29" i="2"/>
  <c r="X29" i="2"/>
  <c r="AB29" i="2"/>
  <c r="T30" i="2"/>
  <c r="R30" i="2"/>
  <c r="X30" i="2"/>
  <c r="AB30" i="2"/>
  <c r="T31" i="2"/>
  <c r="R31" i="2"/>
  <c r="X31" i="2"/>
  <c r="AB31" i="2"/>
  <c r="T32" i="2"/>
  <c r="R32" i="2"/>
  <c r="X32" i="2"/>
  <c r="AB32" i="2"/>
  <c r="T33" i="2"/>
  <c r="R33" i="2"/>
  <c r="X33" i="2"/>
  <c r="AB33" i="2"/>
  <c r="T34" i="2"/>
  <c r="R34" i="2"/>
  <c r="X34" i="2"/>
  <c r="AB34" i="2"/>
  <c r="T35" i="2"/>
  <c r="AB35" i="2"/>
  <c r="T36" i="2"/>
  <c r="AB36" i="2"/>
  <c r="T37" i="2"/>
  <c r="AB37" i="2"/>
  <c r="T38" i="2"/>
  <c r="AB38" i="2"/>
  <c r="AC9" i="2"/>
  <c r="AN8" i="8"/>
  <c r="C9" i="2"/>
  <c r="Q10" i="2"/>
  <c r="Q11" i="2"/>
  <c r="Q12" i="2"/>
  <c r="Q13" i="2"/>
  <c r="Q14" i="2"/>
  <c r="Q15" i="2"/>
  <c r="Q16" i="2"/>
  <c r="Q17" i="2"/>
  <c r="Q18" i="2"/>
  <c r="Q19" i="2"/>
  <c r="Q20" i="2"/>
  <c r="Q21" i="2"/>
  <c r="Q22" i="2"/>
  <c r="Q23" i="2"/>
  <c r="Q24" i="2"/>
  <c r="Q25" i="2"/>
  <c r="Q26" i="2"/>
  <c r="Q27" i="2"/>
  <c r="Q28" i="2"/>
  <c r="Q29" i="2"/>
  <c r="Q30" i="2"/>
  <c r="Q31" i="2"/>
  <c r="Q32" i="2"/>
  <c r="Q33" i="2"/>
  <c r="Q34" i="2"/>
  <c r="Q35" i="2"/>
  <c r="Q36" i="2"/>
  <c r="Q37" i="2"/>
  <c r="Q38" i="2"/>
  <c r="Q9" i="2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O9" i="2"/>
  <c r="W38" i="6"/>
  <c r="R8" i="8"/>
  <c r="AC8" i="8"/>
  <c r="R17" i="8"/>
  <c r="C18" i="2"/>
  <c r="R18" i="8"/>
  <c r="C19" i="2"/>
  <c r="R19" i="8"/>
  <c r="C20" i="2"/>
  <c r="R20" i="8"/>
  <c r="C21" i="2"/>
  <c r="R21" i="8"/>
  <c r="C22" i="2"/>
  <c r="R22" i="8"/>
  <c r="C23" i="2"/>
  <c r="R23" i="8"/>
  <c r="C24" i="2"/>
  <c r="R24" i="8"/>
  <c r="C25" i="2"/>
  <c r="R25" i="8"/>
  <c r="C26" i="2"/>
  <c r="R26" i="8"/>
  <c r="C27" i="2"/>
  <c r="R27" i="8"/>
  <c r="C28" i="2"/>
  <c r="R28" i="8"/>
  <c r="C29" i="2"/>
  <c r="R29" i="8"/>
  <c r="C30" i="2"/>
  <c r="R30" i="8"/>
  <c r="C31" i="2"/>
  <c r="R31" i="8"/>
  <c r="C32" i="2"/>
  <c r="R32" i="8"/>
  <c r="C33" i="2"/>
  <c r="R33" i="8"/>
  <c r="C34" i="2"/>
  <c r="R34" i="8"/>
  <c r="C35" i="2"/>
  <c r="R35" i="8"/>
  <c r="C36" i="2"/>
  <c r="R36" i="8"/>
  <c r="C37" i="2"/>
  <c r="R37" i="8"/>
  <c r="C38" i="2"/>
  <c r="O8" i="6"/>
  <c r="O9" i="6"/>
  <c r="O10" i="6"/>
  <c r="O11" i="6"/>
  <c r="O12" i="6"/>
  <c r="O13" i="6"/>
  <c r="O14" i="6"/>
  <c r="O15" i="6"/>
  <c r="O16" i="6"/>
  <c r="O17" i="6"/>
  <c r="O18" i="6"/>
  <c r="O19" i="6"/>
  <c r="O20" i="6"/>
  <c r="O21" i="6"/>
  <c r="O22" i="6"/>
  <c r="O23" i="6"/>
  <c r="O24" i="6"/>
  <c r="O25" i="6"/>
  <c r="O26" i="6"/>
  <c r="O27" i="6"/>
  <c r="O28" i="6"/>
  <c r="O29" i="6"/>
  <c r="O30" i="6"/>
  <c r="O31" i="6"/>
  <c r="O32" i="6"/>
  <c r="O33" i="6"/>
  <c r="O34" i="6"/>
  <c r="O35" i="6"/>
  <c r="O36" i="6"/>
  <c r="O37" i="6"/>
  <c r="O38" i="6"/>
  <c r="AH7" i="7"/>
  <c r="V9" i="2"/>
  <c r="E9" i="2"/>
  <c r="AF9" i="2"/>
  <c r="AG9" i="2"/>
  <c r="AI9" i="2"/>
  <c r="V10" i="2"/>
  <c r="AN9" i="8"/>
  <c r="E10" i="2"/>
  <c r="AF10" i="2"/>
  <c r="AG10" i="2"/>
  <c r="AI10" i="2"/>
  <c r="V11" i="2"/>
  <c r="AN10" i="8"/>
  <c r="E11" i="2"/>
  <c r="AF11" i="2"/>
  <c r="AG11" i="2"/>
  <c r="AI11" i="2"/>
  <c r="V12" i="2"/>
  <c r="AN11" i="8"/>
  <c r="E12" i="2"/>
  <c r="AF12" i="2"/>
  <c r="AG12" i="2"/>
  <c r="AI12" i="2"/>
  <c r="V13" i="2"/>
  <c r="AN12" i="8"/>
  <c r="E13" i="2"/>
  <c r="AF13" i="2"/>
  <c r="AG13" i="2"/>
  <c r="AI13" i="2"/>
  <c r="V14" i="2"/>
  <c r="AN13" i="8"/>
  <c r="E14" i="2"/>
  <c r="AF14" i="2"/>
  <c r="AG14" i="2"/>
  <c r="AI14" i="2"/>
  <c r="V15" i="2"/>
  <c r="AN14" i="8"/>
  <c r="E15" i="2"/>
  <c r="AF15" i="2"/>
  <c r="AG15" i="2"/>
  <c r="AI15" i="2"/>
  <c r="V16" i="2"/>
  <c r="AN15" i="8"/>
  <c r="E16" i="2"/>
  <c r="AF16" i="2"/>
  <c r="AG16" i="2"/>
  <c r="AI16" i="2"/>
  <c r="V17" i="2"/>
  <c r="AN16" i="8"/>
  <c r="E17" i="2"/>
  <c r="AF17" i="2"/>
  <c r="AG17" i="2"/>
  <c r="AI17" i="2"/>
  <c r="V18" i="2"/>
  <c r="AN17" i="8"/>
  <c r="E18" i="2"/>
  <c r="AF18" i="2"/>
  <c r="AG18" i="2"/>
  <c r="AI18" i="2"/>
  <c r="V19" i="2"/>
  <c r="AN18" i="8"/>
  <c r="E19" i="2"/>
  <c r="AF19" i="2"/>
  <c r="AG19" i="2"/>
  <c r="AI19" i="2"/>
  <c r="V20" i="2"/>
  <c r="AN19" i="8"/>
  <c r="E20" i="2"/>
  <c r="AF20" i="2"/>
  <c r="AG20" i="2"/>
  <c r="AI20" i="2"/>
  <c r="V21" i="2"/>
  <c r="AN20" i="8"/>
  <c r="E21" i="2"/>
  <c r="AF21" i="2"/>
  <c r="AG21" i="2"/>
  <c r="AI21" i="2"/>
  <c r="V22" i="2"/>
  <c r="AN21" i="8"/>
  <c r="E22" i="2"/>
  <c r="AF22" i="2"/>
  <c r="AG22" i="2"/>
  <c r="AI22" i="2"/>
  <c r="V23" i="2"/>
  <c r="AN22" i="8"/>
  <c r="E23" i="2"/>
  <c r="AF23" i="2"/>
  <c r="AG23" i="2"/>
  <c r="AI23" i="2"/>
  <c r="V24" i="2"/>
  <c r="AN23" i="8"/>
  <c r="E24" i="2"/>
  <c r="AF24" i="2"/>
  <c r="AG24" i="2"/>
  <c r="AI24" i="2"/>
  <c r="V25" i="2"/>
  <c r="AN24" i="8"/>
  <c r="E25" i="2"/>
  <c r="AF25" i="2"/>
  <c r="AG25" i="2"/>
  <c r="AI25" i="2"/>
  <c r="V26" i="2"/>
  <c r="AN25" i="8"/>
  <c r="E26" i="2"/>
  <c r="AF26" i="2"/>
  <c r="AG26" i="2"/>
  <c r="AI26" i="2"/>
  <c r="V27" i="2"/>
  <c r="AN26" i="8"/>
  <c r="E27" i="2"/>
  <c r="AF27" i="2"/>
  <c r="AG27" i="2"/>
  <c r="AI27" i="2"/>
  <c r="V28" i="2"/>
  <c r="AN27" i="8"/>
  <c r="E28" i="2"/>
  <c r="AF28" i="2"/>
  <c r="AG28" i="2"/>
  <c r="AI28" i="2"/>
  <c r="V29" i="2"/>
  <c r="AN28" i="8"/>
  <c r="E29" i="2"/>
  <c r="AF29" i="2"/>
  <c r="AG29" i="2"/>
  <c r="AI29" i="2"/>
  <c r="V30" i="2"/>
  <c r="AN29" i="8"/>
  <c r="E30" i="2"/>
  <c r="AF30" i="2"/>
  <c r="AG30" i="2"/>
  <c r="AI30" i="2"/>
  <c r="V31" i="2"/>
  <c r="AN30" i="8"/>
  <c r="E31" i="2"/>
  <c r="AF31" i="2"/>
  <c r="AG31" i="2"/>
  <c r="AI31" i="2"/>
  <c r="V32" i="2"/>
  <c r="AN31" i="8"/>
  <c r="E32" i="2"/>
  <c r="AF32" i="2"/>
  <c r="AG32" i="2"/>
  <c r="AI32" i="2"/>
  <c r="V33" i="2"/>
  <c r="AN32" i="8"/>
  <c r="E33" i="2"/>
  <c r="AF33" i="2"/>
  <c r="AG33" i="2"/>
  <c r="AI33" i="2"/>
  <c r="V34" i="2"/>
  <c r="AN33" i="8"/>
  <c r="E34" i="2"/>
  <c r="AF34" i="2"/>
  <c r="AG34" i="2"/>
  <c r="AI34" i="2"/>
  <c r="V35" i="2"/>
  <c r="AN34" i="8"/>
  <c r="E35" i="2"/>
  <c r="AF35" i="2"/>
  <c r="AG35" i="2"/>
  <c r="AI35" i="2"/>
  <c r="V36" i="2"/>
  <c r="AN35" i="8"/>
  <c r="E36" i="2"/>
  <c r="AF36" i="2"/>
  <c r="AG36" i="2"/>
  <c r="AI36" i="2"/>
  <c r="V37" i="2"/>
  <c r="AN36" i="8"/>
  <c r="E37" i="2"/>
  <c r="AF37" i="2"/>
  <c r="AG37" i="2"/>
  <c r="AI37" i="2"/>
  <c r="V38" i="2"/>
  <c r="AN37" i="8"/>
  <c r="E38" i="2"/>
  <c r="AF38" i="2"/>
  <c r="AG38" i="2"/>
  <c r="AI38" i="2"/>
  <c r="AC48" i="2"/>
  <c r="AC47" i="2"/>
  <c r="AC46" i="2"/>
  <c r="AC45" i="2"/>
  <c r="AC44" i="2"/>
  <c r="D9" i="2"/>
  <c r="AE9" i="2"/>
  <c r="R9" i="8"/>
  <c r="C10" i="2"/>
  <c r="AC9" i="8"/>
  <c r="D10" i="2"/>
  <c r="AC10" i="2"/>
  <c r="AE10" i="2"/>
  <c r="R10" i="8"/>
  <c r="C11" i="2"/>
  <c r="AC10" i="8"/>
  <c r="D11" i="2"/>
  <c r="AC11" i="2"/>
  <c r="AE11" i="2"/>
  <c r="R11" i="8"/>
  <c r="C12" i="2"/>
  <c r="AC11" i="8"/>
  <c r="D12" i="2"/>
  <c r="AC12" i="2"/>
  <c r="AE12" i="2"/>
  <c r="R12" i="8"/>
  <c r="C13" i="2"/>
  <c r="AC12" i="8"/>
  <c r="D13" i="2"/>
  <c r="AC13" i="2"/>
  <c r="AE13" i="2"/>
  <c r="R13" i="8"/>
  <c r="C14" i="2"/>
  <c r="AC13" i="8"/>
  <c r="D14" i="2"/>
  <c r="AC14" i="2"/>
  <c r="AE14" i="2"/>
  <c r="R14" i="8"/>
  <c r="C15" i="2"/>
  <c r="AC14" i="8"/>
  <c r="D15" i="2"/>
  <c r="AC15" i="2"/>
  <c r="AE15" i="2"/>
  <c r="R15" i="8"/>
  <c r="C16" i="2"/>
  <c r="AC15" i="8"/>
  <c r="D16" i="2"/>
  <c r="AC16" i="2"/>
  <c r="AE16" i="2"/>
  <c r="R16" i="8"/>
  <c r="C17" i="2"/>
  <c r="AC16" i="8"/>
  <c r="D17" i="2"/>
  <c r="AC17" i="2"/>
  <c r="AE17" i="2"/>
  <c r="AC17" i="8"/>
  <c r="D18" i="2"/>
  <c r="AC18" i="2"/>
  <c r="AE18" i="2"/>
  <c r="AC18" i="8"/>
  <c r="D19" i="2"/>
  <c r="AC19" i="2"/>
  <c r="AE19" i="2"/>
  <c r="AC19" i="8"/>
  <c r="D20" i="2"/>
  <c r="AC20" i="2"/>
  <c r="AE20" i="2"/>
  <c r="AC20" i="8"/>
  <c r="D21" i="2"/>
  <c r="AC21" i="2"/>
  <c r="AE21" i="2"/>
  <c r="AC21" i="8"/>
  <c r="D22" i="2"/>
  <c r="AC22" i="2"/>
  <c r="AE22" i="2"/>
  <c r="AC22" i="8"/>
  <c r="D23" i="2"/>
  <c r="AC23" i="2"/>
  <c r="AE23" i="2"/>
  <c r="AC23" i="8"/>
  <c r="D24" i="2"/>
  <c r="AC24" i="2"/>
  <c r="AE24" i="2"/>
  <c r="AC24" i="8"/>
  <c r="D25" i="2"/>
  <c r="AC25" i="2"/>
  <c r="AE25" i="2"/>
  <c r="AC25" i="8"/>
  <c r="D26" i="2"/>
  <c r="AC26" i="2"/>
  <c r="AE26" i="2"/>
  <c r="AC26" i="8"/>
  <c r="D27" i="2"/>
  <c r="AC27" i="2"/>
  <c r="AE27" i="2"/>
  <c r="AC27" i="8"/>
  <c r="D28" i="2"/>
  <c r="AC28" i="2"/>
  <c r="AE28" i="2"/>
  <c r="AC28" i="8"/>
  <c r="D29" i="2"/>
  <c r="AC29" i="2"/>
  <c r="AE29" i="2"/>
  <c r="AC29" i="8"/>
  <c r="D30" i="2"/>
  <c r="AC30" i="2"/>
  <c r="AE30" i="2"/>
  <c r="AC30" i="8"/>
  <c r="D31" i="2"/>
  <c r="AC31" i="2"/>
  <c r="AE31" i="2"/>
  <c r="AC31" i="8"/>
  <c r="D32" i="2"/>
  <c r="AC32" i="2"/>
  <c r="AE32" i="2"/>
  <c r="AC32" i="8"/>
  <c r="D33" i="2"/>
  <c r="AC33" i="2"/>
  <c r="AE33" i="2"/>
  <c r="AC33" i="8"/>
  <c r="D34" i="2"/>
  <c r="AC34" i="2"/>
  <c r="AE34" i="2"/>
  <c r="AC34" i="8"/>
  <c r="D35" i="2"/>
  <c r="AC35" i="2"/>
  <c r="AE35" i="2"/>
  <c r="AC35" i="8"/>
  <c r="D36" i="2"/>
  <c r="AC36" i="2"/>
  <c r="AE36" i="2"/>
  <c r="AC36" i="8"/>
  <c r="D37" i="2"/>
  <c r="AC37" i="2"/>
  <c r="AE37" i="2"/>
  <c r="AC37" i="8"/>
  <c r="D38" i="2"/>
  <c r="AC38" i="2"/>
  <c r="AE38" i="2"/>
  <c r="X48" i="2"/>
  <c r="X45" i="2"/>
  <c r="X46" i="2"/>
  <c r="X47" i="2"/>
  <c r="X44" i="2"/>
  <c r="AC43" i="2"/>
  <c r="Y9" i="2"/>
  <c r="Y10" i="2"/>
  <c r="AA10" i="2"/>
  <c r="Y11" i="2"/>
  <c r="AA11" i="2"/>
  <c r="Y12" i="2"/>
  <c r="AA12" i="2"/>
  <c r="Y13" i="2"/>
  <c r="AA13" i="2"/>
  <c r="Y14" i="2"/>
  <c r="AA14" i="2"/>
  <c r="Y15" i="2"/>
  <c r="AA15" i="2"/>
  <c r="Y16" i="2"/>
  <c r="AA16" i="2"/>
  <c r="Y17" i="2"/>
  <c r="AA17" i="2"/>
  <c r="Y18" i="2"/>
  <c r="AA18" i="2"/>
  <c r="Y19" i="2"/>
  <c r="AA19" i="2"/>
  <c r="Y20" i="2"/>
  <c r="AA20" i="2"/>
  <c r="Y21" i="2"/>
  <c r="AA21" i="2"/>
  <c r="Y22" i="2"/>
  <c r="AA22" i="2"/>
  <c r="Y23" i="2"/>
  <c r="AA23" i="2"/>
  <c r="Y24" i="2"/>
  <c r="AA24" i="2"/>
  <c r="Y25" i="2"/>
  <c r="AA25" i="2"/>
  <c r="Y26" i="2"/>
  <c r="AA26" i="2"/>
  <c r="Y27" i="2"/>
  <c r="AA27" i="2"/>
  <c r="Y28" i="2"/>
  <c r="AA28" i="2"/>
  <c r="Y29" i="2"/>
  <c r="AA29" i="2"/>
  <c r="Y30" i="2"/>
  <c r="AA30" i="2"/>
  <c r="Y31" i="2"/>
  <c r="AA31" i="2"/>
  <c r="Y32" i="2"/>
  <c r="AA32" i="2"/>
  <c r="Y33" i="2"/>
  <c r="AA33" i="2"/>
  <c r="Y34" i="2"/>
  <c r="AA34" i="2"/>
  <c r="R45" i="2"/>
  <c r="R39" i="8"/>
  <c r="R40" i="8"/>
  <c r="X43" i="2"/>
  <c r="R44" i="2"/>
  <c r="R46" i="2"/>
  <c r="R47" i="2"/>
  <c r="R48" i="2"/>
  <c r="R43" i="2"/>
  <c r="G9" i="2"/>
  <c r="J9" i="2"/>
  <c r="M9" i="2"/>
  <c r="F9" i="2"/>
  <c r="I9" i="2"/>
  <c r="L9" i="2"/>
  <c r="G10" i="2"/>
  <c r="J10" i="2"/>
  <c r="M10" i="2"/>
  <c r="F10" i="2"/>
  <c r="I10" i="2"/>
  <c r="L10" i="2"/>
  <c r="G11" i="2"/>
  <c r="J11" i="2"/>
  <c r="M11" i="2"/>
  <c r="F11" i="2"/>
  <c r="I11" i="2"/>
  <c r="L11" i="2"/>
  <c r="G12" i="2"/>
  <c r="J12" i="2"/>
  <c r="M12" i="2"/>
  <c r="F12" i="2"/>
  <c r="I12" i="2"/>
  <c r="L12" i="2"/>
  <c r="G13" i="2"/>
  <c r="J13" i="2"/>
  <c r="M13" i="2"/>
  <c r="F13" i="2"/>
  <c r="I13" i="2"/>
  <c r="L13" i="2"/>
  <c r="G14" i="2"/>
  <c r="J14" i="2"/>
  <c r="M14" i="2"/>
  <c r="F14" i="2"/>
  <c r="I14" i="2"/>
  <c r="L14" i="2"/>
  <c r="G15" i="2"/>
  <c r="J15" i="2"/>
  <c r="M15" i="2"/>
  <c r="F15" i="2"/>
  <c r="I15" i="2"/>
  <c r="L15" i="2"/>
  <c r="G16" i="2"/>
  <c r="J16" i="2"/>
  <c r="M16" i="2"/>
  <c r="F16" i="2"/>
  <c r="I16" i="2"/>
  <c r="L16" i="2"/>
  <c r="G17" i="2"/>
  <c r="J17" i="2"/>
  <c r="M17" i="2"/>
  <c r="F17" i="2"/>
  <c r="I17" i="2"/>
  <c r="L17" i="2"/>
  <c r="G18" i="2"/>
  <c r="J18" i="2"/>
  <c r="M18" i="2"/>
  <c r="F18" i="2"/>
  <c r="I18" i="2"/>
  <c r="L18" i="2"/>
  <c r="G19" i="2"/>
  <c r="J19" i="2"/>
  <c r="M19" i="2"/>
  <c r="F19" i="2"/>
  <c r="I19" i="2"/>
  <c r="L19" i="2"/>
  <c r="G20" i="2"/>
  <c r="J20" i="2"/>
  <c r="M20" i="2"/>
  <c r="F20" i="2"/>
  <c r="I20" i="2"/>
  <c r="L20" i="2"/>
  <c r="G21" i="2"/>
  <c r="J21" i="2"/>
  <c r="M21" i="2"/>
  <c r="F21" i="2"/>
  <c r="I21" i="2"/>
  <c r="L21" i="2"/>
  <c r="G22" i="2"/>
  <c r="J22" i="2"/>
  <c r="M22" i="2"/>
  <c r="F22" i="2"/>
  <c r="I22" i="2"/>
  <c r="L22" i="2"/>
  <c r="G23" i="2"/>
  <c r="J23" i="2"/>
  <c r="M23" i="2"/>
  <c r="F23" i="2"/>
  <c r="I23" i="2"/>
  <c r="L23" i="2"/>
  <c r="G24" i="2"/>
  <c r="J24" i="2"/>
  <c r="M24" i="2"/>
  <c r="F24" i="2"/>
  <c r="I24" i="2"/>
  <c r="L24" i="2"/>
  <c r="G25" i="2"/>
  <c r="J25" i="2"/>
  <c r="M25" i="2"/>
  <c r="F25" i="2"/>
  <c r="I25" i="2"/>
  <c r="L25" i="2"/>
  <c r="G26" i="2"/>
  <c r="J26" i="2"/>
  <c r="M26" i="2"/>
  <c r="F26" i="2"/>
  <c r="I26" i="2"/>
  <c r="L26" i="2"/>
  <c r="G27" i="2"/>
  <c r="J27" i="2"/>
  <c r="M27" i="2"/>
  <c r="F27" i="2"/>
  <c r="I27" i="2"/>
  <c r="L27" i="2"/>
  <c r="G28" i="2"/>
  <c r="J28" i="2"/>
  <c r="M28" i="2"/>
  <c r="F28" i="2"/>
  <c r="I28" i="2"/>
  <c r="L28" i="2"/>
  <c r="G29" i="2"/>
  <c r="J29" i="2"/>
  <c r="M29" i="2"/>
  <c r="F29" i="2"/>
  <c r="I29" i="2"/>
  <c r="L29" i="2"/>
  <c r="G30" i="2"/>
  <c r="J30" i="2"/>
  <c r="M30" i="2"/>
  <c r="F30" i="2"/>
  <c r="I30" i="2"/>
  <c r="L30" i="2"/>
  <c r="G31" i="2"/>
  <c r="J31" i="2"/>
  <c r="M31" i="2"/>
  <c r="F31" i="2"/>
  <c r="I31" i="2"/>
  <c r="L31" i="2"/>
  <c r="G32" i="2"/>
  <c r="J32" i="2"/>
  <c r="M32" i="2"/>
  <c r="F32" i="2"/>
  <c r="I32" i="2"/>
  <c r="L32" i="2"/>
  <c r="G33" i="2"/>
  <c r="J33" i="2"/>
  <c r="M33" i="2"/>
  <c r="F33" i="2"/>
  <c r="I33" i="2"/>
  <c r="L33" i="2"/>
  <c r="G34" i="2"/>
  <c r="J34" i="2"/>
  <c r="M34" i="2"/>
  <c r="F34" i="2"/>
  <c r="I34" i="2"/>
  <c r="L34" i="2"/>
  <c r="G35" i="2"/>
  <c r="J35" i="2"/>
  <c r="M35" i="2"/>
  <c r="G36" i="2"/>
  <c r="J36" i="2"/>
  <c r="M36" i="2"/>
  <c r="G37" i="2"/>
  <c r="J37" i="2"/>
  <c r="M37" i="2"/>
  <c r="G38" i="2"/>
  <c r="J38" i="2"/>
  <c r="M38" i="2"/>
  <c r="H9" i="2"/>
  <c r="K9" i="2"/>
  <c r="N9" i="2"/>
  <c r="H10" i="2"/>
  <c r="K10" i="2"/>
  <c r="N10" i="2"/>
  <c r="H11" i="2"/>
  <c r="K11" i="2"/>
  <c r="N11" i="2"/>
  <c r="H12" i="2"/>
  <c r="K12" i="2"/>
  <c r="N12" i="2"/>
  <c r="H13" i="2"/>
  <c r="K13" i="2"/>
  <c r="N13" i="2"/>
  <c r="H14" i="2"/>
  <c r="K14" i="2"/>
  <c r="N14" i="2"/>
  <c r="H15" i="2"/>
  <c r="K15" i="2"/>
  <c r="N15" i="2"/>
  <c r="H16" i="2"/>
  <c r="K16" i="2"/>
  <c r="N16" i="2"/>
  <c r="H17" i="2"/>
  <c r="K17" i="2"/>
  <c r="N17" i="2"/>
  <c r="H18" i="2"/>
  <c r="K18" i="2"/>
  <c r="N18" i="2"/>
  <c r="H19" i="2"/>
  <c r="K19" i="2"/>
  <c r="N19" i="2"/>
  <c r="H20" i="2"/>
  <c r="K20" i="2"/>
  <c r="N20" i="2"/>
  <c r="H21" i="2"/>
  <c r="K21" i="2"/>
  <c r="N21" i="2"/>
  <c r="H22" i="2"/>
  <c r="K22" i="2"/>
  <c r="N22" i="2"/>
  <c r="H23" i="2"/>
  <c r="K23" i="2"/>
  <c r="N23" i="2"/>
  <c r="H24" i="2"/>
  <c r="K24" i="2"/>
  <c r="N24" i="2"/>
  <c r="H25" i="2"/>
  <c r="K25" i="2"/>
  <c r="N25" i="2"/>
  <c r="H26" i="2"/>
  <c r="K26" i="2"/>
  <c r="N26" i="2"/>
  <c r="H27" i="2"/>
  <c r="K27" i="2"/>
  <c r="N27" i="2"/>
  <c r="H28" i="2"/>
  <c r="K28" i="2"/>
  <c r="N28" i="2"/>
  <c r="H29" i="2"/>
  <c r="K29" i="2"/>
  <c r="N29" i="2"/>
  <c r="H30" i="2"/>
  <c r="K30" i="2"/>
  <c r="N30" i="2"/>
  <c r="H31" i="2"/>
  <c r="K31" i="2"/>
  <c r="N31" i="2"/>
  <c r="H32" i="2"/>
  <c r="K32" i="2"/>
  <c r="N32" i="2"/>
  <c r="H33" i="2"/>
  <c r="K33" i="2"/>
  <c r="N33" i="2"/>
  <c r="H34" i="2"/>
  <c r="K34" i="2"/>
  <c r="N34" i="2"/>
  <c r="H35" i="2"/>
  <c r="K35" i="2"/>
  <c r="N35" i="2"/>
  <c r="H36" i="2"/>
  <c r="K36" i="2"/>
  <c r="N36" i="2"/>
  <c r="H37" i="2"/>
  <c r="K37" i="2"/>
  <c r="N37" i="2"/>
  <c r="H38" i="2"/>
  <c r="K38" i="2"/>
  <c r="N38" i="2"/>
  <c r="F35" i="2"/>
  <c r="I35" i="2"/>
  <c r="L35" i="2"/>
  <c r="R35" i="2"/>
  <c r="X35" i="2"/>
  <c r="F36" i="2"/>
  <c r="I36" i="2"/>
  <c r="L36" i="2"/>
  <c r="R36" i="2"/>
  <c r="X36" i="2"/>
  <c r="F37" i="2"/>
  <c r="I37" i="2"/>
  <c r="L37" i="2"/>
  <c r="R37" i="2"/>
  <c r="X37" i="2"/>
  <c r="F38" i="2"/>
  <c r="I38" i="2"/>
  <c r="L38" i="2"/>
  <c r="R38" i="2"/>
  <c r="X38" i="2"/>
  <c r="A12" i="6"/>
  <c r="A13" i="6"/>
  <c r="A14" i="6"/>
  <c r="A15" i="6"/>
  <c r="A16" i="6"/>
  <c r="A17" i="6"/>
  <c r="A18" i="6"/>
  <c r="A19" i="6"/>
  <c r="A20" i="6"/>
  <c r="A21" i="6"/>
  <c r="A22" i="6"/>
  <c r="A23" i="6"/>
  <c r="A24" i="6"/>
  <c r="A25" i="6"/>
  <c r="A26" i="6"/>
  <c r="A27" i="6"/>
  <c r="A28" i="6"/>
  <c r="A29" i="6"/>
  <c r="A30" i="6"/>
  <c r="A31" i="6"/>
  <c r="A32" i="6"/>
  <c r="A33" i="6"/>
  <c r="A34" i="6"/>
  <c r="A35" i="6"/>
  <c r="A36" i="6"/>
  <c r="A37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36" i="6"/>
  <c r="B37" i="6"/>
  <c r="AD9" i="4"/>
  <c r="AZ9" i="5"/>
  <c r="AE9" i="6"/>
  <c r="AD10" i="4"/>
  <c r="AZ10" i="5"/>
  <c r="AE10" i="6"/>
  <c r="AD11" i="4"/>
  <c r="AZ11" i="5"/>
  <c r="AE11" i="6"/>
  <c r="AD12" i="4"/>
  <c r="AZ12" i="5"/>
  <c r="AE12" i="6"/>
  <c r="AD13" i="4"/>
  <c r="AZ13" i="5"/>
  <c r="AE13" i="6"/>
  <c r="AD14" i="4"/>
  <c r="AZ14" i="5"/>
  <c r="AE14" i="6"/>
  <c r="AD15" i="4"/>
  <c r="AZ15" i="5"/>
  <c r="AE15" i="6"/>
  <c r="AD16" i="4"/>
  <c r="AZ16" i="5"/>
  <c r="AE16" i="6"/>
  <c r="AD17" i="4"/>
  <c r="AZ17" i="5"/>
  <c r="AE17" i="6"/>
  <c r="AD18" i="4"/>
  <c r="AZ18" i="5"/>
  <c r="AE18" i="6"/>
  <c r="AD19" i="4"/>
  <c r="AZ19" i="5"/>
  <c r="AE19" i="6"/>
  <c r="AD20" i="4"/>
  <c r="AZ20" i="5"/>
  <c r="AE20" i="6"/>
  <c r="AD21" i="4"/>
  <c r="AZ21" i="5"/>
  <c r="AE21" i="6"/>
  <c r="AD22" i="4"/>
  <c r="AZ22" i="5"/>
  <c r="AE22" i="6"/>
  <c r="AD23" i="4"/>
  <c r="AZ23" i="5"/>
  <c r="AE23" i="6"/>
  <c r="AD24" i="4"/>
  <c r="AZ24" i="5"/>
  <c r="AE24" i="6"/>
  <c r="AD25" i="4"/>
  <c r="AZ25" i="5"/>
  <c r="AE25" i="6"/>
  <c r="AD26" i="4"/>
  <c r="AZ26" i="5"/>
  <c r="AE26" i="6"/>
  <c r="AD27" i="4"/>
  <c r="AZ27" i="5"/>
  <c r="AE27" i="6"/>
  <c r="AD28" i="4"/>
  <c r="AZ28" i="5"/>
  <c r="AE28" i="6"/>
  <c r="AD29" i="4"/>
  <c r="AZ29" i="5"/>
  <c r="AE29" i="6"/>
  <c r="AD30" i="4"/>
  <c r="AZ30" i="5"/>
  <c r="AE30" i="6"/>
  <c r="AD31" i="4"/>
  <c r="AZ31" i="5"/>
  <c r="AE31" i="6"/>
  <c r="AD32" i="4"/>
  <c r="AZ32" i="5"/>
  <c r="AE32" i="6"/>
  <c r="AD33" i="4"/>
  <c r="AZ33" i="5"/>
  <c r="AE33" i="6"/>
  <c r="AD34" i="4"/>
  <c r="AZ34" i="5"/>
  <c r="AE34" i="6"/>
  <c r="AD35" i="4"/>
  <c r="AZ35" i="5"/>
  <c r="AE35" i="6"/>
  <c r="AD36" i="4"/>
  <c r="AZ36" i="5"/>
  <c r="AE36" i="6"/>
  <c r="AD37" i="4"/>
  <c r="AZ37" i="5"/>
  <c r="AE37" i="6"/>
  <c r="AD8" i="4"/>
  <c r="AZ8" i="5"/>
  <c r="V9" i="4"/>
  <c r="AK9" i="5"/>
  <c r="W9" i="6"/>
  <c r="N9" i="4"/>
  <c r="V9" i="5"/>
  <c r="V10" i="4"/>
  <c r="AK10" i="5"/>
  <c r="W10" i="6"/>
  <c r="N10" i="4"/>
  <c r="V10" i="5"/>
  <c r="V11" i="4"/>
  <c r="AK11" i="5"/>
  <c r="W11" i="6"/>
  <c r="N11" i="4"/>
  <c r="V11" i="5"/>
  <c r="V12" i="4"/>
  <c r="AK12" i="5"/>
  <c r="W12" i="6"/>
  <c r="N12" i="4"/>
  <c r="V12" i="5"/>
  <c r="V13" i="4"/>
  <c r="AK13" i="5"/>
  <c r="W13" i="6"/>
  <c r="N13" i="4"/>
  <c r="V13" i="5"/>
  <c r="V14" i="4"/>
  <c r="AK14" i="5"/>
  <c r="W14" i="6"/>
  <c r="N14" i="4"/>
  <c r="V14" i="5"/>
  <c r="V15" i="4"/>
  <c r="AK15" i="5"/>
  <c r="W15" i="6"/>
  <c r="N15" i="4"/>
  <c r="V15" i="5"/>
  <c r="V16" i="4"/>
  <c r="AK16" i="5"/>
  <c r="W16" i="6"/>
  <c r="N16" i="4"/>
  <c r="V16" i="5"/>
  <c r="V17" i="4"/>
  <c r="AK17" i="5"/>
  <c r="W17" i="6"/>
  <c r="N17" i="4"/>
  <c r="V17" i="5"/>
  <c r="V18" i="4"/>
  <c r="AK18" i="5"/>
  <c r="W18" i="6"/>
  <c r="N18" i="4"/>
  <c r="V18" i="5"/>
  <c r="V19" i="4"/>
  <c r="AK19" i="5"/>
  <c r="W19" i="6"/>
  <c r="N19" i="4"/>
  <c r="V19" i="5"/>
  <c r="V20" i="4"/>
  <c r="AK20" i="5"/>
  <c r="W20" i="6"/>
  <c r="N20" i="4"/>
  <c r="V20" i="5"/>
  <c r="V21" i="4"/>
  <c r="AK21" i="5"/>
  <c r="W21" i="6"/>
  <c r="N21" i="4"/>
  <c r="V21" i="5"/>
  <c r="V22" i="4"/>
  <c r="AK22" i="5"/>
  <c r="W22" i="6"/>
  <c r="N22" i="4"/>
  <c r="V22" i="5"/>
  <c r="V23" i="4"/>
  <c r="AK23" i="5"/>
  <c r="W23" i="6"/>
  <c r="N23" i="4"/>
  <c r="V23" i="5"/>
  <c r="V24" i="4"/>
  <c r="AK24" i="5"/>
  <c r="W24" i="6"/>
  <c r="N24" i="4"/>
  <c r="V24" i="5"/>
  <c r="V25" i="4"/>
  <c r="AK25" i="5"/>
  <c r="W25" i="6"/>
  <c r="N25" i="4"/>
  <c r="V25" i="5"/>
  <c r="V26" i="4"/>
  <c r="AK26" i="5"/>
  <c r="W26" i="6"/>
  <c r="N26" i="4"/>
  <c r="V26" i="5"/>
  <c r="V27" i="4"/>
  <c r="AK27" i="5"/>
  <c r="W27" i="6"/>
  <c r="N27" i="4"/>
  <c r="V27" i="5"/>
  <c r="V28" i="4"/>
  <c r="AK28" i="5"/>
  <c r="W28" i="6"/>
  <c r="N28" i="4"/>
  <c r="V28" i="5"/>
  <c r="V29" i="4"/>
  <c r="AK29" i="5"/>
  <c r="W29" i="6"/>
  <c r="N29" i="4"/>
  <c r="V29" i="5"/>
  <c r="V30" i="4"/>
  <c r="AK30" i="5"/>
  <c r="W30" i="6"/>
  <c r="N30" i="4"/>
  <c r="V30" i="5"/>
  <c r="V31" i="4"/>
  <c r="AK31" i="5"/>
  <c r="W31" i="6"/>
  <c r="N31" i="4"/>
  <c r="V31" i="5"/>
  <c r="V32" i="4"/>
  <c r="AK32" i="5"/>
  <c r="W32" i="6"/>
  <c r="N32" i="4"/>
  <c r="V32" i="5"/>
  <c r="V33" i="4"/>
  <c r="AK33" i="5"/>
  <c r="W33" i="6"/>
  <c r="N33" i="4"/>
  <c r="V33" i="5"/>
  <c r="V34" i="4"/>
  <c r="AK34" i="5"/>
  <c r="W34" i="6"/>
  <c r="V35" i="4"/>
  <c r="AK35" i="5"/>
  <c r="W35" i="6"/>
  <c r="V36" i="4"/>
  <c r="AK36" i="5"/>
  <c r="W36" i="6"/>
  <c r="V37" i="4"/>
  <c r="AK37" i="5"/>
  <c r="W37" i="6"/>
  <c r="V8" i="4"/>
  <c r="AK8" i="5"/>
  <c r="W8" i="6"/>
  <c r="N8" i="4"/>
  <c r="V8" i="5"/>
  <c r="N34" i="4"/>
  <c r="V34" i="5"/>
  <c r="Y35" i="2"/>
  <c r="N35" i="4"/>
  <c r="V35" i="5"/>
  <c r="Y36" i="2"/>
  <c r="N36" i="4"/>
  <c r="V36" i="5"/>
  <c r="Y37" i="2"/>
  <c r="N37" i="4"/>
  <c r="V37" i="5"/>
  <c r="Y38" i="2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8" i="4"/>
  <c r="B8" i="4"/>
  <c r="AE7" i="6"/>
  <c r="W7" i="6"/>
  <c r="O7" i="6"/>
  <c r="AZ7" i="5"/>
  <c r="V7" i="5"/>
  <c r="R7" i="8"/>
  <c r="AD7" i="4"/>
  <c r="V7" i="4"/>
  <c r="N7" i="4"/>
  <c r="AN7" i="8"/>
  <c r="AC7" i="8"/>
  <c r="AE38" i="4"/>
  <c r="A9" i="6"/>
  <c r="A10" i="6"/>
  <c r="A11" i="6"/>
  <c r="A8" i="6"/>
  <c r="B8" i="6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4" i="5"/>
  <c r="B35" i="5"/>
  <c r="B36" i="5"/>
  <c r="B37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B9" i="8"/>
  <c r="B10" i="8"/>
  <c r="B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A9" i="8"/>
  <c r="A10" i="8"/>
  <c r="A11" i="8"/>
  <c r="A12" i="8"/>
  <c r="A13" i="8"/>
  <c r="A14" i="8"/>
  <c r="A15" i="8"/>
  <c r="A16" i="8"/>
  <c r="A17" i="8"/>
  <c r="A18" i="8"/>
  <c r="A19" i="8"/>
  <c r="A20" i="8"/>
  <c r="A21" i="8"/>
  <c r="A22" i="8"/>
  <c r="A23" i="8"/>
  <c r="A24" i="8"/>
  <c r="A25" i="8"/>
  <c r="A26" i="8"/>
  <c r="A27" i="8"/>
  <c r="A28" i="8"/>
  <c r="A29" i="8"/>
  <c r="A30" i="8"/>
  <c r="A31" i="8"/>
  <c r="A32" i="8"/>
  <c r="A33" i="8"/>
  <c r="A34" i="8"/>
  <c r="A35" i="8"/>
  <c r="A36" i="8"/>
  <c r="A37" i="8"/>
  <c r="B34" i="8"/>
  <c r="B35" i="8"/>
  <c r="B36" i="8"/>
  <c r="B37" i="8"/>
  <c r="B8" i="8"/>
  <c r="A8" i="8"/>
  <c r="AE39" i="4"/>
  <c r="AE40" i="4"/>
  <c r="W38" i="4"/>
  <c r="W39" i="4"/>
  <c r="W40" i="4"/>
  <c r="O38" i="4"/>
  <c r="O39" i="4"/>
  <c r="O40" i="4"/>
  <c r="S51" i="7"/>
  <c r="AZ40" i="5"/>
  <c r="AN40" i="8"/>
  <c r="R38" i="8"/>
  <c r="AN39" i="8"/>
  <c r="AC39" i="8"/>
  <c r="AC40" i="8"/>
  <c r="AN38" i="8"/>
  <c r="AC38" i="8"/>
  <c r="AH38" i="7"/>
  <c r="B37" i="7"/>
  <c r="A37" i="7"/>
  <c r="B36" i="7"/>
  <c r="A36" i="7"/>
  <c r="B35" i="7"/>
  <c r="A35" i="7"/>
  <c r="B34" i="7"/>
  <c r="A34" i="7"/>
  <c r="B33" i="7"/>
  <c r="A33" i="7"/>
  <c r="B32" i="7"/>
  <c r="A32" i="7"/>
  <c r="B31" i="7"/>
  <c r="A31" i="7"/>
  <c r="B30" i="7"/>
  <c r="A30" i="7"/>
  <c r="B29" i="7"/>
  <c r="A29" i="7"/>
  <c r="B28" i="7"/>
  <c r="A28" i="7"/>
  <c r="B27" i="7"/>
  <c r="A27" i="7"/>
  <c r="B26" i="7"/>
  <c r="A26" i="7"/>
  <c r="B25" i="7"/>
  <c r="A25" i="7"/>
  <c r="B24" i="7"/>
  <c r="A24" i="7"/>
  <c r="B23" i="7"/>
  <c r="A23" i="7"/>
  <c r="B22" i="7"/>
  <c r="A22" i="7"/>
  <c r="B21" i="7"/>
  <c r="A21" i="7"/>
  <c r="B20" i="7"/>
  <c r="A20" i="7"/>
  <c r="B19" i="7"/>
  <c r="A19" i="7"/>
  <c r="B18" i="7"/>
  <c r="A18" i="7"/>
  <c r="B17" i="7"/>
  <c r="A17" i="7"/>
  <c r="B16" i="7"/>
  <c r="A16" i="7"/>
  <c r="B15" i="7"/>
  <c r="A15" i="7"/>
  <c r="B14" i="7"/>
  <c r="A14" i="7"/>
  <c r="B13" i="7"/>
  <c r="A13" i="7"/>
  <c r="B12" i="7"/>
  <c r="A12" i="7"/>
  <c r="B11" i="7"/>
  <c r="A11" i="7"/>
  <c r="B10" i="7"/>
  <c r="A10" i="7"/>
  <c r="B9" i="7"/>
  <c r="A9" i="7"/>
  <c r="B8" i="7"/>
  <c r="A8" i="7"/>
  <c r="AB1" i="7"/>
  <c r="Z1" i="6"/>
  <c r="AZ38" i="5"/>
  <c r="B8" i="5"/>
  <c r="A8" i="5"/>
  <c r="AV1" i="5"/>
  <c r="Z1" i="4"/>
  <c r="V39" i="4"/>
  <c r="V40" i="4"/>
  <c r="AK39" i="5"/>
  <c r="AK40" i="5"/>
  <c r="AD40" i="4"/>
  <c r="N39" i="4"/>
  <c r="N40" i="4"/>
  <c r="P39" i="7"/>
  <c r="P40" i="7"/>
  <c r="AH39" i="7"/>
  <c r="AH40" i="7"/>
  <c r="Y39" i="7"/>
  <c r="Y40" i="7"/>
  <c r="Y38" i="7"/>
  <c r="W39" i="6"/>
  <c r="W40" i="6"/>
  <c r="O39" i="6"/>
  <c r="O40" i="6"/>
  <c r="AK38" i="5"/>
  <c r="V39" i="5"/>
  <c r="V40" i="5"/>
  <c r="V38" i="5"/>
  <c r="V38" i="4"/>
  <c r="AE39" i="6"/>
  <c r="AE40" i="6"/>
  <c r="AE38" i="6"/>
  <c r="AZ39" i="5"/>
  <c r="N38" i="4"/>
  <c r="AD39" i="4"/>
  <c r="AD38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<sst xmlns="http://schemas.openxmlformats.org/spreadsheetml/2006/main" count="292" uniqueCount="129">
  <si>
    <t xml:space="preserve">AVALIAÇÃO GLOBAL </t>
  </si>
  <si>
    <t>Turma:</t>
  </si>
  <si>
    <t>ORALIDADE</t>
  </si>
  <si>
    <t>LEITURA</t>
  </si>
  <si>
    <t>ED. LITERÁRIA</t>
  </si>
  <si>
    <t>GRAMÁTICA</t>
  </si>
  <si>
    <t>ESCRITA</t>
  </si>
  <si>
    <t>FINAL</t>
  </si>
  <si>
    <t>3º P autoav</t>
  </si>
  <si>
    <t>Nº</t>
  </si>
  <si>
    <t>NOME</t>
  </si>
  <si>
    <t>1ºP</t>
  </si>
  <si>
    <t>2ºP</t>
  </si>
  <si>
    <t>3ºP</t>
  </si>
  <si>
    <t>1º P</t>
  </si>
  <si>
    <t>2º P</t>
  </si>
  <si>
    <t>3º P</t>
  </si>
  <si>
    <t>1.º P</t>
  </si>
  <si>
    <t>2.º P</t>
  </si>
  <si>
    <t>3.º P</t>
  </si>
  <si>
    <t>dadas</t>
  </si>
  <si>
    <t>previstas</t>
  </si>
  <si>
    <t>sucesso</t>
  </si>
  <si>
    <t>nível 2</t>
  </si>
  <si>
    <t>nível 3</t>
  </si>
  <si>
    <t>nível 4</t>
  </si>
  <si>
    <t>nível 5</t>
  </si>
  <si>
    <t>PORTUGUÊS</t>
  </si>
  <si>
    <t>Ano: 7.º</t>
  </si>
  <si>
    <t>A</t>
  </si>
  <si>
    <t>Leitura Texto</t>
  </si>
  <si>
    <t>L. Voz Alta</t>
  </si>
  <si>
    <t>GRELHA DE CORREÇÃO</t>
  </si>
  <si>
    <t>SUBTOTAL</t>
  </si>
  <si>
    <t>EDUCAÇÃO LITERÁRIA</t>
  </si>
  <si>
    <t>TOTAL</t>
  </si>
  <si>
    <t>Questão</t>
  </si>
  <si>
    <t>1.</t>
  </si>
  <si>
    <t>5.</t>
  </si>
  <si>
    <t>5.1</t>
  </si>
  <si>
    <t>GRUPO IV- ESCRITA: PARÂMETROS</t>
  </si>
  <si>
    <t>CL</t>
  </si>
  <si>
    <t>A.</t>
  </si>
  <si>
    <t>Género / Formato textual</t>
  </si>
  <si>
    <t>B.</t>
  </si>
  <si>
    <t>Tema e Pertinência da informação</t>
  </si>
  <si>
    <t>C.</t>
  </si>
  <si>
    <t>Organização e coesão textuais</t>
  </si>
  <si>
    <t>D.</t>
  </si>
  <si>
    <t>Morfologia, Sintaxe e Pontuação</t>
  </si>
  <si>
    <t>E.</t>
  </si>
  <si>
    <t>Ortografia</t>
  </si>
  <si>
    <t>4 a 8</t>
  </si>
  <si>
    <t>Factores de desvalororização no domínio da organização e correção da expressão escrita</t>
  </si>
  <si>
    <t>N.º OC</t>
  </si>
  <si>
    <t>DESV</t>
  </si>
  <si>
    <t>erro de ortografia (incluindo erro de acentuação, erro de translineação e uso indevido de letra minúscula ou de letra maiúscula inicial)</t>
  </si>
  <si>
    <t>erro de morfologia</t>
  </si>
  <si>
    <t>3 ou +</t>
  </si>
  <si>
    <t>erro inequívoco de pontuação, incumprimento de regra de citação ou de referência a título de obra</t>
  </si>
  <si>
    <t>B</t>
  </si>
  <si>
    <t>erro de sintaxe</t>
  </si>
  <si>
    <t>2 ou 3</t>
  </si>
  <si>
    <t>impropriedade lexical</t>
  </si>
  <si>
    <t>4 ou +</t>
  </si>
  <si>
    <t>Média dos testes</t>
  </si>
  <si>
    <t>N.º de negativas</t>
  </si>
  <si>
    <t>% de negativas</t>
  </si>
  <si>
    <t xml:space="preserve"> </t>
  </si>
  <si>
    <t>1º Período</t>
  </si>
  <si>
    <r>
      <t xml:space="preserve"> </t>
    </r>
    <r>
      <rPr>
        <sz val="14"/>
        <color theme="1"/>
        <rFont val="Arial"/>
        <family val="2"/>
      </rPr>
      <t>LEITURA</t>
    </r>
  </si>
  <si>
    <t>2º Período</t>
  </si>
  <si>
    <t>3º Período</t>
  </si>
  <si>
    <t xml:space="preserve">                   Cotação
Nome
</t>
  </si>
  <si>
    <r>
      <rPr>
        <b/>
        <sz val="11"/>
        <color theme="1"/>
        <rFont val="Arial"/>
        <family val="2"/>
      </rPr>
      <t xml:space="preserve"> </t>
    </r>
    <r>
      <rPr>
        <b/>
        <sz val="14"/>
        <color theme="1"/>
        <rFont val="Arial"/>
        <family val="2"/>
      </rPr>
      <t>EDUCAÇÃO LITERÁRIA</t>
    </r>
  </si>
  <si>
    <t>2.</t>
  </si>
  <si>
    <t>3.</t>
  </si>
  <si>
    <t>4.</t>
  </si>
  <si>
    <r>
      <t xml:space="preserve"> </t>
    </r>
    <r>
      <rPr>
        <sz val="14"/>
        <color theme="1"/>
        <rFont val="Arial"/>
        <family val="2"/>
      </rPr>
      <t>ESCRITA</t>
    </r>
  </si>
  <si>
    <t xml:space="preserve"> GRAMÁTICA 1</t>
  </si>
  <si>
    <t>SUBTOTAL L. Voz Alta</t>
  </si>
  <si>
    <t>SUBTOTAL L. Texto</t>
  </si>
  <si>
    <t>7.º B</t>
  </si>
  <si>
    <t>7.º C</t>
  </si>
  <si>
    <t>Lara</t>
  </si>
  <si>
    <t>Martim</t>
  </si>
  <si>
    <t>nível 1</t>
  </si>
  <si>
    <t>Desc.</t>
  </si>
  <si>
    <t>Afonso</t>
  </si>
  <si>
    <t>C</t>
  </si>
  <si>
    <t>Afonso Cravo</t>
  </si>
  <si>
    <t>Ândria</t>
  </si>
  <si>
    <t>Bernardo Gomes</t>
  </si>
  <si>
    <t xml:space="preserve"> Bernardo Gaspar</t>
  </si>
  <si>
    <t>David</t>
  </si>
  <si>
    <t>Fábio</t>
  </si>
  <si>
    <t>Francisco</t>
  </si>
  <si>
    <t>Gonçalo</t>
  </si>
  <si>
    <t>Gustavo</t>
  </si>
  <si>
    <t>João</t>
  </si>
  <si>
    <t>João Miguel</t>
  </si>
  <si>
    <t>Luna</t>
  </si>
  <si>
    <t>Mariana</t>
  </si>
  <si>
    <t>Matilde</t>
  </si>
  <si>
    <t>Rúben</t>
  </si>
  <si>
    <t>Samanta</t>
  </si>
  <si>
    <t>Samuel</t>
  </si>
  <si>
    <t xml:space="preserve">Sara Gomes </t>
  </si>
  <si>
    <t xml:space="preserve"> Sara Ferreira Gonç</t>
  </si>
  <si>
    <t>Simão Mendes</t>
  </si>
  <si>
    <t>Simão Pedosa</t>
  </si>
  <si>
    <t>Sofia</t>
  </si>
  <si>
    <t>Tomás</t>
  </si>
  <si>
    <t>D</t>
  </si>
  <si>
    <t>E</t>
  </si>
  <si>
    <t>2.1</t>
  </si>
  <si>
    <t>2.2</t>
  </si>
  <si>
    <t>2.3</t>
  </si>
  <si>
    <t>C. ORAL + EXP.ORAL</t>
  </si>
  <si>
    <t>COMPREENSÃO ORAL + EXPRESSÃO ORAL</t>
  </si>
  <si>
    <t>AV ajuste</t>
  </si>
  <si>
    <t>Ano Letivo 2020/21</t>
  </si>
  <si>
    <t>1º P Auto Av.</t>
  </si>
  <si>
    <t>2º P Auto Av.</t>
  </si>
  <si>
    <t>Av. Ajuste</t>
  </si>
  <si>
    <t>DAC</t>
  </si>
  <si>
    <r>
      <rPr>
        <b/>
        <u/>
        <sz val="12"/>
        <color theme="7" tint="-0.249977111117893"/>
        <rFont val="Trebuchet MS"/>
        <family val="2"/>
      </rPr>
      <t>NOTA:</t>
    </r>
    <r>
      <rPr>
        <sz val="12"/>
        <color theme="7" tint="-0.249977111117893"/>
        <rFont val="Trebuchet MS"/>
        <family val="2"/>
      </rPr>
      <t xml:space="preserve">  Campos devem ser preenchidos nas folhas respetivas! Notas poderão ser ajustadas nas colunas Av. Ajuste!</t>
    </r>
  </si>
  <si>
    <r>
      <rPr>
        <b/>
        <sz val="9"/>
        <color rgb="FFFF0000"/>
        <rFont val="Arial"/>
        <family val="2"/>
      </rPr>
      <t>Desc</t>
    </r>
    <r>
      <rPr>
        <b/>
        <sz val="9"/>
        <color theme="1"/>
        <rFont val="Arial"/>
        <family val="2"/>
      </rPr>
      <t>.</t>
    </r>
  </si>
  <si>
    <t>Total Comp.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</si>
</sst>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;\-0;;@"/>
    <numFmt numFmtId="165" formatCode="0.0&quot;%&quot;"/>
  </numFmts>
  <fonts count="60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7"/>
      <name val="Arial Narrow"/>
      <family val="2"/>
    </font>
    <font>
      <sz val="10"/>
      <name val="Trebuchet MS"/>
      <family val="2"/>
    </font>
    <font>
      <sz val="10"/>
      <color theme="7" tint="-0.249977111117893"/>
      <name val="Trebuchet MS"/>
      <family val="2"/>
    </font>
    <font>
      <sz val="14"/>
      <name val="Trebuchet MS"/>
      <family val="2"/>
    </font>
    <font>
      <sz val="10"/>
      <color theme="1"/>
      <name val="Arial"/>
      <family val="2"/>
    </font>
    <font>
      <sz val="10"/>
      <color indexed="60"/>
      <name val="Arial"/>
      <family val="2"/>
    </font>
    <font>
      <sz val="10"/>
      <color rgb="FF0070C0"/>
      <name val="Arial"/>
      <family val="2"/>
    </font>
    <font>
      <b/>
      <sz val="12"/>
      <name val="Trebuchet MS"/>
      <family val="2"/>
    </font>
    <font>
      <sz val="18"/>
      <name val="Trebuchet MS"/>
      <family val="2"/>
    </font>
    <font>
      <b/>
      <sz val="11"/>
      <color theme="1"/>
      <name val="Calibri"/>
      <family val="2"/>
      <scheme val="minor"/>
    </font>
    <font>
      <sz val="11"/>
      <name val="Arial"/>
      <family val="2"/>
    </font>
    <font>
      <b/>
      <sz val="11"/>
      <name val="Arial"/>
      <family val="2"/>
    </font>
    <font>
      <sz val="8"/>
      <name val="Calibri"/>
      <family val="2"/>
    </font>
    <font>
      <sz val="8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22"/>
      <name val="Arial"/>
      <family val="2"/>
    </font>
    <font>
      <b/>
      <sz val="18"/>
      <name val="Arial"/>
      <family val="2"/>
    </font>
    <font>
      <sz val="10"/>
      <name val="Comic Sans MS"/>
      <family val="4"/>
    </font>
    <font>
      <sz val="18"/>
      <name val="Arial"/>
      <family val="2"/>
    </font>
    <font>
      <sz val="10"/>
      <name val="Microsoft Sans Serif"/>
      <family val="2"/>
    </font>
    <font>
      <sz val="10"/>
      <name val="Tahoma"/>
      <family val="2"/>
    </font>
    <font>
      <sz val="16"/>
      <name val="Arial"/>
      <family val="2"/>
    </font>
    <font>
      <sz val="11"/>
      <color theme="1"/>
      <name val="Arial"/>
      <family val="2"/>
    </font>
    <font>
      <sz val="9"/>
      <name val="Arial"/>
      <family val="2"/>
    </font>
    <font>
      <b/>
      <sz val="11"/>
      <color rgb="FFFF0000"/>
      <name val="Arial"/>
      <family val="2"/>
    </font>
    <font>
      <b/>
      <sz val="14"/>
      <name val="Arial"/>
      <family val="2"/>
    </font>
    <font>
      <b/>
      <sz val="9"/>
      <color indexed="10"/>
      <name val="Arial"/>
      <family val="2"/>
    </font>
    <font>
      <b/>
      <sz val="11"/>
      <color indexed="10"/>
      <name val="Arial"/>
      <family val="2"/>
    </font>
    <font>
      <b/>
      <sz val="9"/>
      <name val="Arial"/>
      <family val="2"/>
    </font>
    <font>
      <b/>
      <sz val="8"/>
      <name val="Arial"/>
      <family val="2"/>
    </font>
    <font>
      <i/>
      <sz val="10"/>
      <name val="Arial"/>
      <family val="2"/>
    </font>
    <font>
      <sz val="12"/>
      <name val="Arial"/>
      <family val="2"/>
    </font>
    <font>
      <sz val="14"/>
      <color theme="1"/>
      <name val="Arial"/>
      <family val="2"/>
    </font>
    <font>
      <b/>
      <sz val="11"/>
      <color theme="1"/>
      <name val="Arial"/>
      <family val="2"/>
    </font>
    <font>
      <sz val="8"/>
      <name val="Calibri"/>
      <family val="2"/>
      <scheme val="minor"/>
    </font>
    <font>
      <sz val="9"/>
      <color rgb="FFFF0000"/>
      <name val="Arial"/>
      <family val="2"/>
    </font>
    <font>
      <b/>
      <u/>
      <sz val="8"/>
      <name val="Arial"/>
      <family val="2"/>
    </font>
    <font>
      <b/>
      <sz val="14"/>
      <color theme="1"/>
      <name val="Arial"/>
      <family val="2"/>
    </font>
    <font>
      <b/>
      <sz val="9"/>
      <color theme="1"/>
      <name val="Arial"/>
      <family val="2"/>
    </font>
    <font>
      <b/>
      <sz val="12"/>
      <name val="Arial"/>
      <family val="2"/>
    </font>
    <font>
      <b/>
      <sz val="7"/>
      <color theme="1"/>
      <name val="Arial"/>
      <family val="2"/>
    </font>
    <font>
      <u/>
      <sz val="11"/>
      <color theme="1"/>
      <name val="Calibri"/>
      <family val="2"/>
      <scheme val="minor"/>
    </font>
    <font>
      <b/>
      <sz val="9"/>
      <color rgb="FFFF0000"/>
      <name val="Arial"/>
      <family val="2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color theme="1"/>
      <name val="Arial"/>
      <family val="2"/>
    </font>
    <font>
      <sz val="8"/>
      <color rgb="FFFF0000"/>
      <name val="Arial"/>
      <family val="2"/>
    </font>
    <font>
      <sz val="8"/>
      <name val="Arial"/>
      <family val="2"/>
    </font>
    <font>
      <sz val="8"/>
      <color rgb="FF4472C4"/>
      <name val="Arial"/>
      <family val="2"/>
    </font>
    <font>
      <sz val="8"/>
      <color rgb="FF333399"/>
      <name val="Arial"/>
      <family val="2"/>
    </font>
    <font>
      <sz val="8"/>
      <name val="Trebuchet MS"/>
      <family val="2"/>
    </font>
    <font>
      <sz val="8"/>
      <color theme="7" tint="-0.249977111117893"/>
      <name val="Trebuchet MS"/>
      <family val="2"/>
    </font>
    <font>
      <b/>
      <sz val="11"/>
      <color theme="6" tint="-0.499984740745262"/>
      <name val="Arial"/>
      <family val="2"/>
    </font>
    <font>
      <sz val="10"/>
      <name val="Times New Roman"/>
      <family val="1"/>
    </font>
    <font>
      <b/>
      <sz val="10"/>
      <name val="Times New Roman"/>
      <family val="1"/>
    </font>
    <font>
      <b/>
      <u/>
      <sz val="12"/>
      <color theme="7" tint="-0.249977111117893"/>
      <name val="Trebuchet MS"/>
      <family val="2"/>
    </font>
    <font>
      <sz val="12"/>
      <color theme="7" tint="-0.249977111117893"/>
      <name val="Trebuchet MS"/>
      <family val="2"/>
    </font>
  </fonts>
  <fills count="1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theme="3" tint="0.79998168889431442"/>
        <bgColor indexed="27"/>
      </patternFill>
    </fill>
    <fill>
      <patternFill patternType="solid">
        <fgColor theme="2"/>
        <bgColor indexed="27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27"/>
      </patternFill>
    </fill>
  </fills>
  <borders count="16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medium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rgb="FF000000"/>
      </left>
      <right/>
      <top style="medium">
        <color indexed="64"/>
      </top>
      <bottom/>
      <diagonal/>
    </border>
    <border>
      <left style="medium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theme="0"/>
      </left>
      <right style="hair">
        <color theme="0"/>
      </right>
      <top style="hair">
        <color theme="0"/>
      </top>
      <bottom style="hair">
        <color theme="0"/>
      </bottom>
      <diagonal/>
    </border>
    <border>
      <left style="hair">
        <color theme="0"/>
      </left>
      <right/>
      <top style="hair">
        <color theme="0"/>
      </top>
      <bottom style="hair">
        <color theme="0"/>
      </bottom>
      <diagonal/>
    </border>
    <border>
      <left/>
      <right style="hair">
        <color theme="0"/>
      </right>
      <top style="hair">
        <color theme="0"/>
      </top>
      <bottom/>
      <diagonal/>
    </border>
    <border>
      <left/>
      <right style="hair">
        <color theme="0"/>
      </right>
      <top/>
      <bottom/>
      <diagonal/>
    </border>
    <border>
      <left/>
      <right style="hair">
        <color theme="0"/>
      </right>
      <top/>
      <bottom style="hair">
        <color theme="0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rgb="FF000000"/>
      </bottom>
      <diagonal/>
    </border>
    <border>
      <left/>
      <right style="medium">
        <color indexed="64"/>
      </right>
      <top style="medium">
        <color indexed="64"/>
      </top>
      <bottom style="thin">
        <color rgb="FF000000"/>
      </bottom>
      <diagonal/>
    </border>
    <border>
      <left/>
      <right style="medium">
        <color indexed="64"/>
      </right>
      <top style="thin">
        <color rgb="FF000000"/>
      </top>
      <bottom style="thin">
        <color rgb="FF000000"/>
      </bottom>
      <diagonal/>
    </border>
    <border diagonalDown="1"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 style="thin">
        <color auto="1"/>
      </diagonal>
    </border>
    <border diagonalDown="1">
      <left style="thin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/>
      <top style="thin">
        <color auto="1"/>
      </top>
      <bottom style="thin">
        <color auto="1"/>
      </bottom>
      <diagonal style="thin">
        <color auto="1"/>
      </diagonal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medium">
        <color indexed="64"/>
      </right>
      <top style="thin">
        <color rgb="FF000000"/>
      </top>
      <bottom/>
      <diagonal/>
    </border>
    <border>
      <left style="thin">
        <color rgb="FF000000"/>
      </left>
      <right style="medium">
        <color indexed="64"/>
      </right>
      <top style="thin">
        <color rgb="FF000000"/>
      </top>
      <bottom/>
      <diagonal/>
    </border>
    <border>
      <left style="medium">
        <color indexed="64"/>
      </left>
      <right style="thin">
        <color rgb="FF000000"/>
      </right>
      <top style="thin">
        <color rgb="FF000000"/>
      </top>
      <bottom/>
      <diagonal/>
    </border>
    <border>
      <left style="medium">
        <color indexed="64"/>
      </left>
      <right style="medium">
        <color indexed="64"/>
      </right>
      <top style="thin">
        <color rgb="FF000000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medium">
        <color indexed="64"/>
      </right>
      <top/>
      <bottom style="thin">
        <color rgb="FF000000"/>
      </bottom>
      <diagonal/>
    </border>
    <border>
      <left style="thin">
        <color rgb="FF000000"/>
      </left>
      <right style="medium">
        <color indexed="64"/>
      </right>
      <top/>
      <bottom style="thin">
        <color rgb="FF000000"/>
      </bottom>
      <diagonal/>
    </border>
    <border>
      <left style="medium">
        <color indexed="64"/>
      </left>
      <right style="thin">
        <color rgb="FF000000"/>
      </right>
      <top/>
      <bottom style="thin">
        <color rgb="FF000000"/>
      </bottom>
      <diagonal/>
    </border>
    <border>
      <left style="medium">
        <color indexed="64"/>
      </left>
      <right style="medium">
        <color indexed="64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/>
      <right style="medium">
        <color indexed="64"/>
      </right>
      <top style="medium">
        <color rgb="FF000000"/>
      </top>
      <bottom style="thin">
        <color rgb="FF000000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</borders>
  <cellStyleXfs count="3">
    <xf numFmtId="0" fontId="0" fillId="0" borderId="0"/>
    <xf numFmtId="0" fontId="1" fillId="0" borderId="0"/>
    <xf numFmtId="0" fontId="17" fillId="0" borderId="0"/>
  </cellStyleXfs>
  <cellXfs count="559">
    <xf numFmtId="0" fontId="0" fillId="0" borderId="0" xfId="0"/>
    <xf numFmtId="0" fontId="18" fillId="0" borderId="0" xfId="0" applyFont="1" applyAlignment="1" applyProtection="1">
      <alignment vertical="center"/>
      <protection locked="0"/>
    </xf>
    <xf numFmtId="0" fontId="1" fillId="0" borderId="0" xfId="0" applyFont="1" applyProtection="1">
      <protection locked="0"/>
    </xf>
    <xf numFmtId="0" fontId="19" fillId="0" borderId="0" xfId="0" applyFont="1" applyProtection="1">
      <protection locked="0"/>
    </xf>
    <xf numFmtId="164" fontId="18" fillId="0" borderId="0" xfId="0" applyNumberFormat="1" applyFont="1" applyAlignment="1" applyProtection="1">
      <alignment vertical="center"/>
      <protection locked="0"/>
    </xf>
    <xf numFmtId="0" fontId="20" fillId="0" borderId="0" xfId="0" applyFont="1" applyProtection="1">
      <protection locked="0"/>
    </xf>
    <xf numFmtId="0" fontId="21" fillId="3" borderId="0" xfId="0" applyFont="1" applyFill="1" applyAlignment="1" applyProtection="1">
      <alignment vertical="center"/>
      <protection locked="0"/>
    </xf>
    <xf numFmtId="0" fontId="18" fillId="0" borderId="0" xfId="0" applyFont="1" applyAlignment="1" applyProtection="1">
      <alignment horizontal="left" vertical="center"/>
      <protection locked="0"/>
    </xf>
    <xf numFmtId="164" fontId="22" fillId="0" borderId="0" xfId="0" applyNumberFormat="1" applyFont="1" applyAlignment="1" applyProtection="1">
      <alignment horizontal="left" vertical="center"/>
      <protection locked="0"/>
    </xf>
    <xf numFmtId="0" fontId="23" fillId="3" borderId="0" xfId="0" applyFont="1" applyFill="1" applyProtection="1">
      <protection locked="0"/>
    </xf>
    <xf numFmtId="164" fontId="2" fillId="0" borderId="0" xfId="0" applyNumberFormat="1" applyFont="1" applyAlignment="1" applyProtection="1">
      <alignment vertical="center"/>
      <protection locked="0"/>
    </xf>
    <xf numFmtId="0" fontId="13" fillId="0" borderId="0" xfId="0" applyFont="1" applyAlignment="1" applyProtection="1">
      <alignment horizontal="center"/>
      <protection locked="0"/>
    </xf>
    <xf numFmtId="0" fontId="1" fillId="4" borderId="42" xfId="0" applyFont="1" applyFill="1" applyBorder="1" applyAlignment="1" applyProtection="1">
      <alignment horizontal="left" vertical="top"/>
      <protection locked="0"/>
    </xf>
    <xf numFmtId="0" fontId="1" fillId="4" borderId="0" xfId="0" applyFont="1" applyFill="1" applyAlignment="1" applyProtection="1">
      <alignment horizontal="left" vertical="top"/>
      <protection locked="0"/>
    </xf>
    <xf numFmtId="0" fontId="1" fillId="4" borderId="44" xfId="0" applyFont="1" applyFill="1" applyBorder="1" applyAlignment="1" applyProtection="1">
      <alignment horizontal="left" vertical="top"/>
      <protection locked="0"/>
    </xf>
    <xf numFmtId="1" fontId="31" fillId="0" borderId="0" xfId="0" applyNumberFormat="1" applyFont="1" applyAlignment="1" applyProtection="1">
      <alignment horizontal="center" vertical="center"/>
      <protection locked="0"/>
    </xf>
    <xf numFmtId="0" fontId="1" fillId="6" borderId="0" xfId="0" applyFont="1" applyFill="1" applyProtection="1">
      <protection locked="0"/>
    </xf>
    <xf numFmtId="1" fontId="31" fillId="6" borderId="0" xfId="0" applyNumberFormat="1" applyFont="1" applyFill="1" applyAlignment="1" applyProtection="1">
      <alignment horizontal="center" vertical="center"/>
      <protection locked="0"/>
    </xf>
    <xf numFmtId="1" fontId="26" fillId="8" borderId="75" xfId="0" applyNumberFormat="1" applyFont="1" applyFill="1" applyBorder="1" applyAlignment="1" applyProtection="1">
      <alignment horizontal="center" vertical="center"/>
      <protection locked="0"/>
    </xf>
    <xf numFmtId="1" fontId="14" fillId="9" borderId="76" xfId="0" applyNumberFormat="1" applyFont="1" applyFill="1" applyBorder="1" applyAlignment="1" applyProtection="1">
      <alignment horizontal="center" vertical="center"/>
      <protection hidden="1"/>
    </xf>
    <xf numFmtId="2" fontId="26" fillId="10" borderId="0" xfId="0" applyNumberFormat="1" applyFont="1" applyFill="1" applyAlignment="1" applyProtection="1">
      <alignment horizontal="center" vertical="center" wrapText="1"/>
      <protection locked="0"/>
    </xf>
    <xf numFmtId="1" fontId="26" fillId="10" borderId="0" xfId="0" applyNumberFormat="1" applyFont="1" applyFill="1" applyAlignment="1" applyProtection="1">
      <alignment horizontal="left" vertical="center"/>
      <protection locked="0"/>
    </xf>
    <xf numFmtId="0" fontId="26" fillId="10" borderId="0" xfId="0" applyFont="1" applyFill="1" applyAlignment="1" applyProtection="1">
      <alignment horizontal="center" vertical="center"/>
      <protection locked="0"/>
    </xf>
    <xf numFmtId="1" fontId="26" fillId="5" borderId="78" xfId="0" applyNumberFormat="1" applyFont="1" applyFill="1" applyBorder="1" applyAlignment="1" applyProtection="1">
      <alignment horizontal="center" vertical="center"/>
      <protection locked="0"/>
    </xf>
    <xf numFmtId="1" fontId="26" fillId="10" borderId="65" xfId="0" applyNumberFormat="1" applyFont="1" applyFill="1" applyBorder="1" applyAlignment="1" applyProtection="1">
      <alignment horizontal="center" vertical="center"/>
      <protection locked="0"/>
    </xf>
    <xf numFmtId="1" fontId="26" fillId="8" borderId="65" xfId="0" applyNumberFormat="1" applyFont="1" applyFill="1" applyBorder="1" applyAlignment="1" applyProtection="1">
      <alignment horizontal="center" vertical="center"/>
      <protection locked="0"/>
    </xf>
    <xf numFmtId="1" fontId="26" fillId="5" borderId="65" xfId="0" applyNumberFormat="1" applyFont="1" applyFill="1" applyBorder="1" applyAlignment="1" applyProtection="1">
      <alignment horizontal="center" vertical="center"/>
      <protection locked="0"/>
    </xf>
    <xf numFmtId="16" fontId="26" fillId="10" borderId="0" xfId="0" applyNumberFormat="1" applyFont="1" applyFill="1" applyAlignment="1" applyProtection="1">
      <alignment horizontal="center" vertical="center"/>
      <protection locked="0"/>
    </xf>
    <xf numFmtId="0" fontId="26" fillId="10" borderId="0" xfId="0" applyFont="1" applyFill="1" applyProtection="1">
      <protection locked="0"/>
    </xf>
    <xf numFmtId="0" fontId="1" fillId="6" borderId="0" xfId="0" applyFont="1" applyFill="1" applyAlignment="1" applyProtection="1">
      <alignment vertical="center"/>
      <protection locked="0"/>
    </xf>
    <xf numFmtId="0" fontId="26" fillId="11" borderId="0" xfId="0" applyFont="1" applyFill="1" applyAlignment="1" applyProtection="1">
      <alignment vertical="center" wrapText="1"/>
      <protection locked="0"/>
    </xf>
    <xf numFmtId="0" fontId="26" fillId="11" borderId="81" xfId="0" applyFont="1" applyFill="1" applyBorder="1" applyAlignment="1" applyProtection="1">
      <alignment vertical="center" wrapText="1"/>
      <protection locked="0"/>
    </xf>
    <xf numFmtId="0" fontId="26" fillId="0" borderId="0" xfId="0" applyFont="1" applyAlignment="1" applyProtection="1">
      <alignment wrapText="1"/>
      <protection locked="0"/>
    </xf>
    <xf numFmtId="0" fontId="26" fillId="11" borderId="80" xfId="0" applyFont="1" applyFill="1" applyBorder="1" applyAlignment="1" applyProtection="1">
      <alignment wrapText="1"/>
      <protection locked="0"/>
    </xf>
    <xf numFmtId="0" fontId="26" fillId="11" borderId="80" xfId="0" applyFont="1" applyFill="1" applyBorder="1" applyProtection="1">
      <protection locked="0"/>
    </xf>
    <xf numFmtId="0" fontId="26" fillId="0" borderId="0" xfId="0" applyFont="1" applyProtection="1">
      <protection locked="0"/>
    </xf>
    <xf numFmtId="1" fontId="26" fillId="3" borderId="65" xfId="0" applyNumberFormat="1" applyFont="1" applyFill="1" applyBorder="1" applyAlignment="1" applyProtection="1">
      <alignment horizontal="center" vertical="center"/>
      <protection locked="0"/>
    </xf>
    <xf numFmtId="0" fontId="33" fillId="0" borderId="0" xfId="0" applyFont="1" applyProtection="1">
      <protection locked="0"/>
    </xf>
    <xf numFmtId="0" fontId="24" fillId="4" borderId="41" xfId="0" applyFont="1" applyFill="1" applyBorder="1" applyAlignment="1" applyProtection="1">
      <alignment vertical="top"/>
      <protection locked="0"/>
    </xf>
    <xf numFmtId="1" fontId="26" fillId="5" borderId="70" xfId="0" applyNumberFormat="1" applyFont="1" applyFill="1" applyBorder="1" applyAlignment="1" applyProtection="1">
      <alignment horizontal="center" vertical="center"/>
      <protection locked="0"/>
    </xf>
    <xf numFmtId="1" fontId="26" fillId="5" borderId="87" xfId="0" applyNumberFormat="1" applyFont="1" applyFill="1" applyBorder="1" applyAlignment="1" applyProtection="1">
      <alignment horizontal="center" vertical="center"/>
      <protection locked="0"/>
    </xf>
    <xf numFmtId="1" fontId="26" fillId="5" borderId="9" xfId="0" applyNumberFormat="1" applyFont="1" applyFill="1" applyBorder="1" applyAlignment="1" applyProtection="1">
      <alignment horizontal="center" vertical="center"/>
      <protection locked="0"/>
    </xf>
    <xf numFmtId="1" fontId="14" fillId="9" borderId="6" xfId="0" applyNumberFormat="1" applyFont="1" applyFill="1" applyBorder="1" applyAlignment="1" applyProtection="1">
      <alignment horizontal="center" vertical="center"/>
      <protection hidden="1"/>
    </xf>
    <xf numFmtId="0" fontId="24" fillId="4" borderId="15" xfId="0" applyFont="1" applyFill="1" applyBorder="1" applyAlignment="1" applyProtection="1">
      <alignment vertical="top"/>
      <protection locked="0"/>
    </xf>
    <xf numFmtId="0" fontId="14" fillId="6" borderId="7" xfId="0" applyFont="1" applyFill="1" applyBorder="1" applyAlignment="1" applyProtection="1">
      <alignment horizontal="center"/>
      <protection locked="0"/>
    </xf>
    <xf numFmtId="1" fontId="29" fillId="5" borderId="70" xfId="0" applyNumberFormat="1" applyFont="1" applyFill="1" applyBorder="1" applyAlignment="1" applyProtection="1">
      <alignment horizontal="center" vertical="center"/>
      <protection locked="0"/>
    </xf>
    <xf numFmtId="1" fontId="29" fillId="5" borderId="87" xfId="0" applyNumberFormat="1" applyFont="1" applyFill="1" applyBorder="1" applyAlignment="1" applyProtection="1">
      <alignment horizontal="center" vertical="center"/>
      <protection locked="0"/>
    </xf>
    <xf numFmtId="1" fontId="29" fillId="5" borderId="88" xfId="0" applyNumberFormat="1" applyFont="1" applyFill="1" applyBorder="1" applyAlignment="1" applyProtection="1">
      <alignment horizontal="center" vertical="center"/>
      <protection locked="0"/>
    </xf>
    <xf numFmtId="1" fontId="29" fillId="4" borderId="91" xfId="0" applyNumberFormat="1" applyFont="1" applyFill="1" applyBorder="1" applyAlignment="1" applyProtection="1">
      <alignment horizontal="center" vertical="center"/>
      <protection locked="0"/>
    </xf>
    <xf numFmtId="1" fontId="29" fillId="5" borderId="71" xfId="0" applyNumberFormat="1" applyFont="1" applyFill="1" applyBorder="1" applyAlignment="1" applyProtection="1">
      <alignment horizontal="center" vertical="center"/>
      <protection locked="0"/>
    </xf>
    <xf numFmtId="1" fontId="29" fillId="3" borderId="85" xfId="0" applyNumberFormat="1" applyFont="1" applyFill="1" applyBorder="1" applyAlignment="1" applyProtection="1">
      <alignment horizontal="center" vertical="center"/>
      <protection locked="0"/>
    </xf>
    <xf numFmtId="1" fontId="29" fillId="5" borderId="52" xfId="0" applyNumberFormat="1" applyFont="1" applyFill="1" applyBorder="1" applyAlignment="1" applyProtection="1">
      <alignment horizontal="center" vertical="center"/>
      <protection locked="0"/>
    </xf>
    <xf numFmtId="1" fontId="14" fillId="9" borderId="73" xfId="0" applyNumberFormat="1" applyFont="1" applyFill="1" applyBorder="1" applyAlignment="1" applyProtection="1">
      <alignment horizontal="center" vertical="center"/>
      <protection hidden="1"/>
    </xf>
    <xf numFmtId="0" fontId="1" fillId="0" borderId="7" xfId="0" applyFont="1" applyBorder="1" applyAlignment="1" applyProtection="1">
      <alignment vertical="center"/>
      <protection locked="0"/>
    </xf>
    <xf numFmtId="0" fontId="1" fillId="0" borderId="9" xfId="0" applyFont="1" applyBorder="1" applyAlignment="1" applyProtection="1">
      <alignment vertical="center"/>
      <protection locked="0"/>
    </xf>
    <xf numFmtId="0" fontId="1" fillId="0" borderId="14" xfId="0" applyFont="1" applyBorder="1" applyAlignment="1" applyProtection="1">
      <alignment vertical="center"/>
      <protection locked="0"/>
    </xf>
    <xf numFmtId="1" fontId="29" fillId="4" borderId="6" xfId="0" applyNumberFormat="1" applyFont="1" applyFill="1" applyBorder="1" applyAlignment="1" applyProtection="1">
      <alignment horizontal="center" vertical="center"/>
      <protection locked="0"/>
    </xf>
    <xf numFmtId="0" fontId="24" fillId="4" borderId="38" xfId="0" applyFont="1" applyFill="1" applyBorder="1" applyAlignment="1" applyProtection="1">
      <alignment vertical="top"/>
      <protection locked="0"/>
    </xf>
    <xf numFmtId="0" fontId="1" fillId="4" borderId="0" xfId="0" applyFont="1" applyFill="1" applyBorder="1" applyAlignment="1" applyProtection="1">
      <alignment horizontal="left" vertical="top"/>
      <protection locked="0"/>
    </xf>
    <xf numFmtId="0" fontId="14" fillId="6" borderId="70" xfId="0" applyFont="1" applyFill="1" applyBorder="1" applyAlignment="1" applyProtection="1">
      <alignment horizontal="center" vertical="center"/>
      <protection locked="0"/>
    </xf>
    <xf numFmtId="0" fontId="26" fillId="3" borderId="7" xfId="0" applyFont="1" applyFill="1" applyBorder="1" applyAlignment="1" applyProtection="1">
      <alignment horizontal="center" vertical="center" shrinkToFit="1"/>
      <protection locked="0"/>
    </xf>
    <xf numFmtId="0" fontId="26" fillId="3" borderId="9" xfId="0" applyFont="1" applyFill="1" applyBorder="1" applyAlignment="1" applyProtection="1">
      <alignment horizontal="center" vertical="center" shrinkToFit="1"/>
      <protection locked="0"/>
    </xf>
    <xf numFmtId="1" fontId="14" fillId="9" borderId="62" xfId="0" applyNumberFormat="1" applyFont="1" applyFill="1" applyBorder="1" applyAlignment="1" applyProtection="1">
      <alignment horizontal="center" vertical="center"/>
      <protection hidden="1"/>
    </xf>
    <xf numFmtId="1" fontId="32" fillId="0" borderId="0" xfId="0" applyNumberFormat="1" applyFont="1" applyBorder="1" applyAlignment="1" applyProtection="1">
      <alignment horizontal="center" vertical="center"/>
      <protection locked="0"/>
    </xf>
    <xf numFmtId="164" fontId="31" fillId="0" borderId="0" xfId="0" applyNumberFormat="1" applyFont="1" applyBorder="1" applyAlignment="1" applyProtection="1">
      <alignment horizontal="center" vertical="center"/>
      <protection locked="0"/>
    </xf>
    <xf numFmtId="165" fontId="32" fillId="0" borderId="0" xfId="0" applyNumberFormat="1" applyFont="1" applyBorder="1" applyAlignment="1" applyProtection="1">
      <alignment horizontal="center" vertical="center"/>
      <protection locked="0"/>
    </xf>
    <xf numFmtId="1" fontId="29" fillId="5" borderId="41" xfId="0" applyNumberFormat="1" applyFont="1" applyFill="1" applyBorder="1" applyAlignment="1" applyProtection="1">
      <alignment horizontal="center" vertical="center"/>
      <protection locked="0"/>
    </xf>
    <xf numFmtId="1" fontId="29" fillId="5" borderId="15" xfId="0" applyNumberFormat="1" applyFont="1" applyFill="1" applyBorder="1" applyAlignment="1" applyProtection="1">
      <alignment horizontal="center" vertical="center"/>
      <protection locked="0"/>
    </xf>
    <xf numFmtId="1" fontId="29" fillId="5" borderId="38" xfId="0" applyNumberFormat="1" applyFont="1" applyFill="1" applyBorder="1" applyAlignment="1" applyProtection="1">
      <alignment horizontal="center" vertical="center"/>
      <protection locked="0"/>
    </xf>
    <xf numFmtId="0" fontId="27" fillId="6" borderId="5" xfId="0" applyFont="1" applyFill="1" applyBorder="1" applyAlignment="1" applyProtection="1">
      <alignment horizontal="center" vertical="center"/>
      <protection locked="0"/>
    </xf>
    <xf numFmtId="0" fontId="27" fillId="6" borderId="90" xfId="0" applyFont="1" applyFill="1" applyBorder="1" applyAlignment="1" applyProtection="1">
      <alignment horizontal="center" vertical="center"/>
      <protection locked="0"/>
    </xf>
    <xf numFmtId="0" fontId="27" fillId="6" borderId="9" xfId="0" applyFont="1" applyFill="1" applyBorder="1" applyAlignment="1" applyProtection="1">
      <alignment horizontal="center"/>
      <protection locked="0"/>
    </xf>
    <xf numFmtId="0" fontId="27" fillId="6" borderId="14" xfId="0" applyFont="1" applyFill="1" applyBorder="1" applyAlignment="1" applyProtection="1">
      <alignment horizontal="center"/>
      <protection locked="0"/>
    </xf>
    <xf numFmtId="1" fontId="38" fillId="6" borderId="9" xfId="0" applyNumberFormat="1" applyFont="1" applyFill="1" applyBorder="1" applyProtection="1">
      <protection locked="0"/>
    </xf>
    <xf numFmtId="1" fontId="39" fillId="0" borderId="0" xfId="0" applyNumberFormat="1" applyFont="1" applyBorder="1" applyAlignment="1" applyProtection="1">
      <alignment horizontal="center" vertical="center"/>
      <protection locked="0"/>
    </xf>
    <xf numFmtId="0" fontId="21" fillId="3" borderId="24" xfId="0" applyFont="1" applyFill="1" applyBorder="1" applyAlignment="1" applyProtection="1">
      <alignment vertical="center"/>
      <protection locked="0"/>
    </xf>
    <xf numFmtId="0" fontId="21" fillId="3" borderId="0" xfId="0" applyFont="1" applyFill="1" applyBorder="1" applyAlignment="1" applyProtection="1">
      <alignment vertical="center"/>
      <protection locked="0"/>
    </xf>
    <xf numFmtId="0" fontId="21" fillId="3" borderId="78" xfId="0" applyFont="1" applyFill="1" applyBorder="1" applyAlignment="1" applyProtection="1">
      <alignment vertical="center"/>
      <protection locked="0"/>
    </xf>
    <xf numFmtId="0" fontId="18" fillId="0" borderId="78" xfId="0" applyFont="1" applyBorder="1" applyAlignment="1" applyProtection="1">
      <alignment vertical="center"/>
      <protection locked="0"/>
    </xf>
    <xf numFmtId="1" fontId="29" fillId="5" borderId="53" xfId="0" applyNumberFormat="1" applyFont="1" applyFill="1" applyBorder="1" applyAlignment="1" applyProtection="1">
      <alignment horizontal="center" vertical="center"/>
      <protection locked="0"/>
    </xf>
    <xf numFmtId="0" fontId="27" fillId="6" borderId="7" xfId="0" applyFont="1" applyFill="1" applyBorder="1" applyAlignment="1" applyProtection="1">
      <alignment horizontal="center" vertical="center"/>
      <protection locked="0"/>
    </xf>
    <xf numFmtId="0" fontId="27" fillId="6" borderId="9" xfId="0" applyFont="1" applyFill="1" applyBorder="1" applyAlignment="1" applyProtection="1">
      <alignment horizontal="center" vertical="center"/>
      <protection locked="0"/>
    </xf>
    <xf numFmtId="1" fontId="38" fillId="6" borderId="9" xfId="0" applyNumberFormat="1" applyFont="1" applyFill="1" applyBorder="1" applyAlignment="1" applyProtection="1">
      <alignment horizontal="center" vertical="center"/>
      <protection locked="0"/>
    </xf>
    <xf numFmtId="0" fontId="27" fillId="6" borderId="6" xfId="0" applyFont="1" applyFill="1" applyBorder="1" applyAlignment="1" applyProtection="1">
      <alignment horizontal="center" vertical="center"/>
      <protection locked="0"/>
    </xf>
    <xf numFmtId="1" fontId="41" fillId="5" borderId="51" xfId="0" applyNumberFormat="1" applyFont="1" applyFill="1" applyBorder="1" applyAlignment="1" applyProtection="1">
      <alignment horizontal="center" vertical="center"/>
      <protection locked="0"/>
    </xf>
    <xf numFmtId="1" fontId="41" fillId="5" borderId="52" xfId="0" applyNumberFormat="1" applyFont="1" applyFill="1" applyBorder="1" applyAlignment="1" applyProtection="1">
      <alignment horizontal="center" vertical="center"/>
      <protection locked="0"/>
    </xf>
    <xf numFmtId="1" fontId="14" fillId="9" borderId="42" xfId="0" applyNumberFormat="1" applyFont="1" applyFill="1" applyBorder="1" applyAlignment="1" applyProtection="1">
      <alignment horizontal="center" vertical="center"/>
      <protection hidden="1"/>
    </xf>
    <xf numFmtId="1" fontId="29" fillId="5" borderId="113" xfId="0" applyNumberFormat="1" applyFont="1" applyFill="1" applyBorder="1" applyAlignment="1" applyProtection="1">
      <alignment horizontal="center" vertical="center"/>
      <protection locked="0"/>
    </xf>
    <xf numFmtId="1" fontId="29" fillId="5" borderId="90" xfId="0" applyNumberFormat="1" applyFont="1" applyFill="1" applyBorder="1" applyAlignment="1" applyProtection="1">
      <alignment horizontal="center" vertical="center"/>
      <protection locked="0"/>
    </xf>
    <xf numFmtId="1" fontId="29" fillId="5" borderId="114" xfId="0" applyNumberFormat="1" applyFont="1" applyFill="1" applyBorder="1" applyAlignment="1" applyProtection="1">
      <alignment horizontal="center" vertical="center"/>
      <protection locked="0"/>
    </xf>
    <xf numFmtId="1" fontId="43" fillId="4" borderId="93" xfId="0" applyNumberFormat="1" applyFont="1" applyFill="1" applyBorder="1" applyAlignment="1" applyProtection="1">
      <alignment horizontal="center" vertical="center" wrapText="1"/>
      <protection locked="0"/>
    </xf>
    <xf numFmtId="1" fontId="29" fillId="5" borderId="117" xfId="0" applyNumberFormat="1" applyFont="1" applyFill="1" applyBorder="1" applyAlignment="1" applyProtection="1">
      <alignment horizontal="center" vertical="center"/>
      <protection locked="0"/>
    </xf>
    <xf numFmtId="0" fontId="21" fillId="0" borderId="0" xfId="0" applyFont="1" applyAlignment="1" applyProtection="1">
      <alignment vertical="center"/>
      <protection locked="0"/>
    </xf>
    <xf numFmtId="164" fontId="21" fillId="0" borderId="0" xfId="0" applyNumberFormat="1" applyFont="1" applyAlignment="1" applyProtection="1">
      <alignment vertical="center"/>
      <protection locked="0"/>
    </xf>
    <xf numFmtId="0" fontId="27" fillId="6" borderId="44" xfId="0" applyFont="1" applyFill="1" applyBorder="1" applyAlignment="1" applyProtection="1">
      <alignment horizontal="center" vertical="center"/>
      <protection locked="0"/>
    </xf>
    <xf numFmtId="0" fontId="27" fillId="6" borderId="113" xfId="0" applyFont="1" applyFill="1" applyBorder="1" applyAlignment="1" applyProtection="1">
      <alignment horizontal="center" vertical="center"/>
      <protection locked="0"/>
    </xf>
    <xf numFmtId="0" fontId="27" fillId="6" borderId="24" xfId="0" applyFont="1" applyFill="1" applyBorder="1" applyAlignment="1" applyProtection="1">
      <alignment horizontal="center" vertical="center"/>
      <protection locked="0"/>
    </xf>
    <xf numFmtId="0" fontId="26" fillId="0" borderId="0" xfId="0" applyFont="1" applyAlignment="1" applyProtection="1">
      <alignment horizontal="center" vertical="center"/>
      <protection locked="0"/>
    </xf>
    <xf numFmtId="0" fontId="26" fillId="11" borderId="81" xfId="0" applyFont="1" applyFill="1" applyBorder="1" applyAlignment="1" applyProtection="1">
      <alignment horizontal="center" vertical="center"/>
      <protection locked="0"/>
    </xf>
    <xf numFmtId="0" fontId="26" fillId="11" borderId="80" xfId="0" applyFont="1" applyFill="1" applyBorder="1" applyAlignment="1" applyProtection="1">
      <alignment horizontal="center" vertical="center"/>
      <protection locked="0"/>
    </xf>
    <xf numFmtId="0" fontId="26" fillId="11" borderId="80" xfId="0" applyFont="1" applyFill="1" applyBorder="1" applyAlignment="1" applyProtection="1">
      <alignment vertical="center" wrapText="1"/>
      <protection locked="0"/>
    </xf>
    <xf numFmtId="0" fontId="26" fillId="6" borderId="0" xfId="0" applyFont="1" applyFill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1" fontId="14" fillId="10" borderId="102" xfId="0" applyNumberFormat="1" applyFont="1" applyFill="1" applyBorder="1" applyAlignment="1" applyProtection="1">
      <alignment horizontal="center" vertical="center" wrapText="1"/>
    </xf>
    <xf numFmtId="1" fontId="14" fillId="0" borderId="99" xfId="0" applyNumberFormat="1" applyFont="1" applyFill="1" applyBorder="1" applyAlignment="1" applyProtection="1">
      <alignment horizontal="center" vertical="center" wrapText="1"/>
    </xf>
    <xf numFmtId="1" fontId="14" fillId="10" borderId="99" xfId="0" applyNumberFormat="1" applyFont="1" applyFill="1" applyBorder="1" applyAlignment="1" applyProtection="1">
      <alignment horizontal="center" vertical="center" wrapText="1"/>
    </xf>
    <xf numFmtId="1" fontId="27" fillId="6" borderId="7" xfId="0" applyNumberFormat="1" applyFont="1" applyFill="1" applyBorder="1" applyAlignment="1" applyProtection="1">
      <alignment horizontal="center" vertical="center"/>
      <protection locked="0" hidden="1"/>
    </xf>
    <xf numFmtId="1" fontId="27" fillId="6" borderId="9" xfId="0" applyNumberFormat="1" applyFont="1" applyFill="1" applyBorder="1" applyAlignment="1" applyProtection="1">
      <alignment horizontal="center" vertical="center"/>
      <protection locked="0" hidden="1"/>
    </xf>
    <xf numFmtId="164" fontId="18" fillId="0" borderId="0" xfId="0" applyNumberFormat="1" applyFont="1" applyAlignment="1" applyProtection="1">
      <alignment vertical="center"/>
      <protection locked="0" hidden="1"/>
    </xf>
    <xf numFmtId="1" fontId="0" fillId="0" borderId="0" xfId="0" applyNumberFormat="1" applyProtection="1">
      <protection locked="0"/>
    </xf>
    <xf numFmtId="1" fontId="27" fillId="6" borderId="93" xfId="0" applyNumberFormat="1" applyFont="1" applyFill="1" applyBorder="1" applyAlignment="1" applyProtection="1">
      <alignment horizontal="center" vertical="center"/>
      <protection locked="0" hidden="1"/>
    </xf>
    <xf numFmtId="1" fontId="30" fillId="4" borderId="69" xfId="0" applyNumberFormat="1" applyFont="1" applyFill="1" applyBorder="1" applyAlignment="1" applyProtection="1">
      <alignment horizontal="center" vertical="center"/>
      <protection locked="0" hidden="1"/>
    </xf>
    <xf numFmtId="1" fontId="38" fillId="6" borderId="14" xfId="0" applyNumberFormat="1" applyFont="1" applyFill="1" applyBorder="1" applyAlignment="1" applyProtection="1">
      <alignment horizontal="center" vertical="center"/>
      <protection locked="0" hidden="1"/>
    </xf>
    <xf numFmtId="0" fontId="0" fillId="0" borderId="0" xfId="0" applyAlignment="1" applyProtection="1">
      <alignment horizontal="center"/>
      <protection locked="0"/>
    </xf>
    <xf numFmtId="1" fontId="14" fillId="9" borderId="112" xfId="0" applyNumberFormat="1" applyFont="1" applyFill="1" applyBorder="1" applyAlignment="1" applyProtection="1">
      <alignment horizontal="center" vertical="center"/>
      <protection locked="0" hidden="1"/>
    </xf>
    <xf numFmtId="1" fontId="14" fillId="9" borderId="6" xfId="0" applyNumberFormat="1" applyFont="1" applyFill="1" applyBorder="1" applyAlignment="1" applyProtection="1">
      <alignment horizontal="center" vertical="center"/>
      <protection locked="0" hidden="1"/>
    </xf>
    <xf numFmtId="1" fontId="14" fillId="9" borderId="76" xfId="0" applyNumberFormat="1" applyFont="1" applyFill="1" applyBorder="1" applyAlignment="1" applyProtection="1">
      <alignment horizontal="center" vertical="center"/>
      <protection locked="0" hidden="1"/>
    </xf>
    <xf numFmtId="1" fontId="27" fillId="6" borderId="14" xfId="0" applyNumberFormat="1" applyFont="1" applyFill="1" applyBorder="1" applyAlignment="1" applyProtection="1">
      <alignment horizontal="center" vertical="center"/>
      <protection hidden="1"/>
    </xf>
    <xf numFmtId="0" fontId="27" fillId="6" borderId="6" xfId="0" applyFont="1" applyFill="1" applyBorder="1" applyAlignment="1" applyProtection="1">
      <alignment horizontal="center" vertical="center"/>
    </xf>
    <xf numFmtId="1" fontId="27" fillId="6" borderId="6" xfId="0" applyNumberFormat="1" applyFont="1" applyFill="1" applyBorder="1" applyAlignment="1" applyProtection="1">
      <alignment horizontal="center" vertical="center"/>
      <protection hidden="1"/>
    </xf>
    <xf numFmtId="0" fontId="27" fillId="6" borderId="14" xfId="0" applyFont="1" applyFill="1" applyBorder="1" applyAlignment="1" applyProtection="1">
      <alignment horizontal="center" vertical="center"/>
    </xf>
    <xf numFmtId="1" fontId="1" fillId="8" borderId="75" xfId="0" applyNumberFormat="1" applyFont="1" applyFill="1" applyBorder="1" applyAlignment="1" applyProtection="1">
      <alignment horizontal="left" vertical="center" shrinkToFit="1"/>
      <protection locked="0" hidden="1"/>
    </xf>
    <xf numFmtId="1" fontId="1" fillId="12" borderId="64" xfId="0" applyNumberFormat="1" applyFont="1" applyFill="1" applyBorder="1" applyAlignment="1" applyProtection="1">
      <alignment horizontal="left" vertical="center" shrinkToFit="1"/>
      <protection locked="0" hidden="1"/>
    </xf>
    <xf numFmtId="1" fontId="1" fillId="12" borderId="65" xfId="0" applyNumberFormat="1" applyFont="1" applyFill="1" applyBorder="1" applyAlignment="1" applyProtection="1">
      <alignment horizontal="left" vertical="center" shrinkToFit="1"/>
      <protection locked="0" hidden="1"/>
    </xf>
    <xf numFmtId="1" fontId="1" fillId="8" borderId="59" xfId="0" applyNumberFormat="1" applyFont="1" applyFill="1" applyBorder="1" applyAlignment="1" applyProtection="1">
      <alignment horizontal="left" vertical="center" shrinkToFit="1"/>
      <protection locked="0" hidden="1"/>
    </xf>
    <xf numFmtId="1" fontId="1" fillId="8" borderId="65" xfId="0" applyNumberFormat="1" applyFont="1" applyFill="1" applyBorder="1" applyAlignment="1" applyProtection="1">
      <alignment horizontal="left" vertical="center" shrinkToFit="1"/>
      <protection locked="0" hidden="1"/>
    </xf>
    <xf numFmtId="1" fontId="1" fillId="12" borderId="67" xfId="0" applyNumberFormat="1" applyFont="1" applyFill="1" applyBorder="1" applyAlignment="1" applyProtection="1">
      <alignment horizontal="left" vertical="center" shrinkToFit="1"/>
      <protection locked="0" hidden="1"/>
    </xf>
    <xf numFmtId="1" fontId="1" fillId="12" borderId="68" xfId="0" applyNumberFormat="1" applyFont="1" applyFill="1" applyBorder="1" applyAlignment="1" applyProtection="1">
      <alignment horizontal="left" vertical="center" shrinkToFit="1"/>
      <protection locked="0" hidden="1"/>
    </xf>
    <xf numFmtId="1" fontId="1" fillId="12" borderId="78" xfId="0" applyNumberFormat="1" applyFont="1" applyFill="1" applyBorder="1" applyAlignment="1" applyProtection="1">
      <alignment horizontal="left" vertical="center" shrinkToFit="1"/>
      <protection locked="0" hidden="1"/>
    </xf>
    <xf numFmtId="2" fontId="4" fillId="0" borderId="0" xfId="0" applyNumberFormat="1" applyFont="1" applyBorder="1" applyProtection="1">
      <protection locked="0"/>
    </xf>
    <xf numFmtId="2" fontId="0" fillId="0" borderId="0" xfId="0" applyNumberFormat="1" applyProtection="1">
      <protection locked="0"/>
    </xf>
    <xf numFmtId="2" fontId="5" fillId="0" borderId="0" xfId="0" applyNumberFormat="1" applyFont="1" applyFill="1" applyBorder="1" applyProtection="1">
      <protection locked="0"/>
    </xf>
    <xf numFmtId="2" fontId="3" fillId="0" borderId="0" xfId="0" applyNumberFormat="1" applyFont="1" applyProtection="1">
      <protection locked="0"/>
    </xf>
    <xf numFmtId="2" fontId="4" fillId="0" borderId="0" xfId="0" applyNumberFormat="1" applyFont="1" applyFill="1" applyBorder="1" applyProtection="1">
      <protection locked="0"/>
    </xf>
    <xf numFmtId="2" fontId="11" fillId="0" borderId="0" xfId="0" applyNumberFormat="1" applyFont="1" applyFill="1" applyBorder="1" applyProtection="1">
      <protection locked="0"/>
    </xf>
    <xf numFmtId="2" fontId="6" fillId="0" borderId="0" xfId="0" applyNumberFormat="1" applyFont="1" applyFill="1" applyBorder="1" applyProtection="1">
      <protection locked="0"/>
    </xf>
    <xf numFmtId="2" fontId="6" fillId="0" borderId="0" xfId="0" applyNumberFormat="1" applyFont="1" applyFill="1" applyBorder="1" applyAlignment="1" applyProtection="1">
      <alignment horizontal="left"/>
      <protection locked="0"/>
    </xf>
    <xf numFmtId="2" fontId="6" fillId="0" borderId="0" xfId="0" applyNumberFormat="1" applyFont="1" applyBorder="1" applyProtection="1">
      <protection locked="0"/>
    </xf>
    <xf numFmtId="2" fontId="6" fillId="0" borderId="0" xfId="0" applyNumberFormat="1" applyFont="1" applyBorder="1" applyAlignment="1" applyProtection="1">
      <alignment horizontal="left"/>
      <protection locked="0"/>
    </xf>
    <xf numFmtId="2" fontId="6" fillId="0" borderId="0" xfId="0" applyNumberFormat="1" applyFont="1" applyBorder="1" applyAlignment="1" applyProtection="1">
      <alignment horizontal="center"/>
      <protection locked="0"/>
    </xf>
    <xf numFmtId="2" fontId="10" fillId="0" borderId="0" xfId="0" applyNumberFormat="1" applyFont="1" applyBorder="1" applyProtection="1">
      <protection locked="0"/>
    </xf>
    <xf numFmtId="2" fontId="1" fillId="0" borderId="0" xfId="0" applyNumberFormat="1" applyFont="1" applyBorder="1" applyProtection="1">
      <protection locked="0"/>
    </xf>
    <xf numFmtId="2" fontId="2" fillId="0" borderId="0" xfId="0" applyNumberFormat="1" applyFont="1" applyBorder="1" applyAlignment="1" applyProtection="1">
      <alignment horizontal="center"/>
      <protection locked="0"/>
    </xf>
    <xf numFmtId="2" fontId="7" fillId="0" borderId="0" xfId="0" applyNumberFormat="1" applyFont="1" applyProtection="1">
      <protection locked="0"/>
    </xf>
    <xf numFmtId="2" fontId="8" fillId="2" borderId="12" xfId="0" applyNumberFormat="1" applyFont="1" applyFill="1" applyBorder="1" applyAlignment="1" applyProtection="1">
      <alignment vertical="top" wrapText="1"/>
      <protection locked="0"/>
    </xf>
    <xf numFmtId="2" fontId="8" fillId="2" borderId="0" xfId="0" applyNumberFormat="1" applyFont="1" applyFill="1" applyBorder="1" applyAlignment="1" applyProtection="1">
      <alignment vertical="top" wrapText="1"/>
      <protection locked="0"/>
    </xf>
    <xf numFmtId="2" fontId="9" fillId="2" borderId="12" xfId="0" applyNumberFormat="1" applyFont="1" applyFill="1" applyBorder="1" applyAlignment="1" applyProtection="1">
      <alignment horizontal="center" vertical="center" wrapText="1"/>
      <protection locked="0"/>
    </xf>
    <xf numFmtId="2" fontId="9" fillId="2" borderId="0" xfId="0" applyNumberFormat="1" applyFont="1" applyFill="1" applyBorder="1" applyAlignment="1" applyProtection="1">
      <alignment horizontal="center" vertical="center"/>
      <protection locked="0"/>
    </xf>
    <xf numFmtId="2" fontId="1" fillId="0" borderId="0" xfId="0" applyNumberFormat="1" applyFont="1" applyFill="1" applyBorder="1" applyAlignment="1" applyProtection="1">
      <alignment horizontal="center" vertical="center" wrapText="1"/>
      <protection locked="0"/>
    </xf>
    <xf numFmtId="1" fontId="7" fillId="10" borderId="95" xfId="0" applyNumberFormat="1" applyFont="1" applyFill="1" applyBorder="1" applyAlignment="1" applyProtection="1">
      <alignment horizontal="center"/>
      <protection locked="0"/>
    </xf>
    <xf numFmtId="1" fontId="7" fillId="0" borderId="11" xfId="0" applyNumberFormat="1" applyFont="1" applyBorder="1" applyAlignment="1" applyProtection="1">
      <alignment horizontal="center"/>
      <protection locked="0"/>
    </xf>
    <xf numFmtId="1" fontId="7" fillId="10" borderId="11" xfId="0" applyNumberFormat="1" applyFont="1" applyFill="1" applyBorder="1" applyAlignment="1" applyProtection="1">
      <alignment horizontal="center"/>
      <protection locked="0"/>
    </xf>
    <xf numFmtId="2" fontId="44" fillId="0" borderId="0" xfId="0" applyNumberFormat="1" applyFont="1" applyProtection="1">
      <protection locked="0"/>
    </xf>
    <xf numFmtId="0" fontId="44" fillId="0" borderId="0" xfId="0" applyFont="1" applyProtection="1">
      <protection locked="0"/>
    </xf>
    <xf numFmtId="1" fontId="7" fillId="10" borderId="137" xfId="0" applyNumberFormat="1" applyFont="1" applyFill="1" applyBorder="1" applyAlignment="1" applyProtection="1">
      <alignment horizontal="center"/>
      <protection locked="0"/>
    </xf>
    <xf numFmtId="1" fontId="14" fillId="10" borderId="142" xfId="0" applyNumberFormat="1" applyFont="1" applyFill="1" applyBorder="1" applyAlignment="1" applyProtection="1">
      <alignment horizontal="center" vertical="center" wrapText="1"/>
    </xf>
    <xf numFmtId="1" fontId="7" fillId="10" borderId="122" xfId="0" applyNumberFormat="1" applyFont="1" applyFill="1" applyBorder="1" applyAlignment="1" applyProtection="1">
      <alignment horizontal="center"/>
      <protection locked="0"/>
    </xf>
    <xf numFmtId="1" fontId="14" fillId="10" borderId="149" xfId="0" applyNumberFormat="1" applyFont="1" applyFill="1" applyBorder="1" applyAlignment="1" applyProtection="1">
      <alignment horizontal="center" vertical="center" wrapText="1"/>
    </xf>
    <xf numFmtId="1" fontId="7" fillId="0" borderId="6" xfId="0" applyNumberFormat="1" applyFont="1" applyBorder="1" applyAlignment="1" applyProtection="1">
      <alignment horizontal="center"/>
      <protection locked="0"/>
    </xf>
    <xf numFmtId="1" fontId="14" fillId="0" borderId="154" xfId="0" applyNumberFormat="1" applyFont="1" applyFill="1" applyBorder="1" applyAlignment="1" applyProtection="1">
      <alignment horizontal="center" vertical="center" wrapText="1"/>
    </xf>
    <xf numFmtId="0" fontId="34" fillId="7" borderId="59" xfId="0" applyFont="1" applyFill="1" applyBorder="1" applyAlignment="1" applyProtection="1">
      <alignment horizontal="center" vertical="center"/>
      <protection hidden="1"/>
    </xf>
    <xf numFmtId="0" fontId="34" fillId="3" borderId="59" xfId="0" applyFont="1" applyFill="1" applyBorder="1" applyAlignment="1" applyProtection="1">
      <alignment horizontal="center" vertical="center"/>
      <protection hidden="1"/>
    </xf>
    <xf numFmtId="0" fontId="34" fillId="7" borderId="86" xfId="0" applyFont="1" applyFill="1" applyBorder="1" applyAlignment="1" applyProtection="1">
      <alignment horizontal="center" vertical="center"/>
      <protection hidden="1"/>
    </xf>
    <xf numFmtId="0" fontId="34" fillId="3" borderId="70" xfId="0" applyFont="1" applyFill="1" applyBorder="1" applyAlignment="1" applyProtection="1">
      <alignment horizontal="center" vertical="center"/>
      <protection hidden="1"/>
    </xf>
    <xf numFmtId="1" fontId="1" fillId="8" borderId="60" xfId="0" applyNumberFormat="1" applyFont="1" applyFill="1" applyBorder="1" applyAlignment="1" applyProtection="1">
      <alignment horizontal="center" vertical="center"/>
      <protection locked="0"/>
    </xf>
    <xf numFmtId="1" fontId="1" fillId="8" borderId="61" xfId="0" applyNumberFormat="1" applyFont="1" applyFill="1" applyBorder="1" applyAlignment="1" applyProtection="1">
      <alignment horizontal="center" vertical="center"/>
      <protection locked="0"/>
    </xf>
    <xf numFmtId="1" fontId="1" fillId="5" borderId="77" xfId="0" applyNumberFormat="1" applyFont="1" applyFill="1" applyBorder="1" applyAlignment="1" applyProtection="1">
      <alignment horizontal="center" vertical="center"/>
      <protection locked="0"/>
    </xf>
    <xf numFmtId="1" fontId="1" fillId="5" borderId="78" xfId="0" applyNumberFormat="1" applyFont="1" applyFill="1" applyBorder="1" applyAlignment="1" applyProtection="1">
      <alignment horizontal="center" vertical="center"/>
      <protection locked="0"/>
    </xf>
    <xf numFmtId="1" fontId="1" fillId="5" borderId="79" xfId="0" applyNumberFormat="1" applyFont="1" applyFill="1" applyBorder="1" applyAlignment="1" applyProtection="1">
      <alignment horizontal="center" vertical="center"/>
      <protection locked="0"/>
    </xf>
    <xf numFmtId="1" fontId="1" fillId="5" borderId="94" xfId="0" applyNumberFormat="1" applyFont="1" applyFill="1" applyBorder="1" applyAlignment="1" applyProtection="1">
      <alignment horizontal="center" vertical="center"/>
      <protection locked="0"/>
    </xf>
    <xf numFmtId="1" fontId="1" fillId="8" borderId="64" xfId="0" applyNumberFormat="1" applyFont="1" applyFill="1" applyBorder="1" applyAlignment="1" applyProtection="1">
      <alignment horizontal="center" vertical="center"/>
      <protection locked="0"/>
    </xf>
    <xf numFmtId="1" fontId="1" fillId="10" borderId="65" xfId="0" applyNumberFormat="1" applyFont="1" applyFill="1" applyBorder="1" applyAlignment="1" applyProtection="1">
      <alignment horizontal="center" vertical="center"/>
      <protection locked="0"/>
    </xf>
    <xf numFmtId="1" fontId="1" fillId="10" borderId="56" xfId="0" applyNumberFormat="1" applyFont="1" applyFill="1" applyBorder="1" applyAlignment="1" applyProtection="1">
      <alignment horizontal="center" vertical="center"/>
      <protection locked="0"/>
    </xf>
    <xf numFmtId="1" fontId="1" fillId="5" borderId="64" xfId="0" applyNumberFormat="1" applyFont="1" applyFill="1" applyBorder="1" applyAlignment="1" applyProtection="1">
      <alignment horizontal="center" vertical="center"/>
      <protection locked="0"/>
    </xf>
    <xf numFmtId="1" fontId="1" fillId="5" borderId="65" xfId="0" applyNumberFormat="1" applyFont="1" applyFill="1" applyBorder="1" applyAlignment="1" applyProtection="1">
      <alignment horizontal="center" vertical="center"/>
      <protection locked="0"/>
    </xf>
    <xf numFmtId="1" fontId="1" fillId="5" borderId="56" xfId="0" applyNumberFormat="1" applyFont="1" applyFill="1" applyBorder="1" applyAlignment="1" applyProtection="1">
      <alignment horizontal="center" vertical="center"/>
      <protection locked="0"/>
    </xf>
    <xf numFmtId="1" fontId="1" fillId="0" borderId="65" xfId="0" applyNumberFormat="1" applyFont="1" applyBorder="1" applyAlignment="1" applyProtection="1">
      <alignment horizontal="center" vertical="center"/>
      <protection locked="0"/>
    </xf>
    <xf numFmtId="1" fontId="1" fillId="10" borderId="64" xfId="0" applyNumberFormat="1" applyFont="1" applyFill="1" applyBorder="1" applyAlignment="1" applyProtection="1">
      <alignment horizontal="center" vertical="center"/>
      <protection locked="0"/>
    </xf>
    <xf numFmtId="1" fontId="1" fillId="3" borderId="64" xfId="0" applyNumberFormat="1" applyFont="1" applyFill="1" applyBorder="1" applyAlignment="1" applyProtection="1">
      <alignment horizontal="center" vertical="center"/>
      <protection locked="0"/>
    </xf>
    <xf numFmtId="1" fontId="1" fillId="3" borderId="65" xfId="0" applyNumberFormat="1" applyFont="1" applyFill="1" applyBorder="1" applyAlignment="1" applyProtection="1">
      <alignment horizontal="center" vertical="center"/>
      <protection locked="0"/>
    </xf>
    <xf numFmtId="1" fontId="1" fillId="3" borderId="56" xfId="0" applyNumberFormat="1" applyFont="1" applyFill="1" applyBorder="1" applyAlignment="1" applyProtection="1">
      <alignment horizontal="center" vertical="center"/>
      <protection locked="0"/>
    </xf>
    <xf numFmtId="1" fontId="1" fillId="10" borderId="77" xfId="0" applyNumberFormat="1" applyFont="1" applyFill="1" applyBorder="1" applyAlignment="1" applyProtection="1">
      <alignment horizontal="center" vertical="center"/>
      <protection locked="0"/>
    </xf>
    <xf numFmtId="1" fontId="1" fillId="10" borderId="78" xfId="0" applyNumberFormat="1" applyFont="1" applyFill="1" applyBorder="1" applyAlignment="1" applyProtection="1">
      <alignment horizontal="center" vertical="center"/>
      <protection locked="0"/>
    </xf>
    <xf numFmtId="1" fontId="1" fillId="8" borderId="94" xfId="0" applyNumberFormat="1" applyFont="1" applyFill="1" applyBorder="1" applyAlignment="1" applyProtection="1">
      <alignment horizontal="center" vertical="center"/>
      <protection locked="0"/>
    </xf>
    <xf numFmtId="1" fontId="1" fillId="8" borderId="74" xfId="0" applyNumberFormat="1" applyFont="1" applyFill="1" applyBorder="1" applyAlignment="1" applyProtection="1">
      <alignment horizontal="center" vertical="center"/>
      <protection locked="0"/>
    </xf>
    <xf numFmtId="1" fontId="1" fillId="8" borderId="75" xfId="0" applyNumberFormat="1" applyFont="1" applyFill="1" applyBorder="1" applyAlignment="1" applyProtection="1">
      <alignment horizontal="center" vertical="center"/>
      <protection locked="0"/>
    </xf>
    <xf numFmtId="1" fontId="1" fillId="8" borderId="58" xfId="0" applyNumberFormat="1" applyFont="1" applyFill="1" applyBorder="1" applyAlignment="1" applyProtection="1">
      <alignment horizontal="center" vertical="center"/>
      <protection locked="0"/>
    </xf>
    <xf numFmtId="1" fontId="1" fillId="5" borderId="54" xfId="0" applyNumberFormat="1" applyFont="1" applyFill="1" applyBorder="1" applyAlignment="1" applyProtection="1">
      <alignment horizontal="center" vertical="center"/>
      <protection locked="0"/>
    </xf>
    <xf numFmtId="1" fontId="1" fillId="8" borderId="55" xfId="0" applyNumberFormat="1" applyFont="1" applyFill="1" applyBorder="1" applyAlignment="1" applyProtection="1">
      <alignment horizontal="center" vertical="center"/>
      <protection locked="0"/>
    </xf>
    <xf numFmtId="1" fontId="1" fillId="5" borderId="55" xfId="0" applyNumberFormat="1" applyFont="1" applyFill="1" applyBorder="1" applyAlignment="1" applyProtection="1">
      <alignment horizontal="center" vertical="center"/>
      <protection locked="0"/>
    </xf>
    <xf numFmtId="1" fontId="1" fillId="10" borderId="55" xfId="0" applyNumberFormat="1" applyFont="1" applyFill="1" applyBorder="1" applyAlignment="1" applyProtection="1">
      <alignment horizontal="center" vertical="center"/>
      <protection locked="0"/>
    </xf>
    <xf numFmtId="1" fontId="1" fillId="3" borderId="55" xfId="0" applyNumberFormat="1" applyFont="1" applyFill="1" applyBorder="1" applyAlignment="1" applyProtection="1">
      <alignment horizontal="center" vertical="center"/>
      <protection locked="0"/>
    </xf>
    <xf numFmtId="1" fontId="1" fillId="10" borderId="54" xfId="0" applyNumberFormat="1" applyFont="1" applyFill="1" applyBorder="1" applyAlignment="1" applyProtection="1">
      <alignment horizontal="center" vertical="center"/>
      <protection locked="0"/>
    </xf>
    <xf numFmtId="1" fontId="1" fillId="5" borderId="88" xfId="0" applyNumberFormat="1" applyFont="1" applyFill="1" applyBorder="1" applyAlignment="1" applyProtection="1">
      <alignment horizontal="center" vertical="center"/>
      <protection locked="0"/>
    </xf>
    <xf numFmtId="1" fontId="1" fillId="5" borderId="87" xfId="0" applyNumberFormat="1" applyFont="1" applyFill="1" applyBorder="1" applyAlignment="1" applyProtection="1">
      <alignment horizontal="center" vertical="center"/>
      <protection locked="0"/>
    </xf>
    <xf numFmtId="1" fontId="2" fillId="0" borderId="5" xfId="0" applyNumberFormat="1" applyFont="1" applyBorder="1" applyAlignment="1" applyProtection="1">
      <alignment horizontal="center" vertical="center"/>
    </xf>
    <xf numFmtId="164" fontId="2" fillId="0" borderId="6" xfId="0" applyNumberFormat="1" applyFont="1" applyBorder="1" applyAlignment="1" applyProtection="1">
      <alignment horizontal="center" vertical="center"/>
    </xf>
    <xf numFmtId="165" fontId="2" fillId="0" borderId="6" xfId="0" applyNumberFormat="1" applyFont="1" applyBorder="1" applyAlignment="1" applyProtection="1">
      <alignment horizontal="center" vertical="center"/>
    </xf>
    <xf numFmtId="1" fontId="1" fillId="10" borderId="94" xfId="0" applyNumberFormat="1" applyFont="1" applyFill="1" applyBorder="1" applyAlignment="1" applyProtection="1">
      <alignment horizontal="center" vertical="center"/>
      <protection locked="0"/>
    </xf>
    <xf numFmtId="1" fontId="1" fillId="5" borderId="70" xfId="0" applyNumberFormat="1" applyFont="1" applyFill="1" applyBorder="1" applyAlignment="1" applyProtection="1">
      <alignment horizontal="center" vertical="center"/>
      <protection locked="0"/>
    </xf>
    <xf numFmtId="1" fontId="1" fillId="5" borderId="71" xfId="0" applyNumberFormat="1" applyFont="1" applyFill="1" applyBorder="1" applyAlignment="1" applyProtection="1">
      <alignment horizontal="center" vertical="center"/>
      <protection locked="0"/>
    </xf>
    <xf numFmtId="0" fontId="1" fillId="3" borderId="7" xfId="0" applyFont="1" applyFill="1" applyBorder="1" applyAlignment="1" applyProtection="1">
      <alignment horizontal="center" vertical="center" shrinkToFit="1"/>
      <protection locked="0"/>
    </xf>
    <xf numFmtId="0" fontId="1" fillId="3" borderId="9" xfId="0" applyFont="1" applyFill="1" applyBorder="1" applyAlignment="1" applyProtection="1">
      <alignment horizontal="center" vertical="center" shrinkToFit="1"/>
      <protection locked="0"/>
    </xf>
    <xf numFmtId="1" fontId="1" fillId="5" borderId="9" xfId="0" applyNumberFormat="1" applyFont="1" applyFill="1" applyBorder="1" applyAlignment="1" applyProtection="1">
      <alignment horizontal="center" vertical="center"/>
      <protection locked="0"/>
    </xf>
    <xf numFmtId="1" fontId="1" fillId="5" borderId="14" xfId="0" applyNumberFormat="1" applyFont="1" applyFill="1" applyBorder="1" applyAlignment="1" applyProtection="1">
      <alignment horizontal="center" vertical="center"/>
      <protection locked="0"/>
    </xf>
    <xf numFmtId="1" fontId="1" fillId="8" borderId="156" xfId="0" applyNumberFormat="1" applyFont="1" applyFill="1" applyBorder="1" applyAlignment="1" applyProtection="1">
      <alignment horizontal="center" vertical="center"/>
      <protection locked="0"/>
    </xf>
    <xf numFmtId="1" fontId="1" fillId="5" borderId="92" xfId="0" applyNumberFormat="1" applyFont="1" applyFill="1" applyBorder="1" applyAlignment="1" applyProtection="1">
      <alignment horizontal="center" vertical="center"/>
      <protection locked="0"/>
    </xf>
    <xf numFmtId="1" fontId="1" fillId="8" borderId="65" xfId="0" applyNumberFormat="1" applyFont="1" applyFill="1" applyBorder="1" applyAlignment="1" applyProtection="1">
      <alignment horizontal="center" vertical="center"/>
      <protection locked="0"/>
    </xf>
    <xf numFmtId="1" fontId="1" fillId="10" borderId="92" xfId="0" applyNumberFormat="1" applyFont="1" applyFill="1" applyBorder="1" applyAlignment="1" applyProtection="1">
      <alignment horizontal="center" vertical="center"/>
      <protection locked="0"/>
    </xf>
    <xf numFmtId="1" fontId="1" fillId="3" borderId="92" xfId="0" applyNumberFormat="1" applyFont="1" applyFill="1" applyBorder="1" applyAlignment="1" applyProtection="1">
      <alignment horizontal="center" vertical="center"/>
      <protection locked="0"/>
    </xf>
    <xf numFmtId="1" fontId="1" fillId="8" borderId="92" xfId="0" applyNumberFormat="1" applyFont="1" applyFill="1" applyBorder="1" applyAlignment="1" applyProtection="1">
      <alignment horizontal="center" vertical="center"/>
      <protection locked="0"/>
    </xf>
    <xf numFmtId="1" fontId="1" fillId="5" borderId="68" xfId="0" applyNumberFormat="1" applyFont="1" applyFill="1" applyBorder="1" applyAlignment="1" applyProtection="1">
      <alignment horizontal="center" vertical="center"/>
      <protection locked="0"/>
    </xf>
    <xf numFmtId="1" fontId="1" fillId="5" borderId="110" xfId="0" applyNumberFormat="1" applyFont="1" applyFill="1" applyBorder="1" applyAlignment="1" applyProtection="1">
      <alignment horizontal="center" vertical="center"/>
      <protection locked="0"/>
    </xf>
    <xf numFmtId="1" fontId="1" fillId="5" borderId="67" xfId="0" applyNumberFormat="1" applyFont="1" applyFill="1" applyBorder="1" applyAlignment="1" applyProtection="1">
      <alignment horizontal="center" vertical="center"/>
      <protection locked="0"/>
    </xf>
    <xf numFmtId="1" fontId="1" fillId="8" borderId="59" xfId="0" applyNumberFormat="1" applyFont="1" applyFill="1" applyBorder="1" applyAlignment="1" applyProtection="1">
      <alignment horizontal="center" vertical="center" shrinkToFit="1"/>
      <protection locked="0" hidden="1"/>
    </xf>
    <xf numFmtId="1" fontId="1" fillId="12" borderId="64" xfId="0" applyNumberFormat="1" applyFont="1" applyFill="1" applyBorder="1" applyAlignment="1" applyProtection="1">
      <alignment horizontal="center" vertical="center" shrinkToFit="1"/>
      <protection locked="0" hidden="1"/>
    </xf>
    <xf numFmtId="1" fontId="1" fillId="12" borderId="65" xfId="0" applyNumberFormat="1" applyFont="1" applyFill="1" applyBorder="1" applyAlignment="1" applyProtection="1">
      <alignment horizontal="center" vertical="center" shrinkToFit="1"/>
      <protection locked="0" hidden="1"/>
    </xf>
    <xf numFmtId="1" fontId="1" fillId="8" borderId="65" xfId="0" applyNumberFormat="1" applyFont="1" applyFill="1" applyBorder="1" applyAlignment="1" applyProtection="1">
      <alignment horizontal="center" vertical="center" shrinkToFit="1"/>
      <protection locked="0" hidden="1"/>
    </xf>
    <xf numFmtId="1" fontId="1" fillId="12" borderId="67" xfId="0" applyNumberFormat="1" applyFont="1" applyFill="1" applyBorder="1" applyAlignment="1" applyProtection="1">
      <alignment horizontal="center" vertical="center" shrinkToFit="1"/>
      <protection locked="0" hidden="1"/>
    </xf>
    <xf numFmtId="1" fontId="1" fillId="12" borderId="68" xfId="0" applyNumberFormat="1" applyFont="1" applyFill="1" applyBorder="1" applyAlignment="1" applyProtection="1">
      <alignment horizontal="center" vertical="center" shrinkToFit="1"/>
      <protection locked="0" hidden="1"/>
    </xf>
    <xf numFmtId="1" fontId="41" fillId="5" borderId="86" xfId="0" applyNumberFormat="1" applyFont="1" applyFill="1" applyBorder="1" applyAlignment="1" applyProtection="1">
      <alignment horizontal="center" vertical="center"/>
      <protection locked="0"/>
    </xf>
    <xf numFmtId="1" fontId="41" fillId="5" borderId="115" xfId="0" applyNumberFormat="1" applyFont="1" applyFill="1" applyBorder="1" applyAlignment="1" applyProtection="1">
      <alignment horizontal="center" vertical="center"/>
      <protection locked="0"/>
    </xf>
    <xf numFmtId="1" fontId="41" fillId="3" borderId="116" xfId="0" applyNumberFormat="1" applyFont="1" applyFill="1" applyBorder="1" applyAlignment="1" applyProtection="1">
      <alignment horizontal="center" vertical="center"/>
      <protection locked="0"/>
    </xf>
    <xf numFmtId="1" fontId="2" fillId="0" borderId="6" xfId="0" applyNumberFormat="1" applyFont="1" applyBorder="1" applyAlignment="1" applyProtection="1">
      <alignment horizontal="center" vertical="center"/>
    </xf>
    <xf numFmtId="1" fontId="1" fillId="8" borderId="59" xfId="0" applyNumberFormat="1" applyFont="1" applyFill="1" applyBorder="1" applyAlignment="1" applyProtection="1">
      <alignment horizontal="center" vertical="center"/>
      <protection locked="0"/>
    </xf>
    <xf numFmtId="1" fontId="1" fillId="8" borderId="60" xfId="0" applyNumberFormat="1" applyFont="1" applyFill="1" applyBorder="1" applyAlignment="1" applyProtection="1">
      <alignment horizontal="center" vertical="center" shrinkToFit="1"/>
      <protection locked="0" hidden="1"/>
    </xf>
    <xf numFmtId="1" fontId="13" fillId="10" borderId="95" xfId="0" applyNumberFormat="1" applyFont="1" applyFill="1" applyBorder="1" applyAlignment="1" applyProtection="1">
      <alignment horizontal="center" vertical="center" wrapText="1"/>
      <protection locked="0"/>
    </xf>
    <xf numFmtId="1" fontId="13" fillId="0" borderId="11" xfId="0" applyNumberFormat="1" applyFont="1" applyBorder="1" applyAlignment="1" applyProtection="1">
      <alignment horizontal="center" vertical="center"/>
      <protection locked="0"/>
    </xf>
    <xf numFmtId="1" fontId="13" fillId="10" borderId="11" xfId="0" applyNumberFormat="1" applyFont="1" applyFill="1" applyBorder="1" applyAlignment="1" applyProtection="1">
      <alignment horizontal="center" vertical="center"/>
      <protection locked="0"/>
    </xf>
    <xf numFmtId="0" fontId="46" fillId="10" borderId="97" xfId="0" applyFont="1" applyFill="1" applyBorder="1" applyAlignment="1" applyProtection="1">
      <alignment horizontal="left" wrapText="1"/>
      <protection locked="0"/>
    </xf>
    <xf numFmtId="0" fontId="46" fillId="0" borderId="50" xfId="0" applyFont="1" applyBorder="1" applyAlignment="1" applyProtection="1">
      <alignment horizontal="left" wrapText="1"/>
      <protection locked="0"/>
    </xf>
    <xf numFmtId="0" fontId="46" fillId="10" borderId="50" xfId="0" applyFont="1" applyFill="1" applyBorder="1" applyAlignment="1" applyProtection="1">
      <alignment horizontal="left" wrapText="1"/>
      <protection locked="0"/>
    </xf>
    <xf numFmtId="2" fontId="46" fillId="10" borderId="138" xfId="0" applyNumberFormat="1" applyFont="1" applyFill="1" applyBorder="1" applyAlignment="1" applyProtection="1">
      <alignment horizontal="left" wrapText="1"/>
      <protection locked="0"/>
    </xf>
    <xf numFmtId="2" fontId="46" fillId="0" borderId="50" xfId="0" applyNumberFormat="1" applyFont="1" applyBorder="1" applyAlignment="1" applyProtection="1">
      <alignment horizontal="left" wrapText="1"/>
      <protection locked="0"/>
    </xf>
    <xf numFmtId="2" fontId="46" fillId="10" borderId="145" xfId="0" applyNumberFormat="1" applyFont="1" applyFill="1" applyBorder="1" applyAlignment="1" applyProtection="1">
      <alignment horizontal="left" wrapText="1"/>
      <protection locked="0"/>
    </xf>
    <xf numFmtId="2" fontId="47" fillId="0" borderId="0" xfId="0" applyNumberFormat="1" applyFont="1" applyProtection="1">
      <protection locked="0"/>
    </xf>
    <xf numFmtId="2" fontId="15" fillId="3" borderId="124" xfId="0" applyNumberFormat="1" applyFont="1" applyFill="1" applyBorder="1" applyAlignment="1" applyProtection="1">
      <alignment horizontal="center"/>
      <protection locked="0"/>
    </xf>
    <xf numFmtId="0" fontId="16" fillId="0" borderId="2" xfId="0" applyFont="1" applyBorder="1" applyAlignment="1">
      <alignment horizontal="center"/>
    </xf>
    <xf numFmtId="0" fontId="16" fillId="0" borderId="0" xfId="0" applyFont="1" applyBorder="1" applyAlignment="1">
      <alignment horizontal="center"/>
    </xf>
    <xf numFmtId="2" fontId="49" fillId="2" borderId="23" xfId="0" applyNumberFormat="1" applyFont="1" applyFill="1" applyBorder="1" applyAlignment="1" applyProtection="1">
      <alignment horizontal="center" vertical="center" wrapText="1"/>
      <protection locked="0"/>
    </xf>
    <xf numFmtId="2" fontId="50" fillId="2" borderId="34" xfId="0" applyNumberFormat="1" applyFont="1" applyFill="1" applyBorder="1" applyAlignment="1" applyProtection="1">
      <alignment horizontal="center" vertical="center" wrapText="1"/>
      <protection locked="0"/>
    </xf>
    <xf numFmtId="2" fontId="50" fillId="2" borderId="35" xfId="0" applyNumberFormat="1" applyFont="1" applyFill="1" applyBorder="1" applyAlignment="1" applyProtection="1">
      <alignment horizontal="center" vertical="center" wrapText="1"/>
      <protection locked="0"/>
    </xf>
    <xf numFmtId="1" fontId="50" fillId="10" borderId="95" xfId="0" applyNumberFormat="1" applyFont="1" applyFill="1" applyBorder="1" applyAlignment="1" applyProtection="1">
      <alignment horizontal="center" vertical="center" wrapText="1"/>
    </xf>
    <xf numFmtId="1" fontId="50" fillId="10" borderId="96" xfId="0" applyNumberFormat="1" applyFont="1" applyFill="1" applyBorder="1" applyAlignment="1" applyProtection="1">
      <alignment horizontal="center" vertical="center" wrapText="1"/>
    </xf>
    <xf numFmtId="1" fontId="50" fillId="0" borderId="11" xfId="0" applyNumberFormat="1" applyFont="1" applyBorder="1" applyAlignment="1" applyProtection="1">
      <alignment horizontal="center" vertical="center"/>
    </xf>
    <xf numFmtId="1" fontId="50" fillId="0" borderId="6" xfId="0" applyNumberFormat="1" applyFont="1" applyBorder="1" applyAlignment="1" applyProtection="1">
      <alignment horizontal="center" vertical="center"/>
    </xf>
    <xf numFmtId="1" fontId="50" fillId="10" borderId="11" xfId="0" applyNumberFormat="1" applyFont="1" applyFill="1" applyBorder="1" applyAlignment="1" applyProtection="1">
      <alignment horizontal="center" vertical="center"/>
    </xf>
    <xf numFmtId="1" fontId="50" fillId="10" borderId="6" xfId="0" applyNumberFormat="1" applyFont="1" applyFill="1" applyBorder="1" applyAlignment="1" applyProtection="1">
      <alignment horizontal="center" vertical="center"/>
    </xf>
    <xf numFmtId="1" fontId="50" fillId="10" borderId="137" xfId="0" applyNumberFormat="1" applyFont="1" applyFill="1" applyBorder="1" applyAlignment="1" applyProtection="1">
      <alignment horizontal="center" vertical="center"/>
    </xf>
    <xf numFmtId="1" fontId="50" fillId="10" borderId="8" xfId="0" applyNumberFormat="1" applyFont="1" applyFill="1" applyBorder="1" applyAlignment="1" applyProtection="1">
      <alignment horizontal="center" vertical="center"/>
    </xf>
    <xf numFmtId="1" fontId="50" fillId="10" borderId="122" xfId="0" applyNumberFormat="1" applyFont="1" applyFill="1" applyBorder="1" applyAlignment="1" applyProtection="1">
      <alignment horizontal="center" vertical="center"/>
    </xf>
    <xf numFmtId="1" fontId="50" fillId="10" borderId="5" xfId="0" applyNumberFormat="1" applyFont="1" applyFill="1" applyBorder="1" applyAlignment="1" applyProtection="1">
      <alignment horizontal="center" vertical="center"/>
    </xf>
    <xf numFmtId="2" fontId="50" fillId="2" borderId="36" xfId="0" applyNumberFormat="1" applyFont="1" applyFill="1" applyBorder="1" applyAlignment="1" applyProtection="1">
      <alignment horizontal="center" vertical="center" wrapText="1"/>
      <protection locked="0"/>
    </xf>
    <xf numFmtId="1" fontId="50" fillId="10" borderId="97" xfId="0" applyNumberFormat="1" applyFont="1" applyFill="1" applyBorder="1" applyAlignment="1" applyProtection="1">
      <alignment horizontal="center" vertical="center" wrapText="1"/>
    </xf>
    <xf numFmtId="1" fontId="50" fillId="0" borderId="50" xfId="0" applyNumberFormat="1" applyFont="1" applyFill="1" applyBorder="1" applyAlignment="1" applyProtection="1">
      <alignment horizontal="center" vertical="center"/>
    </xf>
    <xf numFmtId="1" fontId="50" fillId="10" borderId="50" xfId="0" applyNumberFormat="1" applyFont="1" applyFill="1" applyBorder="1" applyAlignment="1" applyProtection="1">
      <alignment horizontal="center" vertical="center"/>
    </xf>
    <xf numFmtId="1" fontId="50" fillId="10" borderId="138" xfId="0" applyNumberFormat="1" applyFont="1" applyFill="1" applyBorder="1" applyAlignment="1" applyProtection="1">
      <alignment horizontal="center" vertical="center"/>
    </xf>
    <xf numFmtId="1" fontId="50" fillId="10" borderId="145" xfId="0" applyNumberFormat="1" applyFont="1" applyFill="1" applyBorder="1" applyAlignment="1" applyProtection="1">
      <alignment horizontal="center" vertical="center"/>
    </xf>
    <xf numFmtId="2" fontId="50" fillId="2" borderId="45" xfId="0" applyNumberFormat="1" applyFont="1" applyFill="1" applyBorder="1" applyAlignment="1" applyProtection="1">
      <alignment horizontal="center" vertical="center" wrapText="1"/>
      <protection locked="0"/>
    </xf>
    <xf numFmtId="2" fontId="50" fillId="2" borderId="46" xfId="0" applyNumberFormat="1" applyFont="1" applyFill="1" applyBorder="1" applyAlignment="1" applyProtection="1">
      <alignment horizontal="center" vertical="center" wrapText="1"/>
      <protection locked="0"/>
    </xf>
    <xf numFmtId="2" fontId="50" fillId="2" borderId="47" xfId="0" applyNumberFormat="1" applyFont="1" applyFill="1" applyBorder="1" applyAlignment="1" applyProtection="1">
      <alignment horizontal="center" vertical="center" wrapText="1"/>
      <protection locked="0"/>
    </xf>
    <xf numFmtId="2" fontId="50" fillId="2" borderId="49" xfId="0" applyNumberFormat="1" applyFont="1" applyFill="1" applyBorder="1" applyAlignment="1" applyProtection="1">
      <alignment horizontal="center" vertical="center" wrapText="1"/>
      <protection locked="0"/>
    </xf>
    <xf numFmtId="2" fontId="50" fillId="2" borderId="23" xfId="0" applyNumberFormat="1" applyFont="1" applyFill="1" applyBorder="1" applyAlignment="1" applyProtection="1">
      <alignment horizontal="center" vertical="center" wrapText="1"/>
      <protection locked="0"/>
    </xf>
    <xf numFmtId="2" fontId="50" fillId="2" borderId="40" xfId="0" applyNumberFormat="1" applyFont="1" applyFill="1" applyBorder="1" applyAlignment="1" applyProtection="1">
      <alignment horizontal="center" vertical="center" wrapText="1"/>
      <protection locked="0"/>
    </xf>
    <xf numFmtId="2" fontId="50" fillId="2" borderId="32" xfId="0" applyNumberFormat="1" applyFont="1" applyFill="1" applyBorder="1" applyAlignment="1" applyProtection="1">
      <alignment horizontal="center" vertical="center" wrapText="1"/>
      <protection locked="0"/>
    </xf>
    <xf numFmtId="1" fontId="50" fillId="0" borderId="11" xfId="0" applyNumberFormat="1" applyFont="1" applyBorder="1" applyAlignment="1" applyProtection="1">
      <alignment horizontal="center" vertical="center" wrapText="1"/>
    </xf>
    <xf numFmtId="1" fontId="50" fillId="10" borderId="11" xfId="0" applyNumberFormat="1" applyFont="1" applyFill="1" applyBorder="1" applyAlignment="1" applyProtection="1">
      <alignment horizontal="center" vertical="center" wrapText="1"/>
    </xf>
    <xf numFmtId="1" fontId="50" fillId="10" borderId="137" xfId="0" applyNumberFormat="1" applyFont="1" applyFill="1" applyBorder="1" applyAlignment="1" applyProtection="1">
      <alignment horizontal="center" vertical="center" wrapText="1"/>
    </xf>
    <xf numFmtId="1" fontId="50" fillId="10" borderId="122" xfId="0" applyNumberFormat="1" applyFont="1" applyFill="1" applyBorder="1" applyAlignment="1" applyProtection="1">
      <alignment horizontal="center" vertical="center" wrapText="1"/>
    </xf>
    <xf numFmtId="2" fontId="49" fillId="2" borderId="3" xfId="0" applyNumberFormat="1" applyFont="1" applyFill="1" applyBorder="1" applyAlignment="1" applyProtection="1">
      <alignment horizontal="center" vertical="center" wrapText="1"/>
      <protection locked="0"/>
    </xf>
    <xf numFmtId="2" fontId="49" fillId="2" borderId="14" xfId="0" applyNumberFormat="1" applyFont="1" applyFill="1" applyBorder="1" applyAlignment="1" applyProtection="1">
      <alignment horizontal="center" vertical="center" wrapText="1"/>
      <protection locked="0"/>
    </xf>
    <xf numFmtId="2" fontId="49" fillId="2" borderId="30" xfId="0" applyNumberFormat="1" applyFont="1" applyFill="1" applyBorder="1" applyAlignment="1" applyProtection="1">
      <alignment horizontal="center" vertical="center" wrapText="1"/>
      <protection locked="0"/>
    </xf>
    <xf numFmtId="2" fontId="54" fillId="0" borderId="0" xfId="0" applyNumberFormat="1" applyFont="1" applyFill="1" applyBorder="1" applyProtection="1">
      <protection locked="0"/>
    </xf>
    <xf numFmtId="2" fontId="53" fillId="0" borderId="0" xfId="0" applyNumberFormat="1" applyFont="1" applyFill="1" applyBorder="1" applyAlignment="1" applyProtection="1">
      <alignment horizontal="left"/>
      <protection locked="0"/>
    </xf>
    <xf numFmtId="2" fontId="16" fillId="0" borderId="0" xfId="0" applyNumberFormat="1" applyFont="1" applyProtection="1">
      <protection locked="0"/>
    </xf>
    <xf numFmtId="2" fontId="16" fillId="0" borderId="128" xfId="0" applyNumberFormat="1" applyFont="1" applyBorder="1" applyAlignment="1" applyProtection="1">
      <alignment horizontal="center"/>
      <protection locked="0"/>
    </xf>
    <xf numFmtId="1" fontId="14" fillId="0" borderId="98" xfId="0" applyNumberFormat="1" applyFont="1" applyFill="1" applyBorder="1" applyAlignment="1" applyProtection="1">
      <alignment horizontal="center" vertical="center" wrapText="1"/>
    </xf>
    <xf numFmtId="1" fontId="14" fillId="10" borderId="98" xfId="0" applyNumberFormat="1" applyFont="1" applyFill="1" applyBorder="1" applyAlignment="1" applyProtection="1">
      <alignment horizontal="center" vertical="center" wrapText="1"/>
    </xf>
    <xf numFmtId="2" fontId="2" fillId="0" borderId="0" xfId="0" applyNumberFormat="1" applyFont="1" applyBorder="1" applyAlignment="1" applyProtection="1">
      <alignment horizontal="center"/>
      <protection locked="0"/>
    </xf>
    <xf numFmtId="1" fontId="14" fillId="10" borderId="33" xfId="0" applyNumberFormat="1" applyFont="1" applyFill="1" applyBorder="1" applyAlignment="1" applyProtection="1">
      <alignment horizontal="center" vertical="center" wrapText="1"/>
      <protection locked="0"/>
    </xf>
    <xf numFmtId="1" fontId="14" fillId="0" borderId="29" xfId="0" applyNumberFormat="1" applyFont="1" applyBorder="1" applyAlignment="1" applyProtection="1">
      <alignment horizontal="center" vertical="center" wrapText="1"/>
      <protection locked="0"/>
    </xf>
    <xf numFmtId="1" fontId="14" fillId="10" borderId="29" xfId="0" applyNumberFormat="1" applyFont="1" applyFill="1" applyBorder="1" applyAlignment="1" applyProtection="1">
      <alignment horizontal="center" vertical="center" wrapText="1"/>
      <protection locked="0"/>
    </xf>
    <xf numFmtId="1" fontId="27" fillId="0" borderId="29" xfId="0" applyNumberFormat="1" applyFont="1" applyBorder="1" applyAlignment="1" applyProtection="1">
      <alignment horizontal="center" vertical="center" wrapText="1"/>
      <protection locked="0"/>
    </xf>
    <xf numFmtId="1" fontId="55" fillId="0" borderId="29" xfId="0" applyNumberFormat="1" applyFont="1" applyBorder="1" applyAlignment="1" applyProtection="1">
      <alignment horizontal="center" vertical="center" wrapText="1"/>
      <protection locked="0"/>
    </xf>
    <xf numFmtId="1" fontId="27" fillId="10" borderId="29" xfId="0" applyNumberFormat="1" applyFont="1" applyFill="1" applyBorder="1" applyAlignment="1" applyProtection="1">
      <alignment horizontal="center" vertical="center" wrapText="1"/>
      <protection locked="0"/>
    </xf>
    <xf numFmtId="1" fontId="55" fillId="10" borderId="29" xfId="0" applyNumberFormat="1" applyFont="1" applyFill="1" applyBorder="1" applyAlignment="1" applyProtection="1">
      <alignment horizontal="center" vertical="center" wrapText="1"/>
      <protection locked="0"/>
    </xf>
    <xf numFmtId="1" fontId="13" fillId="10" borderId="161" xfId="0" applyNumberFormat="1" applyFont="1" applyFill="1" applyBorder="1" applyAlignment="1" applyProtection="1">
      <alignment horizontal="center" vertical="center" wrapText="1"/>
      <protection locked="0"/>
    </xf>
    <xf numFmtId="1" fontId="13" fillId="0" borderId="29" xfId="0" applyNumberFormat="1" applyFont="1" applyFill="1" applyBorder="1" applyAlignment="1" applyProtection="1">
      <alignment horizontal="center" vertical="center" wrapText="1"/>
      <protection locked="0"/>
    </xf>
    <xf numFmtId="1" fontId="13" fillId="10" borderId="48" xfId="0" applyNumberFormat="1" applyFont="1" applyFill="1" applyBorder="1" applyAlignment="1" applyProtection="1">
      <alignment horizontal="center" vertical="center" wrapText="1"/>
      <protection locked="0"/>
    </xf>
    <xf numFmtId="1" fontId="14" fillId="10" borderId="105" xfId="0" applyNumberFormat="1" applyFont="1" applyFill="1" applyBorder="1" applyAlignment="1" applyProtection="1">
      <alignment horizontal="center" vertical="center" wrapText="1"/>
    </xf>
    <xf numFmtId="1" fontId="14" fillId="0" borderId="106" xfId="0" applyNumberFormat="1" applyFont="1" applyFill="1" applyBorder="1" applyAlignment="1" applyProtection="1">
      <alignment horizontal="center" vertical="center" wrapText="1"/>
    </xf>
    <xf numFmtId="1" fontId="14" fillId="10" borderId="106" xfId="0" applyNumberFormat="1" applyFont="1" applyFill="1" applyBorder="1" applyAlignment="1" applyProtection="1">
      <alignment horizontal="center" vertical="center" wrapText="1"/>
    </xf>
    <xf numFmtId="1" fontId="14" fillId="10" borderId="141" xfId="0" applyNumberFormat="1" applyFont="1" applyFill="1" applyBorder="1" applyAlignment="1" applyProtection="1">
      <alignment horizontal="center" vertical="center" wrapText="1"/>
    </xf>
    <xf numFmtId="1" fontId="14" fillId="0" borderId="30" xfId="0" applyNumberFormat="1" applyFont="1" applyFill="1" applyBorder="1" applyAlignment="1" applyProtection="1">
      <alignment horizontal="center" vertical="center" wrapText="1"/>
    </xf>
    <xf numFmtId="1" fontId="14" fillId="10" borderId="148" xfId="0" applyNumberFormat="1" applyFont="1" applyFill="1" applyBorder="1" applyAlignment="1" applyProtection="1">
      <alignment horizontal="center" vertical="center" wrapText="1"/>
    </xf>
    <xf numFmtId="1" fontId="14" fillId="3" borderId="102" xfId="0" applyNumberFormat="1" applyFont="1" applyFill="1" applyBorder="1" applyAlignment="1" applyProtection="1">
      <alignment horizontal="center" vertical="center" wrapText="1"/>
    </xf>
    <xf numFmtId="1" fontId="2" fillId="10" borderId="105" xfId="0" applyNumberFormat="1" applyFont="1" applyFill="1" applyBorder="1" applyAlignment="1" applyProtection="1">
      <alignment horizontal="center" vertical="center" wrapText="1"/>
      <protection locked="0"/>
    </xf>
    <xf numFmtId="1" fontId="2" fillId="0" borderId="106" xfId="0" applyNumberFormat="1" applyFont="1" applyFill="1" applyBorder="1" applyAlignment="1" applyProtection="1">
      <alignment horizontal="center" vertical="center" wrapText="1"/>
      <protection locked="0"/>
    </xf>
    <xf numFmtId="1" fontId="2" fillId="10" borderId="106" xfId="0" applyNumberFormat="1" applyFont="1" applyFill="1" applyBorder="1" applyAlignment="1" applyProtection="1">
      <alignment horizontal="center" vertical="center" wrapText="1"/>
      <protection locked="0"/>
    </xf>
    <xf numFmtId="1" fontId="2" fillId="10" borderId="141" xfId="0" applyNumberFormat="1" applyFont="1" applyFill="1" applyBorder="1" applyAlignment="1" applyProtection="1">
      <alignment horizontal="center" vertical="center" wrapText="1"/>
      <protection locked="0"/>
    </xf>
    <xf numFmtId="1" fontId="2" fillId="0" borderId="14" xfId="0" applyNumberFormat="1" applyFont="1" applyFill="1" applyBorder="1" applyAlignment="1" applyProtection="1">
      <alignment horizontal="center" vertical="center" wrapText="1"/>
      <protection locked="0"/>
    </xf>
    <xf numFmtId="1" fontId="2" fillId="10" borderId="148" xfId="0" applyNumberFormat="1" applyFont="1" applyFill="1" applyBorder="1" applyAlignment="1" applyProtection="1">
      <alignment horizontal="center" vertical="center" wrapText="1"/>
      <protection locked="0"/>
    </xf>
    <xf numFmtId="1" fontId="56" fillId="10" borderId="157" xfId="0" applyNumberFormat="1" applyFont="1" applyFill="1" applyBorder="1" applyAlignment="1" applyProtection="1">
      <alignment horizontal="center" vertical="center" wrapText="1"/>
      <protection locked="0"/>
    </xf>
    <xf numFmtId="1" fontId="56" fillId="0" borderId="10" xfId="0" applyNumberFormat="1" applyFont="1" applyBorder="1" applyAlignment="1" applyProtection="1">
      <alignment horizontal="center" vertical="center" wrapText="1"/>
      <protection locked="0"/>
    </xf>
    <xf numFmtId="1" fontId="56" fillId="10" borderId="10" xfId="0" applyNumberFormat="1" applyFont="1" applyFill="1" applyBorder="1" applyAlignment="1" applyProtection="1">
      <alignment horizontal="center" vertical="center" wrapText="1"/>
      <protection locked="0"/>
    </xf>
    <xf numFmtId="1" fontId="2" fillId="10" borderId="104" xfId="0" applyNumberFormat="1" applyFont="1" applyFill="1" applyBorder="1" applyAlignment="1" applyProtection="1">
      <alignment horizontal="center" vertical="center" wrapText="1"/>
      <protection locked="0"/>
    </xf>
    <xf numFmtId="1" fontId="2" fillId="0" borderId="103" xfId="0" applyNumberFormat="1" applyFont="1" applyFill="1" applyBorder="1" applyAlignment="1" applyProtection="1">
      <alignment horizontal="center" vertical="center" wrapText="1"/>
      <protection locked="0"/>
    </xf>
    <xf numFmtId="1" fontId="2" fillId="10" borderId="103" xfId="0" applyNumberFormat="1" applyFont="1" applyFill="1" applyBorder="1" applyAlignment="1" applyProtection="1">
      <alignment horizontal="center" vertical="center" wrapText="1"/>
      <protection locked="0"/>
    </xf>
    <xf numFmtId="1" fontId="2" fillId="10" borderId="144" xfId="0" applyNumberFormat="1" applyFont="1" applyFill="1" applyBorder="1" applyAlignment="1" applyProtection="1">
      <alignment horizontal="center" vertical="center" wrapText="1"/>
      <protection locked="0"/>
    </xf>
    <xf numFmtId="1" fontId="2" fillId="0" borderId="10" xfId="0" applyNumberFormat="1" applyFont="1" applyFill="1" applyBorder="1" applyAlignment="1" applyProtection="1">
      <alignment horizontal="center" vertical="center" wrapText="1"/>
      <protection locked="0"/>
    </xf>
    <xf numFmtId="1" fontId="2" fillId="10" borderId="151" xfId="0" applyNumberFormat="1" applyFont="1" applyFill="1" applyBorder="1" applyAlignment="1" applyProtection="1">
      <alignment horizontal="center" vertical="center" wrapText="1"/>
      <protection locked="0"/>
    </xf>
    <xf numFmtId="1" fontId="1" fillId="10" borderId="105" xfId="0" applyNumberFormat="1" applyFont="1" applyFill="1" applyBorder="1" applyAlignment="1" applyProtection="1">
      <alignment horizontal="center" vertical="center" wrapText="1"/>
      <protection locked="0"/>
    </xf>
    <xf numFmtId="1" fontId="1" fillId="0" borderId="106" xfId="0" applyNumberFormat="1" applyFont="1" applyFill="1" applyBorder="1" applyAlignment="1" applyProtection="1">
      <alignment horizontal="center" vertical="center" wrapText="1"/>
      <protection locked="0"/>
    </xf>
    <xf numFmtId="1" fontId="1" fillId="10" borderId="106" xfId="0" applyNumberFormat="1" applyFont="1" applyFill="1" applyBorder="1" applyAlignment="1" applyProtection="1">
      <alignment horizontal="center" vertical="center" wrapText="1"/>
      <protection locked="0"/>
    </xf>
    <xf numFmtId="1" fontId="1" fillId="10" borderId="141" xfId="0" applyNumberFormat="1" applyFont="1" applyFill="1" applyBorder="1" applyAlignment="1" applyProtection="1">
      <alignment horizontal="center" vertical="center" wrapText="1"/>
      <protection locked="0"/>
    </xf>
    <xf numFmtId="1" fontId="1" fillId="0" borderId="14" xfId="0" applyNumberFormat="1" applyFont="1" applyFill="1" applyBorder="1" applyAlignment="1" applyProtection="1">
      <alignment horizontal="center" vertical="center" wrapText="1"/>
      <protection locked="0"/>
    </xf>
    <xf numFmtId="1" fontId="1" fillId="10" borderId="148" xfId="0" applyNumberFormat="1" applyFont="1" applyFill="1" applyBorder="1" applyAlignment="1" applyProtection="1">
      <alignment horizontal="center" vertical="center" wrapText="1"/>
      <protection locked="0"/>
    </xf>
    <xf numFmtId="1" fontId="14" fillId="10" borderId="6" xfId="0" applyNumberFormat="1" applyFont="1" applyFill="1" applyBorder="1" applyAlignment="1" applyProtection="1">
      <alignment horizontal="center" vertical="center" wrapText="1"/>
    </xf>
    <xf numFmtId="1" fontId="14" fillId="10" borderId="101" xfId="0" applyNumberFormat="1" applyFont="1" applyFill="1" applyBorder="1" applyAlignment="1" applyProtection="1">
      <alignment horizontal="center" vertical="center" wrapText="1"/>
    </xf>
    <xf numFmtId="1" fontId="14" fillId="10" borderId="143" xfId="0" applyNumberFormat="1" applyFont="1" applyFill="1" applyBorder="1" applyAlignment="1" applyProtection="1">
      <alignment horizontal="center" vertical="center" wrapText="1"/>
    </xf>
    <xf numFmtId="1" fontId="14" fillId="0" borderId="155" xfId="0" applyNumberFormat="1" applyFont="1" applyFill="1" applyBorder="1" applyAlignment="1" applyProtection="1">
      <alignment horizontal="center" vertical="center" wrapText="1"/>
    </xf>
    <xf numFmtId="1" fontId="14" fillId="10" borderId="150" xfId="0" applyNumberFormat="1" applyFont="1" applyFill="1" applyBorder="1" applyAlignment="1" applyProtection="1">
      <alignment horizontal="center" vertical="center" wrapText="1"/>
    </xf>
    <xf numFmtId="2" fontId="4" fillId="0" borderId="0" xfId="0" applyNumberFormat="1" applyFont="1" applyBorder="1" applyAlignment="1" applyProtection="1">
      <protection locked="0"/>
    </xf>
    <xf numFmtId="0" fontId="1" fillId="0" borderId="14" xfId="0" applyFont="1" applyBorder="1" applyAlignment="1" applyProtection="1">
      <alignment horizontal="center" vertical="center"/>
      <protection locked="0"/>
    </xf>
    <xf numFmtId="0" fontId="16" fillId="0" borderId="121" xfId="0" applyFont="1" applyBorder="1" applyAlignment="1">
      <alignment horizontal="center"/>
    </xf>
    <xf numFmtId="0" fontId="16" fillId="0" borderId="49" xfId="0" applyFont="1" applyBorder="1" applyAlignment="1">
      <alignment horizontal="center"/>
    </xf>
    <xf numFmtId="0" fontId="12" fillId="0" borderId="42" xfId="0" applyFont="1" applyBorder="1" applyAlignment="1">
      <alignment horizontal="center"/>
    </xf>
    <xf numFmtId="0" fontId="12" fillId="0" borderId="0" xfId="0" applyFont="1" applyBorder="1" applyAlignment="1">
      <alignment horizontal="center"/>
    </xf>
    <xf numFmtId="0" fontId="12" fillId="0" borderId="4" xfId="0" applyFont="1" applyBorder="1" applyAlignment="1">
      <alignment horizontal="center"/>
    </xf>
    <xf numFmtId="0" fontId="12" fillId="0" borderId="130" xfId="0" applyFont="1" applyBorder="1" applyAlignment="1">
      <alignment horizontal="center"/>
    </xf>
    <xf numFmtId="0" fontId="12" fillId="0" borderId="128" xfId="0" applyFont="1" applyBorder="1" applyAlignment="1">
      <alignment horizontal="center"/>
    </xf>
    <xf numFmtId="0" fontId="12" fillId="0" borderId="129" xfId="0" applyFont="1" applyBorder="1" applyAlignment="1">
      <alignment horizontal="center"/>
    </xf>
    <xf numFmtId="0" fontId="16" fillId="0" borderId="1" xfId="0" applyFont="1" applyBorder="1" applyAlignment="1">
      <alignment horizontal="center"/>
    </xf>
    <xf numFmtId="0" fontId="16" fillId="0" borderId="127" xfId="0" applyFont="1" applyBorder="1" applyAlignment="1">
      <alignment horizontal="center"/>
    </xf>
    <xf numFmtId="0" fontId="16" fillId="0" borderId="12" xfId="0" applyFont="1" applyBorder="1" applyAlignment="1">
      <alignment horizontal="center"/>
    </xf>
    <xf numFmtId="0" fontId="16" fillId="0" borderId="43" xfId="0" applyFont="1" applyBorder="1" applyAlignment="1">
      <alignment horizontal="center"/>
    </xf>
    <xf numFmtId="0" fontId="16" fillId="0" borderId="128" xfId="0" applyFont="1" applyBorder="1" applyAlignment="1">
      <alignment horizontal="center"/>
    </xf>
    <xf numFmtId="0" fontId="16" fillId="0" borderId="0" xfId="0" applyFont="1" applyBorder="1" applyAlignment="1">
      <alignment horizontal="center"/>
    </xf>
    <xf numFmtId="1" fontId="12" fillId="0" borderId="130" xfId="0" applyNumberFormat="1" applyFont="1" applyBorder="1" applyAlignment="1" applyProtection="1">
      <alignment horizontal="center"/>
    </xf>
    <xf numFmtId="1" fontId="12" fillId="0" borderId="129" xfId="0" applyNumberFormat="1" applyFont="1" applyBorder="1" applyAlignment="1" applyProtection="1">
      <alignment horizontal="center"/>
    </xf>
    <xf numFmtId="2" fontId="16" fillId="0" borderId="135" xfId="0" applyNumberFormat="1" applyFont="1" applyBorder="1" applyAlignment="1" applyProtection="1">
      <alignment horizontal="center"/>
      <protection locked="0"/>
    </xf>
    <xf numFmtId="2" fontId="16" fillId="0" borderId="136" xfId="0" applyNumberFormat="1" applyFont="1" applyBorder="1" applyAlignment="1" applyProtection="1">
      <alignment horizontal="center"/>
      <protection locked="0"/>
    </xf>
    <xf numFmtId="2" fontId="15" fillId="3" borderId="123" xfId="0" applyNumberFormat="1" applyFont="1" applyFill="1" applyBorder="1" applyAlignment="1" applyProtection="1">
      <alignment horizontal="center"/>
      <protection locked="0"/>
    </xf>
    <xf numFmtId="2" fontId="15" fillId="3" borderId="124" xfId="0" applyNumberFormat="1" applyFont="1" applyFill="1" applyBorder="1" applyAlignment="1" applyProtection="1">
      <alignment horizontal="center"/>
      <protection locked="0"/>
    </xf>
    <xf numFmtId="2" fontId="15" fillId="3" borderId="125" xfId="0" applyNumberFormat="1" applyFont="1" applyFill="1" applyBorder="1" applyAlignment="1" applyProtection="1">
      <alignment horizontal="center"/>
      <protection locked="0"/>
    </xf>
    <xf numFmtId="1" fontId="12" fillId="0" borderId="128" xfId="0" applyNumberFormat="1" applyFont="1" applyBorder="1" applyAlignment="1" applyProtection="1">
      <alignment horizontal="center"/>
    </xf>
    <xf numFmtId="1" fontId="12" fillId="0" borderId="126" xfId="0" applyNumberFormat="1" applyFont="1" applyBorder="1" applyAlignment="1" applyProtection="1">
      <alignment horizontal="center"/>
      <protection locked="0"/>
    </xf>
    <xf numFmtId="1" fontId="12" fillId="0" borderId="2" xfId="0" applyNumberFormat="1" applyFont="1" applyBorder="1" applyAlignment="1" applyProtection="1">
      <alignment horizontal="center"/>
      <protection locked="0"/>
    </xf>
    <xf numFmtId="1" fontId="12" fillId="0" borderId="3" xfId="0" applyNumberFormat="1" applyFont="1" applyBorder="1" applyAlignment="1" applyProtection="1">
      <alignment horizontal="center"/>
      <protection locked="0"/>
    </xf>
    <xf numFmtId="1" fontId="12" fillId="0" borderId="42" xfId="0" applyNumberFormat="1" applyFont="1" applyBorder="1" applyAlignment="1" applyProtection="1">
      <alignment horizontal="center"/>
      <protection locked="0"/>
    </xf>
    <xf numFmtId="1" fontId="12" fillId="0" borderId="0" xfId="0" applyNumberFormat="1" applyFont="1" applyBorder="1" applyAlignment="1" applyProtection="1">
      <alignment horizontal="center"/>
      <protection locked="0"/>
    </xf>
    <xf numFmtId="1" fontId="12" fillId="0" borderId="4" xfId="0" applyNumberFormat="1" applyFont="1" applyBorder="1" applyAlignment="1" applyProtection="1">
      <alignment horizontal="center"/>
      <protection locked="0"/>
    </xf>
    <xf numFmtId="0" fontId="12" fillId="0" borderId="0" xfId="2" applyFont="1"/>
    <xf numFmtId="1" fontId="12" fillId="0" borderId="42" xfId="0" quotePrefix="1" applyNumberFormat="1" applyFont="1" applyBorder="1" applyAlignment="1" applyProtection="1">
      <alignment horizontal="center"/>
    </xf>
    <xf numFmtId="1" fontId="12" fillId="0" borderId="0" xfId="0" applyNumberFormat="1" applyFont="1" applyBorder="1" applyAlignment="1" applyProtection="1">
      <alignment horizontal="center"/>
    </xf>
    <xf numFmtId="1" fontId="12" fillId="0" borderId="4" xfId="0" applyNumberFormat="1" applyFont="1" applyBorder="1" applyAlignment="1" applyProtection="1">
      <alignment horizontal="center"/>
    </xf>
    <xf numFmtId="1" fontId="12" fillId="0" borderId="42" xfId="0" applyNumberFormat="1" applyFont="1" applyBorder="1" applyAlignment="1" applyProtection="1">
      <alignment horizontal="center"/>
    </xf>
    <xf numFmtId="2" fontId="15" fillId="3" borderId="133" xfId="0" applyNumberFormat="1" applyFont="1" applyFill="1" applyBorder="1" applyAlignment="1" applyProtection="1">
      <alignment horizontal="center"/>
      <protection locked="0"/>
    </xf>
    <xf numFmtId="2" fontId="15" fillId="3" borderId="134" xfId="0" applyNumberFormat="1" applyFont="1" applyFill="1" applyBorder="1" applyAlignment="1" applyProtection="1">
      <alignment horizontal="center"/>
      <protection locked="0"/>
    </xf>
    <xf numFmtId="2" fontId="16" fillId="0" borderId="133" xfId="0" applyNumberFormat="1" applyFont="1" applyBorder="1" applyAlignment="1" applyProtection="1">
      <alignment horizontal="center"/>
      <protection locked="0"/>
    </xf>
    <xf numFmtId="2" fontId="16" fillId="0" borderId="134" xfId="0" applyNumberFormat="1" applyFont="1" applyBorder="1" applyAlignment="1" applyProtection="1">
      <alignment horizontal="center"/>
      <protection locked="0"/>
    </xf>
    <xf numFmtId="2" fontId="15" fillId="3" borderId="131" xfId="0" applyNumberFormat="1" applyFont="1" applyFill="1" applyBorder="1" applyAlignment="1" applyProtection="1">
      <alignment horizontal="center"/>
      <protection locked="0"/>
    </xf>
    <xf numFmtId="2" fontId="15" fillId="3" borderId="132" xfId="0" applyNumberFormat="1" applyFont="1" applyFill="1" applyBorder="1" applyAlignment="1" applyProtection="1">
      <alignment horizontal="center"/>
      <protection locked="0"/>
    </xf>
    <xf numFmtId="2" fontId="3" fillId="0" borderId="0" xfId="0" applyNumberFormat="1" applyFont="1" applyAlignment="1" applyProtection="1">
      <alignment horizontal="center"/>
      <protection locked="0"/>
    </xf>
    <xf numFmtId="2" fontId="2" fillId="0" borderId="0" xfId="0" applyNumberFormat="1" applyFont="1" applyBorder="1" applyAlignment="1" applyProtection="1">
      <alignment horizontal="center"/>
      <protection locked="0"/>
    </xf>
    <xf numFmtId="2" fontId="8" fillId="2" borderId="1" xfId="0" applyNumberFormat="1" applyFont="1" applyFill="1" applyBorder="1" applyAlignment="1" applyProtection="1">
      <alignment vertical="top" wrapText="1"/>
      <protection locked="0"/>
    </xf>
    <xf numFmtId="2" fontId="8" fillId="2" borderId="2" xfId="0" applyNumberFormat="1" applyFont="1" applyFill="1" applyBorder="1" applyAlignment="1" applyProtection="1">
      <alignment vertical="top" wrapText="1"/>
      <protection locked="0"/>
    </xf>
    <xf numFmtId="2" fontId="51" fillId="2" borderId="20" xfId="0" applyNumberFormat="1" applyFont="1" applyFill="1" applyBorder="1" applyAlignment="1" applyProtection="1">
      <alignment horizontal="center" vertical="center" wrapText="1"/>
      <protection locked="0"/>
    </xf>
    <xf numFmtId="2" fontId="51" fillId="2" borderId="27" xfId="0" applyNumberFormat="1" applyFont="1" applyFill="1" applyBorder="1" applyAlignment="1" applyProtection="1">
      <alignment horizontal="center" vertical="center" wrapText="1"/>
      <protection locked="0"/>
    </xf>
    <xf numFmtId="2" fontId="49" fillId="0" borderId="20" xfId="0" applyNumberFormat="1" applyFont="1" applyFill="1" applyBorder="1" applyAlignment="1" applyProtection="1">
      <alignment horizontal="center" vertical="center" wrapText="1"/>
      <protection locked="0"/>
    </xf>
    <xf numFmtId="2" fontId="49" fillId="0" borderId="27" xfId="0" applyNumberFormat="1" applyFont="1" applyFill="1" applyBorder="1" applyAlignment="1" applyProtection="1">
      <alignment horizontal="center" vertical="center" wrapText="1"/>
      <protection locked="0"/>
    </xf>
    <xf numFmtId="2" fontId="51" fillId="4" borderId="19" xfId="0" applyNumberFormat="1" applyFont="1" applyFill="1" applyBorder="1" applyAlignment="1" applyProtection="1">
      <alignment horizontal="center" vertical="center" wrapText="1"/>
      <protection locked="0"/>
    </xf>
    <xf numFmtId="2" fontId="51" fillId="4" borderId="20" xfId="0" applyNumberFormat="1" applyFont="1" applyFill="1" applyBorder="1" applyAlignment="1" applyProtection="1">
      <alignment horizontal="center" vertical="center" wrapText="1"/>
      <protection locked="0"/>
    </xf>
    <xf numFmtId="2" fontId="51" fillId="4" borderId="26" xfId="0" applyNumberFormat="1" applyFont="1" applyFill="1" applyBorder="1" applyAlignment="1" applyProtection="1">
      <alignment horizontal="center" vertical="center" wrapText="1"/>
      <protection locked="0"/>
    </xf>
    <xf numFmtId="2" fontId="51" fillId="4" borderId="27" xfId="0" applyNumberFormat="1" applyFont="1" applyFill="1" applyBorder="1" applyAlignment="1" applyProtection="1">
      <alignment horizontal="center" vertical="center" wrapText="1"/>
      <protection locked="0"/>
    </xf>
    <xf numFmtId="2" fontId="51" fillId="4" borderId="25" xfId="0" applyNumberFormat="1" applyFont="1" applyFill="1" applyBorder="1" applyAlignment="1" applyProtection="1">
      <alignment horizontal="center" vertical="center" wrapText="1"/>
      <protection locked="0"/>
    </xf>
    <xf numFmtId="2" fontId="51" fillId="4" borderId="2" xfId="0" applyNumberFormat="1" applyFont="1" applyFill="1" applyBorder="1" applyAlignment="1" applyProtection="1">
      <alignment horizontal="center" vertical="center" wrapText="1"/>
      <protection locked="0"/>
    </xf>
    <xf numFmtId="2" fontId="51" fillId="4" borderId="0" xfId="0" applyNumberFormat="1" applyFont="1" applyFill="1" applyBorder="1" applyAlignment="1" applyProtection="1">
      <alignment horizontal="center" vertical="center" wrapText="1"/>
      <protection locked="0"/>
    </xf>
    <xf numFmtId="2" fontId="49" fillId="0" borderId="2" xfId="0" applyNumberFormat="1" applyFont="1" applyFill="1" applyBorder="1" applyAlignment="1" applyProtection="1">
      <alignment horizontal="center" vertical="center" wrapText="1"/>
      <protection locked="0"/>
    </xf>
    <xf numFmtId="2" fontId="50" fillId="2" borderId="22" xfId="0" applyNumberFormat="1" applyFont="1" applyFill="1" applyBorder="1" applyAlignment="1" applyProtection="1">
      <alignment horizontal="center" vertical="center" wrapText="1"/>
      <protection locked="0"/>
    </xf>
    <xf numFmtId="2" fontId="50" fillId="2" borderId="21" xfId="0" applyNumberFormat="1" applyFont="1" applyFill="1" applyBorder="1" applyAlignment="1" applyProtection="1">
      <alignment horizontal="center" vertical="center" wrapText="1"/>
      <protection locked="0"/>
    </xf>
    <xf numFmtId="2" fontId="52" fillId="2" borderId="33" xfId="0" applyNumberFormat="1" applyFont="1" applyFill="1" applyBorder="1" applyAlignment="1" applyProtection="1">
      <alignment horizontal="center" vertical="center" wrapText="1"/>
      <protection locked="0"/>
    </xf>
    <xf numFmtId="2" fontId="52" fillId="2" borderId="18" xfId="0" applyNumberFormat="1" applyFont="1" applyFill="1" applyBorder="1" applyAlignment="1" applyProtection="1">
      <alignment horizontal="center" vertical="center" wrapText="1"/>
      <protection locked="0"/>
    </xf>
    <xf numFmtId="2" fontId="48" fillId="2" borderId="29" xfId="0" applyNumberFormat="1" applyFont="1" applyFill="1" applyBorder="1" applyAlignment="1" applyProtection="1">
      <alignment horizontal="center" vertical="center" wrapText="1"/>
      <protection locked="0"/>
    </xf>
    <xf numFmtId="2" fontId="48" fillId="2" borderId="9" xfId="0" applyNumberFormat="1" applyFont="1" applyFill="1" applyBorder="1" applyAlignment="1" applyProtection="1">
      <alignment horizontal="center" vertical="center" wrapText="1"/>
      <protection locked="0"/>
    </xf>
    <xf numFmtId="2" fontId="48" fillId="2" borderId="7" xfId="0" applyNumberFormat="1" applyFont="1" applyFill="1" applyBorder="1" applyAlignment="1" applyProtection="1">
      <alignment horizontal="center" vertical="center" wrapText="1"/>
      <protection locked="0"/>
    </xf>
    <xf numFmtId="2" fontId="51" fillId="2" borderId="158" xfId="0" applyNumberFormat="1" applyFont="1" applyFill="1" applyBorder="1" applyAlignment="1" applyProtection="1">
      <alignment horizontal="center" vertical="center" wrapText="1"/>
      <protection locked="0"/>
    </xf>
    <xf numFmtId="2" fontId="51" fillId="2" borderId="159" xfId="0" applyNumberFormat="1" applyFont="1" applyFill="1" applyBorder="1" applyAlignment="1" applyProtection="1">
      <alignment horizontal="center" vertical="center" wrapText="1"/>
      <protection locked="0"/>
    </xf>
    <xf numFmtId="2" fontId="51" fillId="2" borderId="160" xfId="0" applyNumberFormat="1" applyFont="1" applyFill="1" applyBorder="1" applyAlignment="1" applyProtection="1">
      <alignment horizontal="center" vertical="center" wrapText="1"/>
      <protection locked="0"/>
    </xf>
    <xf numFmtId="2" fontId="59" fillId="0" borderId="0" xfId="0" applyNumberFormat="1" applyFont="1" applyFill="1" applyBorder="1" applyAlignment="1" applyProtection="1">
      <alignment horizontal="center" wrapText="1"/>
      <protection locked="0"/>
    </xf>
    <xf numFmtId="2" fontId="6" fillId="0" borderId="0" xfId="0" applyNumberFormat="1" applyFont="1" applyFill="1" applyBorder="1" applyAlignment="1" applyProtection="1">
      <alignment horizontal="center"/>
      <protection locked="0"/>
    </xf>
    <xf numFmtId="1" fontId="50" fillId="10" borderId="101" xfId="0" applyNumberFormat="1" applyFont="1" applyFill="1" applyBorder="1" applyAlignment="1" applyProtection="1">
      <alignment horizontal="center" vertical="center" wrapText="1"/>
    </xf>
    <xf numFmtId="1" fontId="50" fillId="10" borderId="100" xfId="0" applyNumberFormat="1" applyFont="1" applyFill="1" applyBorder="1" applyAlignment="1" applyProtection="1">
      <alignment horizontal="center" vertical="center" wrapText="1"/>
    </xf>
    <xf numFmtId="1" fontId="50" fillId="0" borderId="111" xfId="0" applyNumberFormat="1" applyFont="1" applyBorder="1" applyAlignment="1" applyProtection="1">
      <alignment horizontal="center" vertical="center" wrapText="1"/>
    </xf>
    <xf numFmtId="1" fontId="50" fillId="0" borderId="39" xfId="0" applyNumberFormat="1" applyFont="1" applyBorder="1" applyAlignment="1" applyProtection="1">
      <alignment horizontal="center" vertical="center" wrapText="1"/>
    </xf>
    <xf numFmtId="1" fontId="50" fillId="10" borderId="111" xfId="0" applyNumberFormat="1" applyFont="1" applyFill="1" applyBorder="1" applyAlignment="1" applyProtection="1">
      <alignment horizontal="center" vertical="center" wrapText="1"/>
    </xf>
    <xf numFmtId="1" fontId="50" fillId="10" borderId="39" xfId="0" applyNumberFormat="1" applyFont="1" applyFill="1" applyBorder="1" applyAlignment="1" applyProtection="1">
      <alignment horizontal="center" vertical="center" wrapText="1"/>
    </xf>
    <xf numFmtId="2" fontId="50" fillId="2" borderId="16" xfId="0" applyNumberFormat="1" applyFont="1" applyFill="1" applyBorder="1" applyAlignment="1" applyProtection="1">
      <alignment horizontal="center" vertical="center" textRotation="90" wrapText="1"/>
      <protection locked="0"/>
    </xf>
    <xf numFmtId="2" fontId="50" fillId="2" borderId="17" xfId="0" applyNumberFormat="1" applyFont="1" applyFill="1" applyBorder="1" applyAlignment="1" applyProtection="1">
      <alignment horizontal="center" vertical="center" textRotation="90" wrapText="1"/>
      <protection locked="0"/>
    </xf>
    <xf numFmtId="2" fontId="50" fillId="2" borderId="163" xfId="0" applyNumberFormat="1" applyFont="1" applyFill="1" applyBorder="1" applyAlignment="1" applyProtection="1">
      <alignment horizontal="center" vertical="center" textRotation="90" wrapText="1"/>
      <protection locked="0"/>
    </xf>
    <xf numFmtId="2" fontId="1" fillId="2" borderId="29" xfId="0" applyNumberFormat="1" applyFont="1" applyFill="1" applyBorder="1" applyAlignment="1" applyProtection="1">
      <alignment horizontal="center" vertical="center" wrapText="1"/>
      <protection locked="0"/>
    </xf>
    <xf numFmtId="2" fontId="1" fillId="2" borderId="30" xfId="0" applyNumberFormat="1" applyFont="1" applyFill="1" applyBorder="1" applyAlignment="1" applyProtection="1">
      <alignment horizontal="center" vertical="center" wrapText="1"/>
      <protection locked="0"/>
    </xf>
    <xf numFmtId="2" fontId="1" fillId="2" borderId="161" xfId="0" applyNumberFormat="1" applyFont="1" applyFill="1" applyBorder="1" applyAlignment="1" applyProtection="1">
      <alignment horizontal="center" vertical="center" wrapText="1"/>
      <protection locked="0"/>
    </xf>
    <xf numFmtId="2" fontId="1" fillId="2" borderId="162" xfId="0" applyNumberFormat="1" applyFont="1" applyFill="1" applyBorder="1" applyAlignment="1" applyProtection="1">
      <alignment horizontal="center" vertical="center" wrapText="1"/>
      <protection locked="0"/>
    </xf>
    <xf numFmtId="2" fontId="1" fillId="2" borderId="164" xfId="0" applyNumberFormat="1" applyFont="1" applyFill="1" applyBorder="1" applyAlignment="1" applyProtection="1">
      <alignment horizontal="center" vertical="center" wrapText="1"/>
      <protection locked="0"/>
    </xf>
    <xf numFmtId="2" fontId="1" fillId="2" borderId="165" xfId="0" applyNumberFormat="1" applyFont="1" applyFill="1" applyBorder="1" applyAlignment="1" applyProtection="1">
      <alignment horizontal="center" vertical="center" wrapText="1"/>
      <protection locked="0"/>
    </xf>
    <xf numFmtId="2" fontId="50" fillId="2" borderId="23" xfId="0" applyNumberFormat="1" applyFont="1" applyFill="1" applyBorder="1" applyAlignment="1" applyProtection="1">
      <alignment horizontal="center" vertical="center" wrapText="1"/>
      <protection locked="0"/>
    </xf>
    <xf numFmtId="2" fontId="50" fillId="2" borderId="32" xfId="0" applyNumberFormat="1" applyFont="1" applyFill="1" applyBorder="1" applyAlignment="1" applyProtection="1">
      <alignment horizontal="center" vertical="center" wrapText="1"/>
      <protection locked="0"/>
    </xf>
    <xf numFmtId="2" fontId="50" fillId="2" borderId="31" xfId="0" applyNumberFormat="1" applyFont="1" applyFill="1" applyBorder="1" applyAlignment="1" applyProtection="1">
      <alignment horizontal="center" vertical="center" wrapText="1"/>
      <protection locked="0"/>
    </xf>
    <xf numFmtId="2" fontId="50" fillId="2" borderId="140" xfId="0" applyNumberFormat="1" applyFont="1" applyFill="1" applyBorder="1" applyAlignment="1" applyProtection="1">
      <alignment horizontal="center" vertical="center" wrapText="1"/>
      <protection locked="0"/>
    </xf>
    <xf numFmtId="2" fontId="2" fillId="2" borderId="95" xfId="0" applyNumberFormat="1" applyFont="1" applyFill="1" applyBorder="1" applyAlignment="1" applyProtection="1">
      <alignment horizontal="center" vertical="center" wrapText="1"/>
      <protection locked="0"/>
    </xf>
    <xf numFmtId="2" fontId="2" fillId="2" borderId="97" xfId="0" applyNumberFormat="1" applyFont="1" applyFill="1" applyBorder="1" applyAlignment="1" applyProtection="1">
      <alignment horizontal="center" vertical="center" wrapText="1"/>
      <protection locked="0"/>
    </xf>
    <xf numFmtId="2" fontId="2" fillId="2" borderId="137" xfId="0" applyNumberFormat="1" applyFont="1" applyFill="1" applyBorder="1" applyAlignment="1" applyProtection="1">
      <alignment horizontal="center" vertical="center" wrapText="1"/>
      <protection locked="0"/>
    </xf>
    <xf numFmtId="2" fontId="2" fillId="2" borderId="138" xfId="0" applyNumberFormat="1" applyFont="1" applyFill="1" applyBorder="1" applyAlignment="1" applyProtection="1">
      <alignment horizontal="center" vertical="center" wrapText="1"/>
      <protection locked="0"/>
    </xf>
    <xf numFmtId="2" fontId="2" fillId="2" borderId="1" xfId="0" applyNumberFormat="1" applyFont="1" applyFill="1" applyBorder="1" applyAlignment="1" applyProtection="1">
      <alignment horizontal="center" vertical="center" wrapText="1"/>
      <protection locked="0"/>
    </xf>
    <xf numFmtId="2" fontId="2" fillId="2" borderId="3" xfId="0" applyNumberFormat="1" applyFont="1" applyFill="1" applyBorder="1" applyAlignment="1" applyProtection="1">
      <alignment horizontal="center" vertical="center" wrapText="1"/>
      <protection locked="0"/>
    </xf>
    <xf numFmtId="2" fontId="2" fillId="2" borderId="12" xfId="0" applyNumberFormat="1" applyFont="1" applyFill="1" applyBorder="1" applyAlignment="1" applyProtection="1">
      <alignment horizontal="center" vertical="center" wrapText="1"/>
      <protection locked="0"/>
    </xf>
    <xf numFmtId="2" fontId="2" fillId="2" borderId="4" xfId="0" applyNumberFormat="1" applyFont="1" applyFill="1" applyBorder="1" applyAlignment="1" applyProtection="1">
      <alignment horizontal="center" vertical="center" wrapText="1"/>
      <protection locked="0"/>
    </xf>
    <xf numFmtId="1" fontId="50" fillId="10" borderId="37" xfId="0" applyNumberFormat="1" applyFont="1" applyFill="1" applyBorder="1" applyAlignment="1" applyProtection="1">
      <alignment horizontal="center" vertical="center" wrapText="1"/>
    </xf>
    <xf numFmtId="1" fontId="50" fillId="0" borderId="37" xfId="0" applyNumberFormat="1" applyFont="1" applyBorder="1" applyAlignment="1" applyProtection="1">
      <alignment horizontal="center" vertical="center" wrapText="1"/>
    </xf>
    <xf numFmtId="1" fontId="50" fillId="10" borderId="106" xfId="0" applyNumberFormat="1" applyFont="1" applyFill="1" applyBorder="1" applyAlignment="1" applyProtection="1">
      <alignment horizontal="center" vertical="center" wrapText="1"/>
    </xf>
    <xf numFmtId="1" fontId="50" fillId="0" borderId="106" xfId="0" applyNumberFormat="1" applyFont="1" applyBorder="1" applyAlignment="1" applyProtection="1">
      <alignment horizontal="center" vertical="center" wrapText="1"/>
    </xf>
    <xf numFmtId="1" fontId="50" fillId="10" borderId="102" xfId="0" applyNumberFormat="1" applyFont="1" applyFill="1" applyBorder="1" applyAlignment="1" applyProtection="1">
      <alignment horizontal="center" vertical="center" wrapText="1"/>
    </xf>
    <xf numFmtId="0" fontId="16" fillId="0" borderId="126" xfId="0" applyFont="1" applyBorder="1" applyAlignment="1">
      <alignment horizontal="center"/>
    </xf>
    <xf numFmtId="0" fontId="16" fillId="0" borderId="3" xfId="0" applyFont="1" applyBorder="1" applyAlignment="1">
      <alignment horizontal="center"/>
    </xf>
    <xf numFmtId="0" fontId="16" fillId="0" borderId="42" xfId="0" applyFont="1" applyBorder="1" applyAlignment="1">
      <alignment horizontal="center"/>
    </xf>
    <xf numFmtId="0" fontId="16" fillId="0" borderId="4" xfId="0" applyFont="1" applyBorder="1" applyAlignment="1">
      <alignment horizontal="center"/>
    </xf>
    <xf numFmtId="9" fontId="12" fillId="0" borderId="42" xfId="0" applyNumberFormat="1" applyFont="1" applyBorder="1" applyAlignment="1">
      <alignment horizontal="center"/>
    </xf>
    <xf numFmtId="0" fontId="16" fillId="0" borderId="2" xfId="0" applyFont="1" applyBorder="1" applyAlignment="1">
      <alignment horizontal="center"/>
    </xf>
    <xf numFmtId="9" fontId="0" fillId="0" borderId="42" xfId="0" applyNumberFormat="1" applyFont="1" applyBorder="1" applyAlignment="1">
      <alignment horizontal="center"/>
    </xf>
    <xf numFmtId="9" fontId="0" fillId="0" borderId="0" xfId="0" applyNumberFormat="1" applyFont="1" applyBorder="1" applyAlignment="1">
      <alignment horizontal="center"/>
    </xf>
    <xf numFmtId="0" fontId="0" fillId="0" borderId="4" xfId="0" applyFont="1" applyBorder="1" applyAlignment="1">
      <alignment horizontal="center"/>
    </xf>
    <xf numFmtId="2" fontId="50" fillId="2" borderId="16" xfId="0" applyNumberFormat="1" applyFont="1" applyFill="1" applyBorder="1" applyAlignment="1" applyProtection="1">
      <alignment horizontal="center" vertical="center" wrapText="1"/>
      <protection locked="0"/>
    </xf>
    <xf numFmtId="2" fontId="50" fillId="2" borderId="17" xfId="0" applyNumberFormat="1" applyFont="1" applyFill="1" applyBorder="1" applyAlignment="1" applyProtection="1">
      <alignment horizontal="center" vertical="center" wrapText="1"/>
      <protection locked="0"/>
    </xf>
    <xf numFmtId="1" fontId="50" fillId="10" borderId="139" xfId="0" applyNumberFormat="1" applyFont="1" applyFill="1" applyBorder="1" applyAlignment="1" applyProtection="1">
      <alignment horizontal="center" vertical="center" wrapText="1"/>
    </xf>
    <xf numFmtId="1" fontId="50" fillId="10" borderId="23" xfId="0" applyNumberFormat="1" applyFont="1" applyFill="1" applyBorder="1" applyAlignment="1" applyProtection="1">
      <alignment horizontal="center" vertical="center" wrapText="1"/>
    </xf>
    <xf numFmtId="1" fontId="50" fillId="10" borderId="140" xfId="0" applyNumberFormat="1" applyFont="1" applyFill="1" applyBorder="1" applyAlignment="1" applyProtection="1">
      <alignment horizontal="center" vertical="center" wrapText="1"/>
    </xf>
    <xf numFmtId="1" fontId="50" fillId="10" borderId="141" xfId="0" applyNumberFormat="1" applyFont="1" applyFill="1" applyBorder="1" applyAlignment="1" applyProtection="1">
      <alignment horizontal="center" vertical="center" wrapText="1"/>
    </xf>
    <xf numFmtId="1" fontId="50" fillId="0" borderId="29" xfId="0" applyNumberFormat="1" applyFont="1" applyBorder="1" applyAlignment="1" applyProtection="1">
      <alignment horizontal="center" vertical="center" wrapText="1"/>
    </xf>
    <xf numFmtId="1" fontId="50" fillId="0" borderId="152" xfId="0" applyNumberFormat="1" applyFont="1" applyBorder="1" applyAlignment="1" applyProtection="1">
      <alignment horizontal="center" vertical="center" wrapText="1"/>
    </xf>
    <xf numFmtId="1" fontId="50" fillId="0" borderId="153" xfId="0" applyNumberFormat="1" applyFont="1" applyBorder="1" applyAlignment="1" applyProtection="1">
      <alignment horizontal="center" vertical="center" wrapText="1"/>
    </xf>
    <xf numFmtId="1" fontId="50" fillId="0" borderId="30" xfId="0" applyNumberFormat="1" applyFont="1" applyBorder="1" applyAlignment="1" applyProtection="1">
      <alignment horizontal="center" vertical="center" wrapText="1"/>
    </xf>
    <xf numFmtId="1" fontId="50" fillId="10" borderId="146" xfId="0" applyNumberFormat="1" applyFont="1" applyFill="1" applyBorder="1" applyAlignment="1" applyProtection="1">
      <alignment horizontal="center" vertical="center" wrapText="1"/>
    </xf>
    <xf numFmtId="1" fontId="50" fillId="10" borderId="28" xfId="0" applyNumberFormat="1" applyFont="1" applyFill="1" applyBorder="1" applyAlignment="1" applyProtection="1">
      <alignment horizontal="center" vertical="center" wrapText="1"/>
    </xf>
    <xf numFmtId="1" fontId="50" fillId="10" borderId="147" xfId="0" applyNumberFormat="1" applyFont="1" applyFill="1" applyBorder="1" applyAlignment="1" applyProtection="1">
      <alignment horizontal="center" vertical="center" wrapText="1"/>
    </xf>
    <xf numFmtId="1" fontId="50" fillId="10" borderId="148" xfId="0" applyNumberFormat="1" applyFont="1" applyFill="1" applyBorder="1" applyAlignment="1" applyProtection="1">
      <alignment horizontal="center" vertical="center" wrapText="1"/>
    </xf>
    <xf numFmtId="0" fontId="1" fillId="0" borderId="7" xfId="0" applyFont="1" applyBorder="1" applyAlignment="1" applyProtection="1">
      <alignment horizontal="center" vertical="center"/>
      <protection locked="0"/>
    </xf>
    <xf numFmtId="0" fontId="1" fillId="0" borderId="9" xfId="0" applyFont="1" applyBorder="1" applyAlignment="1" applyProtection="1">
      <alignment horizontal="center" vertical="center"/>
      <protection locked="0"/>
    </xf>
    <xf numFmtId="0" fontId="1" fillId="0" borderId="14" xfId="0" applyFont="1" applyBorder="1" applyAlignment="1" applyProtection="1">
      <alignment horizontal="center" vertical="center"/>
      <protection locked="0"/>
    </xf>
    <xf numFmtId="0" fontId="34" fillId="3" borderId="15" xfId="0" applyFont="1" applyFill="1" applyBorder="1" applyAlignment="1" applyProtection="1">
      <alignment horizontal="center" vertical="center" shrinkToFit="1"/>
      <protection locked="0"/>
    </xf>
    <xf numFmtId="0" fontId="34" fillId="3" borderId="41" xfId="0" applyFont="1" applyFill="1" applyBorder="1" applyAlignment="1" applyProtection="1">
      <alignment horizontal="center" vertical="center" shrinkToFit="1"/>
      <protection locked="0"/>
    </xf>
    <xf numFmtId="0" fontId="34" fillId="3" borderId="38" xfId="0" applyFont="1" applyFill="1" applyBorder="1" applyAlignment="1" applyProtection="1">
      <alignment horizontal="center" vertical="center" shrinkToFit="1"/>
      <protection locked="0"/>
    </xf>
    <xf numFmtId="0" fontId="34" fillId="3" borderId="44" xfId="0" applyFont="1" applyFill="1" applyBorder="1" applyAlignment="1" applyProtection="1">
      <alignment horizontal="center" vertical="center" shrinkToFit="1"/>
      <protection locked="0"/>
    </xf>
    <xf numFmtId="0" fontId="34" fillId="3" borderId="24" xfId="0" applyFont="1" applyFill="1" applyBorder="1" applyAlignment="1" applyProtection="1">
      <alignment horizontal="center" vertical="center" shrinkToFit="1"/>
      <protection locked="0"/>
    </xf>
    <xf numFmtId="0" fontId="34" fillId="3" borderId="66" xfId="0" applyFont="1" applyFill="1" applyBorder="1" applyAlignment="1" applyProtection="1">
      <alignment horizontal="center" vertical="center" shrinkToFit="1"/>
      <protection locked="0"/>
    </xf>
    <xf numFmtId="164" fontId="34" fillId="12" borderId="71" xfId="0" applyNumberFormat="1" applyFont="1" applyFill="1" applyBorder="1" applyAlignment="1" applyProtection="1">
      <alignment horizontal="left" vertical="center" shrinkToFit="1"/>
      <protection hidden="1"/>
    </xf>
    <xf numFmtId="164" fontId="34" fillId="12" borderId="9" xfId="0" applyNumberFormat="1" applyFont="1" applyFill="1" applyBorder="1" applyAlignment="1" applyProtection="1">
      <alignment horizontal="left" vertical="center" shrinkToFit="1"/>
      <protection hidden="1"/>
    </xf>
    <xf numFmtId="164" fontId="34" fillId="12" borderId="14" xfId="0" applyNumberFormat="1" applyFont="1" applyFill="1" applyBorder="1" applyAlignment="1" applyProtection="1">
      <alignment horizontal="left" vertical="center" shrinkToFit="1"/>
      <protection hidden="1"/>
    </xf>
    <xf numFmtId="164" fontId="34" fillId="8" borderId="71" xfId="0" applyNumberFormat="1" applyFont="1" applyFill="1" applyBorder="1" applyAlignment="1" applyProtection="1">
      <alignment horizontal="left" vertical="center" shrinkToFit="1"/>
      <protection hidden="1"/>
    </xf>
    <xf numFmtId="164" fontId="34" fillId="8" borderId="9" xfId="0" applyNumberFormat="1" applyFont="1" applyFill="1" applyBorder="1" applyAlignment="1" applyProtection="1">
      <alignment horizontal="left" vertical="center" shrinkToFit="1"/>
      <protection hidden="1"/>
    </xf>
    <xf numFmtId="164" fontId="34" fillId="8" borderId="14" xfId="0" applyNumberFormat="1" applyFont="1" applyFill="1" applyBorder="1" applyAlignment="1" applyProtection="1">
      <alignment horizontal="left" vertical="center" shrinkToFit="1"/>
      <protection hidden="1"/>
    </xf>
    <xf numFmtId="0" fontId="28" fillId="4" borderId="42" xfId="0" applyFont="1" applyFill="1" applyBorder="1" applyAlignment="1" applyProtection="1">
      <alignment horizontal="center" vertical="center"/>
      <protection locked="0"/>
    </xf>
    <xf numFmtId="0" fontId="28" fillId="4" borderId="0" xfId="0" applyFont="1" applyFill="1" applyBorder="1" applyAlignment="1" applyProtection="1">
      <alignment horizontal="center" vertical="center"/>
      <protection locked="0"/>
    </xf>
    <xf numFmtId="0" fontId="28" fillId="4" borderId="43" xfId="0" applyFont="1" applyFill="1" applyBorder="1" applyAlignment="1" applyProtection="1">
      <alignment horizontal="center" vertical="center"/>
      <protection locked="0"/>
    </xf>
    <xf numFmtId="0" fontId="28" fillId="4" borderId="44" xfId="0" applyFont="1" applyFill="1" applyBorder="1" applyAlignment="1" applyProtection="1">
      <alignment horizontal="right" vertical="center"/>
      <protection locked="0"/>
    </xf>
    <xf numFmtId="0" fontId="28" fillId="4" borderId="24" xfId="0" applyFont="1" applyFill="1" applyBorder="1" applyAlignment="1" applyProtection="1">
      <alignment horizontal="right" vertical="center"/>
      <protection locked="0"/>
    </xf>
    <xf numFmtId="0" fontId="34" fillId="4" borderId="8" xfId="0" applyFont="1" applyFill="1" applyBorder="1" applyAlignment="1" applyProtection="1">
      <alignment horizontal="center" vertical="center" textRotation="90" shrinkToFit="1"/>
      <protection locked="0"/>
    </xf>
    <xf numFmtId="0" fontId="34" fillId="4" borderId="13" xfId="0" applyFont="1" applyFill="1" applyBorder="1" applyAlignment="1" applyProtection="1">
      <alignment horizontal="center" vertical="center" textRotation="90" shrinkToFit="1"/>
      <protection locked="0"/>
    </xf>
    <xf numFmtId="0" fontId="34" fillId="4" borderId="5" xfId="0" applyFont="1" applyFill="1" applyBorder="1" applyAlignment="1" applyProtection="1">
      <alignment horizontal="center" vertical="center" textRotation="90" shrinkToFit="1"/>
      <protection locked="0"/>
    </xf>
    <xf numFmtId="0" fontId="14" fillId="6" borderId="108" xfId="0" applyFont="1" applyFill="1" applyBorder="1" applyAlignment="1" applyProtection="1">
      <alignment horizontal="left" vertical="top" wrapText="1"/>
      <protection locked="0"/>
    </xf>
    <xf numFmtId="0" fontId="14" fillId="6" borderId="109" xfId="0" applyFont="1" applyFill="1" applyBorder="1" applyAlignment="1" applyProtection="1">
      <alignment horizontal="left" vertical="top" wrapText="1"/>
      <protection locked="0"/>
    </xf>
    <xf numFmtId="164" fontId="34" fillId="8" borderId="72" xfId="0" applyNumberFormat="1" applyFont="1" applyFill="1" applyBorder="1" applyAlignment="1" applyProtection="1">
      <alignment horizontal="left" vertical="center" shrinkToFit="1"/>
      <protection hidden="1"/>
    </xf>
    <xf numFmtId="164" fontId="34" fillId="8" borderId="57" xfId="0" applyNumberFormat="1" applyFont="1" applyFill="1" applyBorder="1" applyAlignment="1" applyProtection="1">
      <alignment horizontal="left" vertical="center" shrinkToFit="1"/>
      <protection hidden="1"/>
    </xf>
    <xf numFmtId="0" fontId="14" fillId="6" borderId="107" xfId="0" applyFont="1" applyFill="1" applyBorder="1" applyAlignment="1" applyProtection="1">
      <alignment horizontal="left" vertical="top" wrapText="1"/>
      <protection locked="0"/>
    </xf>
    <xf numFmtId="0" fontId="14" fillId="6" borderId="107" xfId="0" applyFont="1" applyFill="1" applyBorder="1" applyAlignment="1" applyProtection="1">
      <alignment horizontal="left" vertical="top"/>
      <protection locked="0"/>
    </xf>
    <xf numFmtId="0" fontId="36" fillId="0" borderId="7" xfId="0" applyFont="1" applyBorder="1" applyAlignment="1" applyProtection="1">
      <alignment horizontal="center" vertical="center" shrinkToFit="1"/>
      <protection locked="0"/>
    </xf>
    <xf numFmtId="0" fontId="25" fillId="0" borderId="9" xfId="0" applyFont="1" applyBorder="1" applyAlignment="1" applyProtection="1">
      <alignment horizontal="center" vertical="center" shrinkToFit="1"/>
      <protection locked="0"/>
    </xf>
    <xf numFmtId="0" fontId="25" fillId="0" borderId="14" xfId="0" applyFont="1" applyBorder="1" applyAlignment="1" applyProtection="1">
      <alignment horizontal="center" vertical="center" shrinkToFit="1"/>
      <protection locked="0"/>
    </xf>
    <xf numFmtId="0" fontId="28" fillId="4" borderId="0" xfId="0" applyFont="1" applyFill="1" applyAlignment="1" applyProtection="1">
      <alignment horizontal="center" vertical="center"/>
      <protection locked="0"/>
    </xf>
    <xf numFmtId="0" fontId="34" fillId="3" borderId="42" xfId="0" applyFont="1" applyFill="1" applyBorder="1" applyAlignment="1" applyProtection="1">
      <alignment horizontal="center" vertical="center" shrinkToFit="1"/>
      <protection locked="0"/>
    </xf>
    <xf numFmtId="0" fontId="34" fillId="3" borderId="0" xfId="0" applyFont="1" applyFill="1" applyBorder="1" applyAlignment="1" applyProtection="1">
      <alignment horizontal="center" vertical="center" shrinkToFit="1"/>
      <protection locked="0"/>
    </xf>
    <xf numFmtId="0" fontId="24" fillId="4" borderId="15" xfId="0" applyFont="1" applyFill="1" applyBorder="1" applyAlignment="1" applyProtection="1">
      <alignment horizontal="left" vertical="top"/>
      <protection locked="0"/>
    </xf>
    <xf numFmtId="0" fontId="24" fillId="4" borderId="41" xfId="0" applyFont="1" applyFill="1" applyBorder="1" applyAlignment="1" applyProtection="1">
      <alignment horizontal="left" vertical="top"/>
      <protection locked="0"/>
    </xf>
    <xf numFmtId="0" fontId="25" fillId="0" borderId="7" xfId="0" applyFont="1" applyBorder="1" applyAlignment="1" applyProtection="1">
      <alignment horizontal="center" vertical="center" shrinkToFit="1"/>
      <protection locked="0"/>
    </xf>
    <xf numFmtId="0" fontId="26" fillId="0" borderId="0" xfId="0" applyFont="1" applyAlignment="1" applyProtection="1">
      <alignment horizontal="center" vertical="center"/>
      <protection locked="0"/>
    </xf>
    <xf numFmtId="0" fontId="14" fillId="6" borderId="108" xfId="0" applyFont="1" applyFill="1" applyBorder="1" applyAlignment="1" applyProtection="1">
      <alignment horizontal="left" vertical="top"/>
      <protection locked="0"/>
    </xf>
    <xf numFmtId="164" fontId="34" fillId="8" borderId="61" xfId="0" applyNumberFormat="1" applyFont="1" applyFill="1" applyBorder="1" applyAlignment="1" applyProtection="1">
      <alignment horizontal="left" vertical="center" shrinkToFit="1"/>
      <protection hidden="1"/>
    </xf>
    <xf numFmtId="164" fontId="34" fillId="8" borderId="63" xfId="0" applyNumberFormat="1" applyFont="1" applyFill="1" applyBorder="1" applyAlignment="1" applyProtection="1">
      <alignment horizontal="left" vertical="center" shrinkToFit="1"/>
      <protection hidden="1"/>
    </xf>
    <xf numFmtId="164" fontId="34" fillId="8" borderId="89" xfId="0" applyNumberFormat="1" applyFont="1" applyFill="1" applyBorder="1" applyAlignment="1" applyProtection="1">
      <alignment horizontal="left" vertical="center" shrinkToFit="1"/>
      <protection hidden="1"/>
    </xf>
    <xf numFmtId="164" fontId="34" fillId="12" borderId="72" xfId="0" applyNumberFormat="1" applyFont="1" applyFill="1" applyBorder="1" applyAlignment="1" applyProtection="1">
      <alignment horizontal="left" vertical="center" shrinkToFit="1"/>
      <protection hidden="1"/>
    </xf>
    <xf numFmtId="164" fontId="34" fillId="12" borderId="57" xfId="0" applyNumberFormat="1" applyFont="1" applyFill="1" applyBorder="1" applyAlignment="1" applyProtection="1">
      <alignment horizontal="left" vertical="center" shrinkToFit="1"/>
      <protection hidden="1"/>
    </xf>
    <xf numFmtId="164" fontId="34" fillId="12" borderId="73" xfId="0" applyNumberFormat="1" applyFont="1" applyFill="1" applyBorder="1" applyAlignment="1" applyProtection="1">
      <alignment horizontal="left" vertical="center" shrinkToFit="1"/>
      <protection hidden="1"/>
    </xf>
    <xf numFmtId="164" fontId="34" fillId="8" borderId="118" xfId="0" applyNumberFormat="1" applyFont="1" applyFill="1" applyBorder="1" applyAlignment="1" applyProtection="1">
      <alignment horizontal="left" vertical="center" shrinkToFit="1"/>
      <protection hidden="1"/>
    </xf>
    <xf numFmtId="164" fontId="34" fillId="8" borderId="119" xfId="0" applyNumberFormat="1" applyFont="1" applyFill="1" applyBorder="1" applyAlignment="1" applyProtection="1">
      <alignment horizontal="left" vertical="center" shrinkToFit="1"/>
      <protection hidden="1"/>
    </xf>
    <xf numFmtId="164" fontId="34" fillId="8" borderId="120" xfId="0" applyNumberFormat="1" applyFont="1" applyFill="1" applyBorder="1" applyAlignment="1" applyProtection="1">
      <alignment horizontal="left" vertical="center" shrinkToFit="1"/>
      <protection hidden="1"/>
    </xf>
    <xf numFmtId="0" fontId="26" fillId="11" borderId="82" xfId="0" applyFont="1" applyFill="1" applyBorder="1" applyAlignment="1" applyProtection="1">
      <alignment horizontal="center" vertical="center"/>
      <protection locked="0"/>
    </xf>
    <xf numFmtId="0" fontId="26" fillId="11" borderId="83" xfId="0" applyFont="1" applyFill="1" applyBorder="1" applyAlignment="1" applyProtection="1">
      <alignment horizontal="center" vertical="center"/>
      <protection locked="0"/>
    </xf>
    <xf numFmtId="0" fontId="26" fillId="11" borderId="84" xfId="0" applyFont="1" applyFill="1" applyBorder="1" applyAlignment="1" applyProtection="1">
      <alignment horizontal="center" vertical="center"/>
      <protection locked="0"/>
    </xf>
    <xf numFmtId="0" fontId="26" fillId="11" borderId="81" xfId="0" applyFont="1" applyFill="1" applyBorder="1" applyAlignment="1" applyProtection="1">
      <alignment horizontal="center" vertical="center"/>
      <protection locked="0"/>
    </xf>
    <xf numFmtId="0" fontId="13" fillId="6" borderId="0" xfId="0" applyFont="1" applyFill="1" applyAlignment="1" applyProtection="1">
      <alignment horizontal="center" vertical="center" wrapText="1"/>
      <protection locked="0"/>
    </xf>
    <xf numFmtId="0" fontId="26" fillId="11" borderId="80" xfId="0" applyFont="1" applyFill="1" applyBorder="1" applyAlignment="1" applyProtection="1">
      <alignment horizontal="left" wrapText="1"/>
      <protection locked="0"/>
    </xf>
    <xf numFmtId="0" fontId="26" fillId="11" borderId="80" xfId="0" applyFont="1" applyFill="1" applyBorder="1" applyAlignment="1" applyProtection="1">
      <alignment horizontal="center" vertical="center"/>
      <protection locked="0"/>
    </xf>
    <xf numFmtId="0" fontId="26" fillId="11" borderId="80" xfId="0" applyFont="1" applyFill="1" applyBorder="1" applyAlignment="1" applyProtection="1">
      <alignment vertical="center" wrapText="1"/>
      <protection locked="0"/>
    </xf>
    <xf numFmtId="0" fontId="0" fillId="11" borderId="80" xfId="0" applyFill="1" applyBorder="1" applyAlignment="1" applyProtection="1">
      <alignment vertical="center" wrapText="1"/>
      <protection locked="0"/>
    </xf>
    <xf numFmtId="0" fontId="34" fillId="3" borderId="43" xfId="0" applyFont="1" applyFill="1" applyBorder="1" applyAlignment="1" applyProtection="1">
      <alignment horizontal="center" vertical="center" shrinkToFit="1"/>
      <protection locked="0"/>
    </xf>
    <xf numFmtId="0" fontId="1" fillId="0" borderId="44" xfId="0" applyFont="1" applyBorder="1" applyAlignment="1" applyProtection="1">
      <alignment horizontal="center" vertical="center"/>
      <protection locked="0"/>
    </xf>
    <xf numFmtId="0" fontId="1" fillId="0" borderId="24" xfId="0" applyFont="1" applyBorder="1" applyAlignment="1" applyProtection="1">
      <alignment horizontal="center" vertical="center"/>
      <protection locked="0"/>
    </xf>
    <xf numFmtId="0" fontId="1" fillId="0" borderId="66" xfId="0" applyFont="1" applyBorder="1" applyAlignment="1" applyProtection="1">
      <alignment horizontal="center" vertical="center"/>
      <protection locked="0"/>
    </xf>
    <xf numFmtId="0" fontId="28" fillId="4" borderId="24" xfId="0" applyFont="1" applyFill="1" applyBorder="1" applyAlignment="1" applyProtection="1">
      <alignment horizontal="right" vertical="top"/>
      <protection locked="0"/>
    </xf>
    <xf numFmtId="0" fontId="1" fillId="4" borderId="24" xfId="0" applyFont="1" applyFill="1" applyBorder="1" applyAlignment="1" applyProtection="1">
      <alignment horizontal="right" vertical="top"/>
      <protection locked="0"/>
    </xf>
    <xf numFmtId="0" fontId="1" fillId="4" borderId="66" xfId="0" applyFont="1" applyFill="1" applyBorder="1" applyAlignment="1" applyProtection="1">
      <alignment horizontal="right" vertical="top"/>
      <protection locked="0"/>
    </xf>
    <xf numFmtId="0" fontId="24" fillId="4" borderId="38" xfId="0" applyFont="1" applyFill="1" applyBorder="1" applyAlignment="1" applyProtection="1">
      <alignment horizontal="left" vertical="top"/>
      <protection locked="0"/>
    </xf>
    <xf numFmtId="0" fontId="40" fillId="0" borderId="15" xfId="0" applyFont="1" applyBorder="1" applyAlignment="1" applyProtection="1">
      <alignment horizontal="center" vertical="center" shrinkToFit="1"/>
      <protection locked="0"/>
    </xf>
    <xf numFmtId="0" fontId="25" fillId="0" borderId="41" xfId="0" applyFont="1" applyBorder="1" applyAlignment="1" applyProtection="1">
      <alignment horizontal="center" vertical="center" shrinkToFit="1"/>
      <protection locked="0"/>
    </xf>
    <xf numFmtId="0" fontId="26" fillId="6" borderId="0" xfId="0" applyFont="1" applyFill="1" applyAlignment="1" applyProtection="1">
      <alignment horizontal="center" vertical="center"/>
      <protection locked="0"/>
    </xf>
    <xf numFmtId="0" fontId="25" fillId="0" borderId="15" xfId="0" applyFont="1" applyBorder="1" applyAlignment="1" applyProtection="1">
      <alignment horizontal="center" vertical="center" shrinkToFit="1"/>
      <protection locked="0"/>
    </xf>
    <xf numFmtId="164" fontId="34" fillId="8" borderId="73" xfId="0" applyNumberFormat="1" applyFont="1" applyFill="1" applyBorder="1" applyAlignment="1" applyProtection="1">
      <alignment horizontal="left" vertical="center" shrinkToFit="1"/>
      <protection hidden="1"/>
    </xf>
    <xf numFmtId="0" fontId="42" fillId="4" borderId="24" xfId="0" applyFont="1" applyFill="1" applyBorder="1" applyAlignment="1" applyProtection="1">
      <alignment horizontal="center" vertical="top"/>
      <protection locked="0"/>
    </xf>
    <xf numFmtId="0" fontId="1" fillId="4" borderId="24" xfId="0" applyFont="1" applyFill="1" applyBorder="1" applyAlignment="1" applyProtection="1">
      <alignment horizontal="center" vertical="top"/>
      <protection locked="0"/>
    </xf>
    <xf numFmtId="0" fontId="1" fillId="4" borderId="66" xfId="0" applyFont="1" applyFill="1" applyBorder="1" applyAlignment="1" applyProtection="1">
      <alignment horizontal="center" vertical="top"/>
      <protection locked="0"/>
    </xf>
    <xf numFmtId="164" fontId="34" fillId="8" borderId="53" xfId="0" applyNumberFormat="1" applyFont="1" applyFill="1" applyBorder="1" applyAlignment="1" applyProtection="1">
      <alignment horizontal="left" vertical="center" shrinkToFit="1"/>
      <protection hidden="1"/>
    </xf>
    <xf numFmtId="164" fontId="34" fillId="8" borderId="41" xfId="0" applyNumberFormat="1" applyFont="1" applyFill="1" applyBorder="1" applyAlignment="1" applyProtection="1">
      <alignment horizontal="left" vertical="center" shrinkToFit="1"/>
      <protection hidden="1"/>
    </xf>
    <xf numFmtId="164" fontId="34" fillId="8" borderId="38" xfId="0" applyNumberFormat="1" applyFont="1" applyFill="1" applyBorder="1" applyAlignment="1" applyProtection="1">
      <alignment horizontal="left" vertical="center" shrinkToFit="1"/>
      <protection hidden="1"/>
    </xf>
    <xf numFmtId="0" fontId="0" fillId="0" borderId="0" xfId="0" applyBorder="1" applyProtection="1">
      <protection locked="0"/>
    </xf>
    <xf numFmtId="1" fontId="41" fillId="5" borderId="70" xfId="0" applyNumberFormat="1" applyFont="1" applyFill="1" applyBorder="1" applyAlignment="1" applyProtection="1">
      <alignment horizontal="center" vertical="center"/>
      <protection locked="0"/>
    </xf>
    <xf numFmtId="1" fontId="41" fillId="5" borderId="87" xfId="0" applyNumberFormat="1" applyFont="1" applyFill="1" applyBorder="1" applyAlignment="1" applyProtection="1">
      <alignment horizontal="center" vertical="center"/>
      <protection locked="0"/>
    </xf>
    <xf numFmtId="0" fontId="0" fillId="0" borderId="43" xfId="0" applyBorder="1" applyProtection="1">
      <protection locked="0"/>
    </xf>
    <xf numFmtId="1" fontId="36" fillId="3" borderId="14" xfId="0" applyNumberFormat="1" applyFont="1" applyFill="1" applyBorder="1" applyAlignment="1" applyProtection="1">
      <alignment horizontal="center" vertical="center"/>
      <protection hidden="1"/>
    </xf>
    <xf numFmtId="1" fontId="1" fillId="8" borderId="63" xfId="0" applyNumberFormat="1" applyFont="1" applyFill="1" applyBorder="1" applyAlignment="1" applyProtection="1">
      <alignment horizontal="center" vertical="center"/>
      <protection locked="0"/>
    </xf>
    <xf numFmtId="1" fontId="1" fillId="5" borderId="0" xfId="0" applyNumberFormat="1" applyFont="1" applyFill="1" applyBorder="1" applyAlignment="1" applyProtection="1">
      <alignment horizontal="center" vertical="center"/>
      <protection locked="0"/>
    </xf>
    <xf numFmtId="1" fontId="1" fillId="10" borderId="0" xfId="0" applyNumberFormat="1" applyFont="1" applyFill="1" applyBorder="1" applyAlignment="1" applyProtection="1">
      <alignment horizontal="center" vertical="center"/>
      <protection locked="0"/>
    </xf>
    <xf numFmtId="1" fontId="41" fillId="5" borderId="85" xfId="0" applyNumberFormat="1" applyFont="1" applyFill="1" applyBorder="1" applyAlignment="1" applyProtection="1">
      <alignment horizontal="center" vertical="center"/>
      <protection locked="0"/>
    </xf>
    <xf numFmtId="0" fontId="27" fillId="6" borderId="38" xfId="0" applyFont="1" applyFill="1" applyBorder="1" applyAlignment="1" applyProtection="1">
      <alignment horizontal="center" vertical="center"/>
      <protection locked="0"/>
    </xf>
    <xf numFmtId="1" fontId="1" fillId="5" borderId="116" xfId="0" applyNumberFormat="1" applyFont="1" applyFill="1" applyBorder="1" applyAlignment="1" applyProtection="1">
      <alignment horizontal="center" vertical="center"/>
      <protection locked="0"/>
    </xf>
    <xf numFmtId="1" fontId="1" fillId="10" borderId="116" xfId="0" applyNumberFormat="1" applyFont="1" applyFill="1" applyBorder="1" applyAlignment="1" applyProtection="1">
      <alignment horizontal="center" vertical="center"/>
      <protection locked="0"/>
    </xf>
    <xf numFmtId="1" fontId="1" fillId="10" borderId="63" xfId="0" applyNumberFormat="1" applyFont="1" applyFill="1" applyBorder="1" applyAlignment="1" applyProtection="1">
      <alignment horizontal="center" vertical="center"/>
      <protection locked="0"/>
    </xf>
    <xf numFmtId="1" fontId="1" fillId="5" borderId="63" xfId="0" applyNumberFormat="1" applyFont="1" applyFill="1" applyBorder="1" applyAlignment="1" applyProtection="1">
      <alignment horizontal="center" vertical="center"/>
      <protection locked="0"/>
    </xf>
    <xf numFmtId="1" fontId="1" fillId="3" borderId="63" xfId="0" applyNumberFormat="1" applyFont="1" applyFill="1" applyBorder="1" applyAlignment="1" applyProtection="1">
      <alignment horizontal="center" vertical="center"/>
      <protection locked="0"/>
    </xf>
    <xf numFmtId="1" fontId="26" fillId="5" borderId="41" xfId="0" applyNumberFormat="1" applyFont="1" applyFill="1" applyBorder="1" applyAlignment="1" applyProtection="1">
      <alignment horizontal="center" vertical="center"/>
      <protection locked="0"/>
    </xf>
    <xf numFmtId="1" fontId="1" fillId="8" borderId="76" xfId="0" applyNumberFormat="1" applyFont="1" applyFill="1" applyBorder="1" applyAlignment="1" applyProtection="1">
      <alignment horizontal="center" vertical="center"/>
    </xf>
    <xf numFmtId="1" fontId="1" fillId="5" borderId="13" xfId="0" applyNumberFormat="1" applyFont="1" applyFill="1" applyBorder="1" applyAlignment="1" applyProtection="1">
      <alignment horizontal="center" vertical="center"/>
    </xf>
    <xf numFmtId="1" fontId="1" fillId="10" borderId="166" xfId="0" applyNumberFormat="1" applyFont="1" applyFill="1" applyBorder="1" applyAlignment="1" applyProtection="1">
      <alignment horizontal="center" vertical="center"/>
    </xf>
    <xf numFmtId="1" fontId="1" fillId="5" borderId="166" xfId="0" applyNumberFormat="1" applyFont="1" applyFill="1" applyBorder="1" applyAlignment="1" applyProtection="1">
      <alignment horizontal="center" vertical="center"/>
    </xf>
    <xf numFmtId="1" fontId="1" fillId="3" borderId="166" xfId="0" applyNumberFormat="1" applyFont="1" applyFill="1" applyBorder="1" applyAlignment="1" applyProtection="1">
      <alignment horizontal="center" vertical="center"/>
    </xf>
    <xf numFmtId="1" fontId="1" fillId="10" borderId="13" xfId="0" applyNumberFormat="1" applyFont="1" applyFill="1" applyBorder="1" applyAlignment="1" applyProtection="1">
      <alignment horizontal="center" vertical="center"/>
    </xf>
    <xf numFmtId="1" fontId="26" fillId="5" borderId="52" xfId="0" applyNumberFormat="1" applyFont="1" applyFill="1" applyBorder="1" applyAlignment="1" applyProtection="1">
      <alignment horizontal="center" vertical="center"/>
      <protection locked="0"/>
    </xf>
    <xf numFmtId="1" fontId="26" fillId="5" borderId="85" xfId="0" applyNumberFormat="1" applyFont="1" applyFill="1" applyBorder="1" applyAlignment="1" applyProtection="1">
      <alignment horizontal="center" vertical="center"/>
      <protection locked="0"/>
    </xf>
    <xf numFmtId="1" fontId="26" fillId="5" borderId="8" xfId="0" applyNumberFormat="1" applyFont="1" applyFill="1" applyBorder="1" applyAlignment="1" applyProtection="1">
      <alignment horizontal="center" vertical="center"/>
    </xf>
    <xf numFmtId="1" fontId="25" fillId="3" borderId="6" xfId="0" applyNumberFormat="1" applyFont="1" applyFill="1" applyBorder="1" applyAlignment="1" applyProtection="1">
      <alignment horizontal="center" vertical="center"/>
      <protection hidden="1"/>
    </xf>
    <xf numFmtId="1" fontId="14" fillId="10" borderId="105" xfId="0" applyNumberFormat="1" applyFont="1" applyFill="1" applyBorder="1" applyAlignment="1" applyProtection="1">
      <alignment horizontal="center" vertical="center" wrapText="1"/>
      <protection locked="0"/>
    </xf>
    <xf numFmtId="1" fontId="14" fillId="0" borderId="106" xfId="0" applyNumberFormat="1" applyFont="1" applyFill="1" applyBorder="1" applyAlignment="1" applyProtection="1">
      <alignment horizontal="center" vertical="center" wrapText="1"/>
      <protection locked="0"/>
    </xf>
    <xf numFmtId="1" fontId="14" fillId="10" borderId="106" xfId="0" applyNumberFormat="1" applyFont="1" applyFill="1" applyBorder="1" applyAlignment="1" applyProtection="1">
      <alignment horizontal="center" vertical="center" wrapText="1"/>
      <protection locked="0"/>
    </xf>
    <xf numFmtId="1" fontId="14" fillId="10" borderId="141" xfId="0" applyNumberFormat="1" applyFont="1" applyFill="1" applyBorder="1" applyAlignment="1" applyProtection="1">
      <alignment horizontal="center" vertical="center" wrapText="1"/>
      <protection locked="0"/>
    </xf>
    <xf numFmtId="1" fontId="14" fillId="0" borderId="30" xfId="0" applyNumberFormat="1" applyFont="1" applyFill="1" applyBorder="1" applyAlignment="1" applyProtection="1">
      <alignment horizontal="center" vertical="center" wrapText="1"/>
      <protection locked="0"/>
    </xf>
    <xf numFmtId="1" fontId="14" fillId="10" borderId="148" xfId="0" applyNumberFormat="1" applyFont="1" applyFill="1" applyBorder="1" applyAlignment="1" applyProtection="1">
      <alignment horizontal="center" vertical="center" wrapText="1"/>
      <protection locked="0"/>
    </xf>
    <xf numFmtId="1" fontId="57" fillId="10" borderId="4" xfId="0" applyNumberFormat="1" applyFont="1" applyFill="1" applyBorder="1" applyAlignment="1" applyProtection="1">
      <alignment horizontal="center" vertical="center" wrapText="1"/>
      <protection locked="0"/>
    </xf>
    <xf numFmtId="1" fontId="57" fillId="0" borderId="30" xfId="0" applyNumberFormat="1" applyFont="1" applyFill="1" applyBorder="1" applyAlignment="1" applyProtection="1">
      <alignment horizontal="center" vertical="center" wrapText="1"/>
      <protection locked="0"/>
    </xf>
    <xf numFmtId="1" fontId="57" fillId="0" borderId="4" xfId="0" applyNumberFormat="1" applyFont="1" applyFill="1" applyBorder="1" applyAlignment="1" applyProtection="1">
      <alignment horizontal="center" vertical="center" wrapText="1"/>
      <protection locked="0"/>
    </xf>
    <xf numFmtId="1" fontId="14" fillId="3" borderId="6" xfId="0" applyNumberFormat="1" applyFont="1" applyFill="1" applyBorder="1" applyAlignment="1" applyProtection="1">
      <alignment horizontal="center" vertical="center" wrapText="1"/>
    </xf>
  </cellXfs>
  <cellStyles count="3">
    <cellStyle name="Normal" xfId="0" builtinId="0"/>
    <cellStyle name="Normal 2" xfId="2" xr:uid="{00000000-0005-0000-0000-000001000000}"/>
    <cellStyle name="Normal 2 2" xfId="1" xr:uid="{00000000-0005-0000-0000-000002000000}"/>
  </cellStyles>
  <dxfs count="8"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00B05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00B050"/>
        </patternFill>
      </fill>
    </dxf>
    <dxf>
      <font>
        <color rgb="FFFF000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GA-7Av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SULTA"/>
      <sheetName val="ENTRADA"/>
      <sheetName val="LISTA DE ALUNOS"/>
      <sheetName val="ALUNOS"/>
      <sheetName val="PARÂMETROS"/>
      <sheetName val="TESTE_DIAGNÓSTICO"/>
      <sheetName val="TESTE1_1P"/>
      <sheetName val="TESTE2_1P"/>
      <sheetName val="TESTE1_2P"/>
      <sheetName val="TESTE2_2P"/>
      <sheetName val="TESTE1_3P"/>
      <sheetName val="TRABALHO AULA 1P"/>
      <sheetName val="TRABALHO AULA 2P"/>
      <sheetName val="TRABALHO AULA 3P"/>
      <sheetName val="COMPREENSAO_E_EXPRESSÃO_ORAL"/>
      <sheetName val="ATITUDES_1P"/>
      <sheetName val="GRELHA_GLOBAL"/>
      <sheetName val="DADOS ESTATÍSTICOS"/>
      <sheetName val="RD_01"/>
      <sheetName val="modelo"/>
      <sheetName val="Folha3"/>
    </sheetNames>
    <sheetDataSet>
      <sheetData sheetId="0"/>
      <sheetData sheetId="1">
        <row r="5">
          <cell r="B5">
            <v>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</sheetDataSet>
  </externalBook>
</externalLink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lha1"/>
  <dimension ref="A1:AR48"/>
  <sheetViews>
    <sheetView tabSelected="1" zoomScale="110" zoomScaleNormal="11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AO32" sqref="AO32"/>
    </sheetView>
  </sheetViews>
  <sheetFormatPr defaultRowHeight="15" x14ac:dyDescent="0.25"/>
  <cols>
    <col min="1" max="1" width="2.7109375" style="130" customWidth="1"/>
    <col min="2" max="2" width="16.140625" style="130" customWidth="1"/>
    <col min="3" max="3" width="6" style="130" customWidth="1"/>
    <col min="4" max="4" width="3.5703125" style="130" customWidth="1"/>
    <col min="5" max="5" width="4" style="130" customWidth="1"/>
    <col min="6" max="6" width="3.7109375" style="130" customWidth="1"/>
    <col min="7" max="7" width="3.5703125" style="130" customWidth="1"/>
    <col min="8" max="8" width="4.28515625" style="130" customWidth="1"/>
    <col min="9" max="9" width="3.7109375" style="130" customWidth="1"/>
    <col min="10" max="10" width="3.28515625" style="130" customWidth="1"/>
    <col min="11" max="11" width="4.28515625" style="130" customWidth="1"/>
    <col min="12" max="12" width="4" style="130" customWidth="1"/>
    <col min="13" max="13" width="3.7109375" style="130" customWidth="1"/>
    <col min="14" max="14" width="4.28515625" style="130" customWidth="1"/>
    <col min="15" max="16" width="3.85546875" style="130" customWidth="1"/>
    <col min="17" max="17" width="4.28515625" style="130" customWidth="1"/>
    <col min="18" max="18" width="2.7109375" style="130" customWidth="1"/>
    <col min="19" max="19" width="1.7109375" style="130" customWidth="1"/>
    <col min="20" max="20" width="2.85546875" style="130" customWidth="1"/>
    <col min="21" max="21" width="0.85546875" style="130" customWidth="1"/>
    <col min="22" max="23" width="2.42578125" style="130" customWidth="1"/>
    <col min="24" max="24" width="4.28515625" style="130" customWidth="1"/>
    <col min="25" max="25" width="3.7109375" style="130" customWidth="1"/>
    <col min="26" max="26" width="4" style="274" customWidth="1"/>
    <col min="27" max="27" width="3.85546875" style="130" customWidth="1"/>
    <col min="28" max="28" width="4.7109375" style="130" customWidth="1"/>
    <col min="29" max="30" width="3.42578125" style="130" customWidth="1"/>
    <col min="31" max="31" width="3.7109375" style="130" customWidth="1"/>
    <col min="32" max="34" width="4.28515625" style="130" customWidth="1"/>
    <col min="35" max="35" width="3.5703125" style="130" customWidth="1"/>
    <col min="36" max="36" width="7.7109375" style="130" customWidth="1"/>
    <col min="37" max="37" width="5.7109375" style="130" customWidth="1"/>
    <col min="38" max="39" width="7.7109375" style="130" customWidth="1"/>
    <col min="40" max="40" width="6.42578125" style="130" customWidth="1"/>
    <col min="41" max="41" width="7.7109375" style="130" customWidth="1"/>
    <col min="42" max="16384" width="9.140625" style="130"/>
  </cols>
  <sheetData>
    <row r="1" spans="1:41" ht="15.75" customHeight="1" x14ac:dyDescent="0.3">
      <c r="A1" s="363"/>
      <c r="B1" s="363"/>
      <c r="C1" s="129"/>
      <c r="D1" s="389" t="s">
        <v>126</v>
      </c>
      <c r="E1" s="389"/>
      <c r="F1" s="389"/>
      <c r="G1" s="389"/>
      <c r="H1" s="389"/>
      <c r="I1" s="389"/>
      <c r="J1" s="389"/>
      <c r="K1" s="389"/>
      <c r="L1" s="389"/>
      <c r="M1" s="389"/>
      <c r="N1" s="389"/>
      <c r="O1" s="389"/>
      <c r="P1" s="389"/>
      <c r="Q1" s="389"/>
      <c r="R1" s="389"/>
      <c r="S1" s="389"/>
      <c r="T1" s="389"/>
      <c r="U1" s="389"/>
      <c r="V1" s="389"/>
      <c r="W1" s="389"/>
      <c r="X1" s="389"/>
      <c r="Y1" s="389"/>
      <c r="Z1" s="389"/>
      <c r="AA1" s="389"/>
      <c r="AB1" s="389"/>
      <c r="AC1" s="389"/>
      <c r="AD1" s="389"/>
      <c r="AE1" s="389"/>
      <c r="AF1" s="389"/>
      <c r="AG1" s="389"/>
      <c r="AH1" s="389"/>
      <c r="AI1" s="389"/>
      <c r="AJ1" s="389"/>
      <c r="AK1" s="129"/>
      <c r="AL1" s="129"/>
      <c r="AM1" s="129"/>
      <c r="AN1" s="129"/>
    </row>
    <row r="2" spans="1:41" ht="22.5" customHeight="1" x14ac:dyDescent="0.3">
      <c r="A2" s="363"/>
      <c r="B2" s="363"/>
      <c r="C2" s="131"/>
      <c r="D2" s="389"/>
      <c r="E2" s="389"/>
      <c r="F2" s="389"/>
      <c r="G2" s="389"/>
      <c r="H2" s="389"/>
      <c r="I2" s="389"/>
      <c r="J2" s="389"/>
      <c r="K2" s="389"/>
      <c r="L2" s="389"/>
      <c r="M2" s="389"/>
      <c r="N2" s="389"/>
      <c r="O2" s="389"/>
      <c r="P2" s="389"/>
      <c r="Q2" s="389"/>
      <c r="R2" s="389"/>
      <c r="S2" s="389"/>
      <c r="T2" s="389"/>
      <c r="U2" s="389"/>
      <c r="V2" s="389"/>
      <c r="W2" s="389"/>
      <c r="X2" s="389"/>
      <c r="Y2" s="389"/>
      <c r="Z2" s="389"/>
      <c r="AA2" s="389"/>
      <c r="AB2" s="389"/>
      <c r="AC2" s="389"/>
      <c r="AD2" s="389"/>
      <c r="AE2" s="389"/>
      <c r="AF2" s="389"/>
      <c r="AG2" s="389"/>
      <c r="AH2" s="389"/>
      <c r="AI2" s="389"/>
      <c r="AJ2" s="389"/>
      <c r="AK2" s="129"/>
      <c r="AL2" s="129"/>
      <c r="AM2" s="129"/>
      <c r="AN2" s="129"/>
    </row>
    <row r="3" spans="1:41" ht="19.5" customHeight="1" x14ac:dyDescent="0.3">
      <c r="A3" s="132"/>
      <c r="B3" s="129"/>
      <c r="C3" s="129"/>
      <c r="D3" s="129"/>
      <c r="E3" s="131"/>
      <c r="F3" s="131"/>
      <c r="G3" s="131"/>
      <c r="H3" s="131"/>
      <c r="I3" s="131"/>
      <c r="J3" s="131"/>
      <c r="K3" s="131"/>
      <c r="L3" s="131"/>
      <c r="M3" s="131"/>
      <c r="N3" s="131"/>
      <c r="O3" s="131"/>
      <c r="P3" s="131"/>
      <c r="Q3" s="131"/>
      <c r="R3" s="131"/>
      <c r="S3" s="131"/>
      <c r="T3" s="131"/>
      <c r="U3" s="131"/>
      <c r="V3" s="131"/>
      <c r="W3" s="131"/>
      <c r="X3" s="131"/>
      <c r="Y3" s="131"/>
      <c r="Z3" s="272"/>
      <c r="AA3" s="133"/>
      <c r="AB3" s="133"/>
      <c r="AC3" s="133"/>
      <c r="AD3" s="133"/>
      <c r="AE3" s="133"/>
      <c r="AF3" s="133"/>
      <c r="AG3" s="133"/>
      <c r="AH3" s="133"/>
      <c r="AI3" s="133"/>
      <c r="AJ3" s="133"/>
      <c r="AK3" s="133"/>
      <c r="AL3" s="133"/>
      <c r="AM3" s="133"/>
      <c r="AN3" s="133"/>
    </row>
    <row r="4" spans="1:41" ht="23.25" x14ac:dyDescent="0.35">
      <c r="A4" s="134" t="s">
        <v>0</v>
      </c>
      <c r="B4" s="133"/>
      <c r="C4" s="133"/>
      <c r="D4" s="133"/>
      <c r="E4" s="133"/>
      <c r="F4" s="133"/>
      <c r="G4" s="133"/>
      <c r="H4" s="133"/>
      <c r="I4" s="133"/>
      <c r="J4" s="390" t="s">
        <v>121</v>
      </c>
      <c r="K4" s="390"/>
      <c r="L4" s="390"/>
      <c r="M4" s="390"/>
      <c r="N4" s="390"/>
      <c r="O4" s="390"/>
      <c r="P4" s="390"/>
      <c r="Q4" s="135"/>
      <c r="R4" s="135"/>
      <c r="S4" s="135"/>
      <c r="T4" s="135"/>
      <c r="U4" s="135"/>
      <c r="V4" s="135"/>
      <c r="W4" s="135"/>
      <c r="X4" s="135"/>
      <c r="Y4" s="136"/>
      <c r="Z4" s="273"/>
      <c r="AA4" s="135"/>
      <c r="AB4" s="137"/>
      <c r="AC4" s="138" t="s">
        <v>28</v>
      </c>
      <c r="AD4" s="138"/>
      <c r="AE4" s="137"/>
      <c r="AF4" s="139"/>
      <c r="AG4" s="322" t="s">
        <v>1</v>
      </c>
      <c r="AH4" s="322"/>
      <c r="AI4" s="322"/>
      <c r="AJ4" s="140" t="s">
        <v>89</v>
      </c>
      <c r="AK4" s="140"/>
      <c r="AL4" s="137"/>
      <c r="AM4" s="133"/>
      <c r="AN4" s="133"/>
    </row>
    <row r="5" spans="1:41" ht="15.75" thickBot="1" x14ac:dyDescent="0.3">
      <c r="A5" s="141"/>
      <c r="B5" s="141"/>
      <c r="C5" s="364" t="s">
        <v>27</v>
      </c>
      <c r="D5" s="364"/>
      <c r="E5" s="364"/>
      <c r="F5" s="364"/>
      <c r="G5" s="364"/>
      <c r="H5" s="364"/>
      <c r="I5" s="364"/>
      <c r="J5" s="364"/>
      <c r="K5" s="364"/>
      <c r="L5" s="364"/>
      <c r="M5" s="364"/>
      <c r="N5" s="364"/>
      <c r="O5" s="364"/>
      <c r="P5" s="364"/>
      <c r="Q5" s="364"/>
      <c r="R5" s="364"/>
      <c r="S5" s="364"/>
      <c r="T5" s="364"/>
      <c r="U5" s="364"/>
      <c r="V5" s="364"/>
      <c r="W5" s="364"/>
      <c r="X5" s="364"/>
      <c r="Y5" s="364"/>
      <c r="Z5" s="364"/>
      <c r="AA5" s="364"/>
      <c r="AB5" s="364"/>
      <c r="AC5" s="364"/>
      <c r="AD5" s="364"/>
      <c r="AE5" s="364"/>
      <c r="AF5" s="364"/>
      <c r="AG5" s="142"/>
      <c r="AH5" s="278"/>
      <c r="AI5" s="141"/>
      <c r="AJ5" s="141"/>
      <c r="AK5" s="141"/>
      <c r="AL5" s="141"/>
      <c r="AM5" s="141"/>
      <c r="AN5" s="141"/>
      <c r="AO5" s="143"/>
    </row>
    <row r="6" spans="1:41" ht="22.5" customHeight="1" x14ac:dyDescent="0.25">
      <c r="A6" s="365"/>
      <c r="B6" s="366"/>
      <c r="C6" s="386" t="s">
        <v>2</v>
      </c>
      <c r="D6" s="387"/>
      <c r="E6" s="388"/>
      <c r="F6" s="381" t="s">
        <v>3</v>
      </c>
      <c r="G6" s="382"/>
      <c r="H6" s="382"/>
      <c r="I6" s="382"/>
      <c r="J6" s="382"/>
      <c r="K6" s="269">
        <v>0.15</v>
      </c>
      <c r="L6" s="367" t="s">
        <v>4</v>
      </c>
      <c r="M6" s="367"/>
      <c r="N6" s="369">
        <v>0.25</v>
      </c>
      <c r="O6" s="371" t="s">
        <v>5</v>
      </c>
      <c r="P6" s="372"/>
      <c r="Q6" s="369">
        <v>0.15</v>
      </c>
      <c r="R6" s="375" t="s">
        <v>6</v>
      </c>
      <c r="S6" s="376"/>
      <c r="T6" s="376"/>
      <c r="U6" s="376"/>
      <c r="V6" s="378">
        <v>0.25</v>
      </c>
      <c r="W6" s="378"/>
      <c r="X6" s="410" t="s">
        <v>7</v>
      </c>
      <c r="Y6" s="411"/>
      <c r="Z6" s="397" t="s">
        <v>122</v>
      </c>
      <c r="AA6" s="397" t="s">
        <v>120</v>
      </c>
      <c r="AB6" s="414" t="s">
        <v>7</v>
      </c>
      <c r="AC6" s="415"/>
      <c r="AD6" s="397" t="s">
        <v>123</v>
      </c>
      <c r="AE6" s="397" t="s">
        <v>120</v>
      </c>
      <c r="AF6" s="414" t="s">
        <v>7</v>
      </c>
      <c r="AG6" s="415"/>
      <c r="AH6" s="432" t="s">
        <v>8</v>
      </c>
      <c r="AI6" s="397" t="s">
        <v>124</v>
      </c>
      <c r="AJ6" s="143"/>
    </row>
    <row r="7" spans="1:41" ht="22.5" customHeight="1" x14ac:dyDescent="0.25">
      <c r="A7" s="144"/>
      <c r="B7" s="145"/>
      <c r="C7" s="379" t="s">
        <v>118</v>
      </c>
      <c r="D7" s="380"/>
      <c r="E7" s="239">
        <v>0.2</v>
      </c>
      <c r="F7" s="383" t="s">
        <v>30</v>
      </c>
      <c r="G7" s="384"/>
      <c r="H7" s="270">
        <v>0.1</v>
      </c>
      <c r="I7" s="385" t="s">
        <v>31</v>
      </c>
      <c r="J7" s="384"/>
      <c r="K7" s="271">
        <v>0.05</v>
      </c>
      <c r="L7" s="368"/>
      <c r="M7" s="368"/>
      <c r="N7" s="370"/>
      <c r="O7" s="373"/>
      <c r="P7" s="374"/>
      <c r="Q7" s="370"/>
      <c r="R7" s="373"/>
      <c r="S7" s="374"/>
      <c r="T7" s="377"/>
      <c r="U7" s="377"/>
      <c r="V7" s="370"/>
      <c r="W7" s="370"/>
      <c r="X7" s="412"/>
      <c r="Y7" s="413"/>
      <c r="Z7" s="398"/>
      <c r="AA7" s="398"/>
      <c r="AB7" s="416"/>
      <c r="AC7" s="417"/>
      <c r="AD7" s="398"/>
      <c r="AE7" s="398"/>
      <c r="AF7" s="416"/>
      <c r="AG7" s="417"/>
      <c r="AH7" s="433"/>
      <c r="AI7" s="398"/>
      <c r="AJ7" s="143"/>
    </row>
    <row r="8" spans="1:41" ht="15.75" customHeight="1" thickBot="1" x14ac:dyDescent="0.3">
      <c r="A8" s="146" t="s">
        <v>9</v>
      </c>
      <c r="B8" s="147" t="s">
        <v>10</v>
      </c>
      <c r="C8" s="240" t="s">
        <v>11</v>
      </c>
      <c r="D8" s="241" t="s">
        <v>12</v>
      </c>
      <c r="E8" s="252" t="s">
        <v>13</v>
      </c>
      <c r="F8" s="258" t="s">
        <v>11</v>
      </c>
      <c r="G8" s="259" t="s">
        <v>12</v>
      </c>
      <c r="H8" s="260" t="s">
        <v>13</v>
      </c>
      <c r="I8" s="261" t="s">
        <v>11</v>
      </c>
      <c r="J8" s="259" t="s">
        <v>12</v>
      </c>
      <c r="K8" s="260" t="s">
        <v>13</v>
      </c>
      <c r="L8" s="262" t="s">
        <v>14</v>
      </c>
      <c r="M8" s="262" t="s">
        <v>15</v>
      </c>
      <c r="N8" s="262" t="s">
        <v>16</v>
      </c>
      <c r="O8" s="263" t="s">
        <v>14</v>
      </c>
      <c r="P8" s="263" t="s">
        <v>15</v>
      </c>
      <c r="Q8" s="264" t="s">
        <v>16</v>
      </c>
      <c r="R8" s="406" t="s">
        <v>14</v>
      </c>
      <c r="S8" s="407"/>
      <c r="T8" s="408" t="s">
        <v>15</v>
      </c>
      <c r="U8" s="407"/>
      <c r="V8" s="407" t="s">
        <v>16</v>
      </c>
      <c r="W8" s="409"/>
      <c r="X8" s="400" t="s">
        <v>17</v>
      </c>
      <c r="Y8" s="401"/>
      <c r="Z8" s="399"/>
      <c r="AA8" s="399"/>
      <c r="AB8" s="402" t="s">
        <v>18</v>
      </c>
      <c r="AC8" s="403"/>
      <c r="AD8" s="399"/>
      <c r="AE8" s="398"/>
      <c r="AF8" s="404" t="s">
        <v>19</v>
      </c>
      <c r="AG8" s="405"/>
      <c r="AH8" s="433"/>
      <c r="AI8" s="398"/>
      <c r="AJ8" s="143"/>
    </row>
    <row r="9" spans="1:41" ht="13.5" customHeight="1" thickBot="1" x14ac:dyDescent="0.3">
      <c r="A9" s="149">
        <v>1</v>
      </c>
      <c r="B9" s="229" t="s">
        <v>88</v>
      </c>
      <c r="C9" s="242">
        <f>IF(Oralidade!R8="","",Oralidade!R8)</f>
        <v>70</v>
      </c>
      <c r="D9" s="243">
        <f>IF(Oralidade!AC8="","",Oralidade!AC8)</f>
        <v>25</v>
      </c>
      <c r="E9" s="253" t="str">
        <f>IF(Oralidade!AN8="","",Oralidade!AN8)</f>
        <v/>
      </c>
      <c r="F9" s="242">
        <f>IF(Leitura!N8="","",Leitura!N8)</f>
        <v>90</v>
      </c>
      <c r="G9" s="243">
        <f>IF(Leitura!V8="","",Leitura!V8)</f>
        <v>20</v>
      </c>
      <c r="H9" s="253" t="str">
        <f>IF(Leitura!AD8="","",Leitura!AD8)</f>
        <v/>
      </c>
      <c r="I9" s="242">
        <f>IF(Leitura!O8="","",Leitura!O8)</f>
        <v>65</v>
      </c>
      <c r="J9" s="243">
        <f>IF(Leitura!W8="","",Leitura!W8)</f>
        <v>0</v>
      </c>
      <c r="K9" s="253" t="str">
        <f>IF(Leitura!AE8="","",Leitura!AE8)</f>
        <v/>
      </c>
      <c r="L9" s="242">
        <f>IF('Ed. Literária'!V8="","",'Ed. Literária'!V8)</f>
        <v>20</v>
      </c>
      <c r="M9" s="242">
        <f>IF('Ed. Literária'!AK8="","",'Ed. Literária'!AK8)</f>
        <v>67</v>
      </c>
      <c r="N9" s="242" t="str">
        <f>IF('Ed. Literária'!AZ8="","",'Ed. Literária'!AZ8)</f>
        <v/>
      </c>
      <c r="O9" s="242">
        <f>IF(Gramática!O8="","",Gramática!O8)</f>
        <v>44</v>
      </c>
      <c r="P9" s="242">
        <f>IF(Gramática!W8="","",Gramática!W8)</f>
        <v>20</v>
      </c>
      <c r="Q9" s="242" t="str">
        <f>IF(Gramática!AE8="","",Gramática!AE8)</f>
        <v/>
      </c>
      <c r="R9" s="391">
        <f>IF(Escrita!P8="","",Escrita!P8)</f>
        <v>55</v>
      </c>
      <c r="S9" s="392"/>
      <c r="T9" s="392">
        <f>IF(Escrita!Y8="","",Escrita!Y8)</f>
        <v>50</v>
      </c>
      <c r="U9" s="392"/>
      <c r="V9" s="392" t="str">
        <f>IF(Escrita!AH8="","",Escrita!AH8)</f>
        <v/>
      </c>
      <c r="W9" s="422"/>
      <c r="X9" s="157">
        <f>IF(AREAS((C9,F9,I9,L9,O9,R9))-COUNT(C9,F9,I9,L9,O9,R9)=0,ROUND(SUM($C9*$E$7,$F9*$H$7,$I9*$K$7,$L9*$N$6,$O9*$Q$6,$R9*$V$6),0),"")</f>
        <v>52</v>
      </c>
      <c r="Y9" s="157">
        <f>IF((X9=""),"",IF(X9&gt;89,5,IF(X9&gt;69,4,IF(X9&gt;49,3,IF(X9&gt;19,2,IF(X9&gt;0,1))))))</f>
        <v>3</v>
      </c>
      <c r="Z9" s="302">
        <v>4</v>
      </c>
      <c r="AA9" s="279">
        <f>Y9</f>
        <v>3</v>
      </c>
      <c r="AB9" s="317">
        <f>IF(AREAS((D9,G9,J9,M9,P9,T9))-COUNT(D9,G9,J9,M9,P9,T9)=0,ROUND(AVERAGE(X9,SUM($D9*$E$7,$G9*$H$7,$J9*$K$7,$M9*$N$6,$P9*$Q$6,$T9*$V$6)),0),"")</f>
        <v>46</v>
      </c>
      <c r="AC9" s="289">
        <f>IF((AB9=""),"",IF(AB9&gt;89,5,IF(AB9&gt;69,4,IF(AB9&gt;49,3,IF(AB9&gt;19,2,IF(AB9&gt;0,1))))))</f>
        <v>2</v>
      </c>
      <c r="AD9" s="549"/>
      <c r="AE9" s="305">
        <f>AC9</f>
        <v>2</v>
      </c>
      <c r="AF9" s="318" t="str">
        <f>IF(AREAS((E9,H9,K9,N9,Q9,V9))-COUNT(E9,H9,K9,N9,Q9,V9)=0,ROUND(AVERAGE(X9,AB9,SUM($E9*$E$7,$H9*$H$7,$K9*$K$7,$N9*$N$6,$Q9*$Q$6,$V9*$V$6)),0),"")</f>
        <v/>
      </c>
      <c r="AG9" s="103" t="str">
        <f>IF((AF9=""),"",IF(AF9&gt;89,5,IF(AF9&gt;69,4,IF(AF9&gt;49,3,IF(AF9&gt;19,2,IF(AF9&gt;0,1))))))</f>
        <v/>
      </c>
      <c r="AH9" s="311">
        <v>3</v>
      </c>
      <c r="AI9" s="296" t="str">
        <f>AG9</f>
        <v/>
      </c>
      <c r="AJ9" s="143"/>
    </row>
    <row r="10" spans="1:41" ht="13.5" customHeight="1" thickBot="1" x14ac:dyDescent="0.3">
      <c r="A10" s="150">
        <v>2</v>
      </c>
      <c r="B10" s="230" t="s">
        <v>90</v>
      </c>
      <c r="C10" s="244">
        <f>IF(Oralidade!R9="","",Oralidade!R9)</f>
        <v>90</v>
      </c>
      <c r="D10" s="245">
        <f>IF(Oralidade!AC9="","",Oralidade!AC9)</f>
        <v>70</v>
      </c>
      <c r="E10" s="254" t="str">
        <f>IF(Oralidade!AN9="","",Oralidade!AN9)</f>
        <v/>
      </c>
      <c r="F10" s="265">
        <f>IF(Leitura!N9="","",Leitura!N9)</f>
        <v>50</v>
      </c>
      <c r="G10" s="245">
        <f>IF(Leitura!V9="","",Leitura!V9)</f>
        <v>40</v>
      </c>
      <c r="H10" s="254" t="str">
        <f>IF(Leitura!AD9="","",Leitura!AD9)</f>
        <v/>
      </c>
      <c r="I10" s="265">
        <f>IF(Leitura!O9="","",Leitura!O9)</f>
        <v>60</v>
      </c>
      <c r="J10" s="245">
        <f>IF(Leitura!W9="","",Leitura!W9)</f>
        <v>0</v>
      </c>
      <c r="K10" s="254" t="str">
        <f>IF(Leitura!AE9="","",Leitura!AE9)</f>
        <v/>
      </c>
      <c r="L10" s="265">
        <f>IF('Ed. Literária'!V9="","",'Ed. Literária'!V9)</f>
        <v>44</v>
      </c>
      <c r="M10" s="265">
        <f>IF('Ed. Literária'!AK9="","",'Ed. Literária'!AK9)</f>
        <v>93</v>
      </c>
      <c r="N10" s="265" t="str">
        <f>IF('Ed. Literária'!AZ9="","",'Ed. Literária'!AZ9)</f>
        <v/>
      </c>
      <c r="O10" s="265">
        <f>IF(Gramática!O9="","",Gramática!O9)</f>
        <v>68</v>
      </c>
      <c r="P10" s="265">
        <f>IF(Gramática!W9="","",Gramática!W9)</f>
        <v>55</v>
      </c>
      <c r="Q10" s="265" t="str">
        <f>IF(Gramática!AE9="","",Gramática!AE9)</f>
        <v/>
      </c>
      <c r="R10" s="393">
        <f>IF(Escrita!P9="","",Escrita!P9)</f>
        <v>50</v>
      </c>
      <c r="S10" s="394"/>
      <c r="T10" s="419">
        <f>IF(Escrita!Y9="","",Escrita!Y9)</f>
        <v>75</v>
      </c>
      <c r="U10" s="394"/>
      <c r="V10" s="419" t="str">
        <f>IF(Escrita!AH9="","",Escrita!AH9)</f>
        <v/>
      </c>
      <c r="W10" s="421"/>
      <c r="X10" s="295">
        <f>IF(AREAS((C10,F10,I10,L10,O10,R10))-COUNT(C10,F10,I10,L10,O10,R10)=0,ROUND(SUM($C10*$E$7,$F10*$H$7,$I10*$K$7,$L10*$N$6,$O10*$Q$6,$R10*$V$6),0),"")</f>
        <v>60</v>
      </c>
      <c r="Y10" s="104">
        <f t="shared" ref="Y10:Y38" si="0">IF((X10=""),"",IF(X10&gt;89,5,IF(X10&gt;69,4,IF(X10&gt;49,3,IF(X10&gt;19,2,IF(X10&gt;0,1))))))</f>
        <v>3</v>
      </c>
      <c r="Z10" s="303">
        <v>3</v>
      </c>
      <c r="AA10" s="280">
        <f t="shared" ref="AA10:AA34" si="1">Y10</f>
        <v>3</v>
      </c>
      <c r="AB10" s="558">
        <f>IF(AREAS((D10,G10,J10,M10,P10,T10))-COUNT(D10,G10,J10,M10,P10,T10)=0,ROUND(AVERAGE(X10,SUM($D10*$E$7,$G10*$H$7,$J10*$K$7,$M10*$N$6,$P10*$Q$6,$T10*$V$6)),0),"")</f>
        <v>64</v>
      </c>
      <c r="AC10" s="290">
        <f t="shared" ref="AC10:AC38" si="2">IF((AB10=""),"",IF(AB10&gt;89,5,IF(AB10&gt;69,4,IF(AB10&gt;49,3,IF(AB10&gt;19,2,IF(AB10&gt;0,1))))))</f>
        <v>3</v>
      </c>
      <c r="AD10" s="550"/>
      <c r="AE10" s="306">
        <f t="shared" ref="AE10:AE38" si="3">AC10</f>
        <v>3</v>
      </c>
      <c r="AF10" s="276" t="str">
        <f>IF(AREAS((E10,H10,K10,N10,Q10,V10))-COUNT(E10,H10,K10,N10,Q10,V10)=0,ROUND(AVERAGE(X10,AB10,SUM($E10*$E$7,$H10*$H$7,$K10*$K$7,$N10*$N$6,$Q10*$Q$6,$V10*$V$6)),0),"")</f>
        <v/>
      </c>
      <c r="AG10" s="104" t="str">
        <f t="shared" ref="AG10:AG38" si="4">IF((AF10=""),"",IF(AF10&gt;89,5,IF(AF10&gt;69,4,IF(AF10&gt;49,3,IF(AF10&gt;19,2,IF(AF10&gt;0,1))))))</f>
        <v/>
      </c>
      <c r="AH10" s="312">
        <v>3</v>
      </c>
      <c r="AI10" s="297" t="str">
        <f t="shared" ref="AI10:AI38" si="5">AG10</f>
        <v/>
      </c>
      <c r="AJ10" s="143"/>
    </row>
    <row r="11" spans="1:41" ht="13.5" customHeight="1" thickBot="1" x14ac:dyDescent="0.3">
      <c r="A11" s="151">
        <v>3</v>
      </c>
      <c r="B11" s="231" t="s">
        <v>91</v>
      </c>
      <c r="C11" s="246">
        <f>IF(Oralidade!R10="","",Oralidade!R10)</f>
        <v>80</v>
      </c>
      <c r="D11" s="247">
        <f>IF(Oralidade!AC10="","",Oralidade!AC10)</f>
        <v>60</v>
      </c>
      <c r="E11" s="255" t="str">
        <f>IF(Oralidade!AN10="","",Oralidade!AN10)</f>
        <v/>
      </c>
      <c r="F11" s="266">
        <f>IF(Leitura!N10="","",Leitura!N10)</f>
        <v>60</v>
      </c>
      <c r="G11" s="247">
        <f>IF(Leitura!V10="","",Leitura!V10)</f>
        <v>60</v>
      </c>
      <c r="H11" s="255" t="str">
        <f>IF(Leitura!AD10="","",Leitura!AD10)</f>
        <v/>
      </c>
      <c r="I11" s="266">
        <f>IF(Leitura!O10="","",Leitura!O10)</f>
        <v>40</v>
      </c>
      <c r="J11" s="247">
        <f>IF(Leitura!W10="","",Leitura!W10)</f>
        <v>80</v>
      </c>
      <c r="K11" s="255" t="str">
        <f>IF(Leitura!AE10="","",Leitura!AE10)</f>
        <v/>
      </c>
      <c r="L11" s="266">
        <f>IF('Ed. Literária'!V10="","",'Ed. Literária'!V10)</f>
        <v>74</v>
      </c>
      <c r="M11" s="266">
        <f>IF('Ed. Literária'!AK10="","",'Ed. Literária'!AK10)</f>
        <v>67</v>
      </c>
      <c r="N11" s="266" t="str">
        <f>IF('Ed. Literária'!AZ10="","",'Ed. Literária'!AZ10)</f>
        <v/>
      </c>
      <c r="O11" s="266">
        <f>IF(Gramática!O10="","",Gramática!O10)</f>
        <v>92</v>
      </c>
      <c r="P11" s="266">
        <f>IF(Gramática!W10="","",Gramática!W10)</f>
        <v>55</v>
      </c>
      <c r="Q11" s="266" t="str">
        <f>IF(Gramática!AE10="","",Gramática!AE10)</f>
        <v/>
      </c>
      <c r="R11" s="395">
        <f>IF(Escrita!P10="","",Escrita!P10)</f>
        <v>48</v>
      </c>
      <c r="S11" s="396"/>
      <c r="T11" s="418">
        <f>IF(Escrita!Y10="","",Escrita!Y10)</f>
        <v>70</v>
      </c>
      <c r="U11" s="396"/>
      <c r="V11" s="418" t="str">
        <f>IF(Escrita!AH10="","",Escrita!AH10)</f>
        <v/>
      </c>
      <c r="W11" s="420"/>
      <c r="X11" s="103">
        <f>IF(AREAS((C11,F11,I11,L11,O11,R11))-COUNT(C11,F11,I11,L11,O11,R11)=0,ROUND(SUM($C11*$E$7,$F11*$H$7,$I11*$K$7,$L11*$N$6,$O11*$Q$6,$R11*$V$6),0),"")</f>
        <v>68</v>
      </c>
      <c r="Y11" s="105">
        <f t="shared" si="0"/>
        <v>3</v>
      </c>
      <c r="Z11" s="304">
        <v>3</v>
      </c>
      <c r="AA11" s="281">
        <f t="shared" si="1"/>
        <v>3</v>
      </c>
      <c r="AB11" s="317">
        <f>IF(AREAS((D11,G11,J11,M11,P11,T11))-COUNT(D11,G11,J11,M11,P11,T11)=0,ROUND(AVERAGE(X11,SUM($D11*$E$7,$G11*$H$7,$J11*$K$7,$M11*$N$6,$P11*$Q$6,$T11*$V$6)),0),"")</f>
        <v>66</v>
      </c>
      <c r="AC11" s="291">
        <f t="shared" si="2"/>
        <v>3</v>
      </c>
      <c r="AD11" s="551"/>
      <c r="AE11" s="307">
        <f t="shared" si="3"/>
        <v>3</v>
      </c>
      <c r="AF11" s="277" t="str">
        <f>IF(AREAS((E11,H11,K11,N11,Q11,V11))-COUNT(E11,H11,K11,N11,Q11,V11)=0,ROUND(AVERAGE(X11,AB11,SUM($E11*$E$7,$H11*$H$7,$K11*$K$7,$N11*$N$6,$Q11*$Q$6,$V11*$V$6)),0),"")</f>
        <v/>
      </c>
      <c r="AG11" s="105" t="str">
        <f t="shared" si="4"/>
        <v/>
      </c>
      <c r="AH11" s="313">
        <v>3</v>
      </c>
      <c r="AI11" s="298" t="str">
        <f t="shared" si="5"/>
        <v/>
      </c>
      <c r="AJ11" s="143"/>
    </row>
    <row r="12" spans="1:41" ht="13.5" customHeight="1" thickBot="1" x14ac:dyDescent="0.3">
      <c r="A12" s="150">
        <v>4</v>
      </c>
      <c r="B12" s="230" t="s">
        <v>92</v>
      </c>
      <c r="C12" s="244">
        <f>IF(Oralidade!R11="","",Oralidade!R11)</f>
        <v>90</v>
      </c>
      <c r="D12" s="245">
        <f>IF(Oralidade!AC11="","",Oralidade!AC11)</f>
        <v>85</v>
      </c>
      <c r="E12" s="254" t="str">
        <f>IF(Oralidade!AN11="","",Oralidade!AN11)</f>
        <v/>
      </c>
      <c r="F12" s="265">
        <f>IF(Leitura!N11="","",Leitura!N11)</f>
        <v>100</v>
      </c>
      <c r="G12" s="245">
        <f>IF(Leitura!V11="","",Leitura!V11)</f>
        <v>60</v>
      </c>
      <c r="H12" s="254" t="str">
        <f>IF(Leitura!AD11="","",Leitura!AD11)</f>
        <v/>
      </c>
      <c r="I12" s="265">
        <f>IF(Leitura!O11="","",Leitura!O11)</f>
        <v>70</v>
      </c>
      <c r="J12" s="245">
        <f>IF(Leitura!W11="","",Leitura!W11)</f>
        <v>80</v>
      </c>
      <c r="K12" s="254" t="str">
        <f>IF(Leitura!AE11="","",Leitura!AE11)</f>
        <v/>
      </c>
      <c r="L12" s="265">
        <f>IF('Ed. Literária'!V11="","",'Ed. Literária'!V11)</f>
        <v>90</v>
      </c>
      <c r="M12" s="265">
        <f>IF('Ed. Literária'!AK11="","",'Ed. Literária'!AK11)</f>
        <v>90</v>
      </c>
      <c r="N12" s="265" t="str">
        <f>IF('Ed. Literária'!AZ11="","",'Ed. Literária'!AZ11)</f>
        <v/>
      </c>
      <c r="O12" s="265">
        <f>IF(Gramática!O11="","",Gramática!O11)</f>
        <v>100</v>
      </c>
      <c r="P12" s="265">
        <f>IF(Gramática!W11="","",Gramática!W11)</f>
        <v>100</v>
      </c>
      <c r="Q12" s="265" t="str">
        <f>IF(Gramática!AE11="","",Gramática!AE11)</f>
        <v/>
      </c>
      <c r="R12" s="393">
        <f>IF(Escrita!P11="","",Escrita!P11)</f>
        <v>98</v>
      </c>
      <c r="S12" s="394"/>
      <c r="T12" s="419">
        <f>IF(Escrita!Y11="","",Escrita!Y11)</f>
        <v>95</v>
      </c>
      <c r="U12" s="394"/>
      <c r="V12" s="419" t="str">
        <f>IF(Escrita!AH11="","",Escrita!AH11)</f>
        <v/>
      </c>
      <c r="W12" s="421"/>
      <c r="X12" s="295">
        <f>IF(AREAS((C12,F12,I12,L12,O12,R12))-COUNT(C12,F12,I12,L12,O12,R12)=0,ROUND(SUM($C12*$E$7,$F12*$H$7,$I12*$K$7,$L12*$N$6,$O12*$Q$6,$R12*$V$6),0),"")</f>
        <v>94</v>
      </c>
      <c r="Y12" s="104">
        <f t="shared" si="0"/>
        <v>5</v>
      </c>
      <c r="Z12" s="303">
        <v>5</v>
      </c>
      <c r="AA12" s="280">
        <f t="shared" si="1"/>
        <v>5</v>
      </c>
      <c r="AB12" s="558">
        <f>IF(AREAS((D12,G12,J12,M12,P12,T12))-COUNT(D12,G12,J12,M12,P12,T12)=0,ROUND(AVERAGE(X12,SUM($D12*$E$7,$G12*$H$7,$J12*$K$7,$M12*$N$6,$P12*$Q$6,$T12*$V$6)),0),"")</f>
        <v>91</v>
      </c>
      <c r="AC12" s="290">
        <f t="shared" si="2"/>
        <v>5</v>
      </c>
      <c r="AD12" s="550"/>
      <c r="AE12" s="306">
        <f t="shared" si="3"/>
        <v>5</v>
      </c>
      <c r="AF12" s="276" t="str">
        <f>IF(AREAS((E12,H12,K12,N12,Q12,V12))-COUNT(E12,H12,K12,N12,Q12,V12)=0,ROUND(AVERAGE(X12,AB12,SUM($E12*$E$7,$H12*$H$7,$K12*$K$7,$N12*$N$6,$Q12*$Q$6,$V12*$V$6)),0),"")</f>
        <v/>
      </c>
      <c r="AG12" s="104" t="str">
        <f t="shared" si="4"/>
        <v/>
      </c>
      <c r="AH12" s="312">
        <v>5</v>
      </c>
      <c r="AI12" s="297" t="str">
        <f t="shared" si="5"/>
        <v/>
      </c>
      <c r="AJ12" s="143"/>
    </row>
    <row r="13" spans="1:41" ht="13.5" customHeight="1" thickBot="1" x14ac:dyDescent="0.3">
      <c r="A13" s="151">
        <v>5</v>
      </c>
      <c r="B13" s="231" t="s">
        <v>93</v>
      </c>
      <c r="C13" s="246">
        <f>IF(Oralidade!R12="","",Oralidade!R12)</f>
        <v>90</v>
      </c>
      <c r="D13" s="247">
        <f>IF(Oralidade!AC12="","",Oralidade!AC12)</f>
        <v>80</v>
      </c>
      <c r="E13" s="255" t="str">
        <f>IF(Oralidade!AN12="","",Oralidade!AN12)</f>
        <v/>
      </c>
      <c r="F13" s="266">
        <f>IF(Leitura!N12="","",Leitura!N12)</f>
        <v>50</v>
      </c>
      <c r="G13" s="247">
        <f>IF(Leitura!V12="","",Leitura!V12)</f>
        <v>60</v>
      </c>
      <c r="H13" s="255" t="str">
        <f>IF(Leitura!AD12="","",Leitura!AD12)</f>
        <v/>
      </c>
      <c r="I13" s="266">
        <f>IF(Leitura!O12="","",Leitura!O12)</f>
        <v>60</v>
      </c>
      <c r="J13" s="247">
        <f>IF(Leitura!W12="","",Leitura!W12)</f>
        <v>80</v>
      </c>
      <c r="K13" s="255" t="str">
        <f>IF(Leitura!AE12="","",Leitura!AE12)</f>
        <v/>
      </c>
      <c r="L13" s="266">
        <f>IF('Ed. Literária'!V12="","",'Ed. Literária'!V12)</f>
        <v>59</v>
      </c>
      <c r="M13" s="266">
        <f>IF('Ed. Literária'!AK12="","",'Ed. Literária'!AK12)</f>
        <v>90</v>
      </c>
      <c r="N13" s="266" t="str">
        <f>IF('Ed. Literária'!AZ12="","",'Ed. Literária'!AZ12)</f>
        <v/>
      </c>
      <c r="O13" s="266">
        <f>IF(Gramática!O12="","",Gramática!O12)</f>
        <v>68</v>
      </c>
      <c r="P13" s="266">
        <f>IF(Gramática!W12="","",Gramática!W12)</f>
        <v>25</v>
      </c>
      <c r="Q13" s="266" t="str">
        <f>IF(Gramática!AE12="","",Gramática!AE12)</f>
        <v/>
      </c>
      <c r="R13" s="395">
        <f>IF(Escrita!P12="","",Escrita!P12)</f>
        <v>65</v>
      </c>
      <c r="S13" s="396"/>
      <c r="T13" s="418">
        <f>IF(Escrita!Y12="","",Escrita!Y12)</f>
        <v>65</v>
      </c>
      <c r="U13" s="396"/>
      <c r="V13" s="418" t="str">
        <f>IF(Escrita!AH12="","",Escrita!AH12)</f>
        <v/>
      </c>
      <c r="W13" s="420"/>
      <c r="X13" s="103">
        <f>IF(AREAS((C13,F13,I13,L13,O13,R13))-COUNT(C13,F13,I13,L13,O13,R13)=0,ROUND(SUM($C13*$E$7,$F13*$H$7,$I13*$K$7,$L13*$N$6,$O13*$Q$6,$R13*$V$6),0),"")</f>
        <v>67</v>
      </c>
      <c r="Y13" s="105">
        <f t="shared" si="0"/>
        <v>3</v>
      </c>
      <c r="Z13" s="304"/>
      <c r="AA13" s="281">
        <f t="shared" si="1"/>
        <v>3</v>
      </c>
      <c r="AB13" s="317">
        <f>IF(AREAS((D13,G13,J13,M13,P13,T13))-COUNT(D13,G13,J13,M13,P13,T13)=0,ROUND(AVERAGE(X13,SUM($D13*$E$7,$G13*$H$7,$J13*$K$7,$M13*$N$6,$P13*$Q$6,$T13*$V$6)),0),"")</f>
        <v>68</v>
      </c>
      <c r="AC13" s="291">
        <f t="shared" si="2"/>
        <v>3</v>
      </c>
      <c r="AD13" s="551"/>
      <c r="AE13" s="307">
        <f t="shared" si="3"/>
        <v>3</v>
      </c>
      <c r="AF13" s="277" t="str">
        <f>IF(AREAS((E13,H13,K13,N13,Q13,V13))-COUNT(E13,H13,K13,N13,Q13,V13)=0,ROUND(AVERAGE(X13,AB13,SUM($E13*$E$7,$H13*$H$7,$K13*$K$7,$N13*$N$6,$Q13*$Q$6,$V13*$V$6)),0),"")</f>
        <v/>
      </c>
      <c r="AG13" s="105" t="str">
        <f t="shared" si="4"/>
        <v/>
      </c>
      <c r="AH13" s="313">
        <v>3</v>
      </c>
      <c r="AI13" s="298" t="str">
        <f t="shared" si="5"/>
        <v/>
      </c>
      <c r="AJ13" s="143"/>
    </row>
    <row r="14" spans="1:41" ht="13.5" customHeight="1" thickBot="1" x14ac:dyDescent="0.3">
      <c r="A14" s="150">
        <v>6</v>
      </c>
      <c r="B14" s="230" t="s">
        <v>94</v>
      </c>
      <c r="C14" s="244">
        <f>IF(Oralidade!R13="","",Oralidade!R13)</f>
        <v>100</v>
      </c>
      <c r="D14" s="245">
        <f>IF(Oralidade!AC13="","",Oralidade!AC13)</f>
        <v>70</v>
      </c>
      <c r="E14" s="254" t="str">
        <f>IF(Oralidade!AN13="","",Oralidade!AN13)</f>
        <v/>
      </c>
      <c r="F14" s="265">
        <f>IF(Leitura!N13="","",Leitura!N13)</f>
        <v>30</v>
      </c>
      <c r="G14" s="245">
        <f>IF(Leitura!V13="","",Leitura!V13)</f>
        <v>20</v>
      </c>
      <c r="H14" s="254" t="str">
        <f>IF(Leitura!AD13="","",Leitura!AD13)</f>
        <v/>
      </c>
      <c r="I14" s="265">
        <f>IF(Leitura!O13="","",Leitura!O13)</f>
        <v>30</v>
      </c>
      <c r="J14" s="245">
        <f>IF(Leitura!W13="","",Leitura!W13)</f>
        <v>60</v>
      </c>
      <c r="K14" s="254" t="str">
        <f>IF(Leitura!AE13="","",Leitura!AE13)</f>
        <v/>
      </c>
      <c r="L14" s="265">
        <f>IF('Ed. Literária'!V13="","",'Ed. Literária'!V13)</f>
        <v>31</v>
      </c>
      <c r="M14" s="265">
        <f>IF('Ed. Literária'!AK13="","",'Ed. Literária'!AK13)</f>
        <v>48</v>
      </c>
      <c r="N14" s="265" t="str">
        <f>IF('Ed. Literária'!AZ13="","",'Ed. Literária'!AZ13)</f>
        <v/>
      </c>
      <c r="O14" s="265">
        <f>IF(Gramática!O13="","",Gramática!O13)</f>
        <v>64</v>
      </c>
      <c r="P14" s="265">
        <f>IF(Gramática!W13="","",Gramática!W13)</f>
        <v>30</v>
      </c>
      <c r="Q14" s="265" t="str">
        <f>IF(Gramática!AE13="","",Gramática!AE13)</f>
        <v/>
      </c>
      <c r="R14" s="393">
        <f>IF(Escrita!P13="","",Escrita!P13)</f>
        <v>48</v>
      </c>
      <c r="S14" s="394"/>
      <c r="T14" s="419">
        <f>IF(Escrita!Y13="","",Escrita!Y13)</f>
        <v>60</v>
      </c>
      <c r="U14" s="394"/>
      <c r="V14" s="419" t="str">
        <f>IF(Escrita!AH13="","",Escrita!AH13)</f>
        <v/>
      </c>
      <c r="W14" s="421"/>
      <c r="X14" s="295">
        <f>IF(AREAS((C14,F14,I14,L14,O14,R14))-COUNT(C14,F14,I14,L14,O14,R14)=0,ROUND(SUM($C14*$E$7,$F14*$H$7,$I14*$K$7,$L14*$N$6,$O14*$Q$6,$R14*$V$6),0),"")</f>
        <v>54</v>
      </c>
      <c r="Y14" s="104">
        <f t="shared" si="0"/>
        <v>3</v>
      </c>
      <c r="Z14" s="303">
        <v>3</v>
      </c>
      <c r="AA14" s="282">
        <f t="shared" si="1"/>
        <v>3</v>
      </c>
      <c r="AB14" s="558">
        <f>IF(AREAS((D14,G14,J14,M14,P14,T14))-COUNT(D14,G14,J14,M14,P14,T14)=0,ROUND(AVERAGE(X14,SUM($D14*$E$7,$G14*$H$7,$J14*$K$7,$M14*$N$6,$P14*$Q$6,$T14*$V$6)),0),"")</f>
        <v>52</v>
      </c>
      <c r="AC14" s="290">
        <f t="shared" si="2"/>
        <v>3</v>
      </c>
      <c r="AD14" s="550"/>
      <c r="AE14" s="306">
        <f t="shared" si="3"/>
        <v>3</v>
      </c>
      <c r="AF14" s="276" t="str">
        <f>IF(AREAS((E14,H14,K14,N14,Q14,V14))-COUNT(E14,H14,K14,N14,Q14,V14)=0,ROUND(AVERAGE(X14,AB14,SUM($E14*$E$7,$H14*$H$7,$K14*$K$7,$N14*$N$6,$Q14*$Q$6,$V14*$V$6)),0),"")</f>
        <v/>
      </c>
      <c r="AG14" s="104" t="str">
        <f t="shared" si="4"/>
        <v/>
      </c>
      <c r="AH14" s="312">
        <v>3</v>
      </c>
      <c r="AI14" s="297" t="str">
        <f t="shared" si="5"/>
        <v/>
      </c>
      <c r="AJ14" s="143"/>
    </row>
    <row r="15" spans="1:41" ht="13.5" customHeight="1" thickBot="1" x14ac:dyDescent="0.3">
      <c r="A15" s="151">
        <v>7</v>
      </c>
      <c r="B15" s="231" t="s">
        <v>95</v>
      </c>
      <c r="C15" s="246">
        <f>IF(Oralidade!R14="","",Oralidade!R14)</f>
        <v>80</v>
      </c>
      <c r="D15" s="247">
        <f>IF(Oralidade!AC14="","",Oralidade!AC14)</f>
        <v>60</v>
      </c>
      <c r="E15" s="255" t="str">
        <f>IF(Oralidade!AN14="","",Oralidade!AN14)</f>
        <v/>
      </c>
      <c r="F15" s="266">
        <f>IF(Leitura!N14="","",Leitura!N14)</f>
        <v>10</v>
      </c>
      <c r="G15" s="247">
        <f>IF(Leitura!V14="","",Leitura!V14)</f>
        <v>20</v>
      </c>
      <c r="H15" s="255" t="str">
        <f>IF(Leitura!AD14="","",Leitura!AD14)</f>
        <v/>
      </c>
      <c r="I15" s="266">
        <f>IF(Leitura!O14="","",Leitura!O14)</f>
        <v>60</v>
      </c>
      <c r="J15" s="247">
        <f>IF(Leitura!W14="","",Leitura!W14)</f>
        <v>60</v>
      </c>
      <c r="K15" s="255" t="str">
        <f>IF(Leitura!AE14="","",Leitura!AE14)</f>
        <v/>
      </c>
      <c r="L15" s="266">
        <f>IF('Ed. Literária'!V14="","",'Ed. Literária'!V14)</f>
        <v>61</v>
      </c>
      <c r="M15" s="266">
        <f>IF('Ed. Literária'!AK14="","",'Ed. Literária'!AK14)</f>
        <v>58</v>
      </c>
      <c r="N15" s="266" t="str">
        <f>IF('Ed. Literária'!AZ14="","",'Ed. Literária'!AZ14)</f>
        <v/>
      </c>
      <c r="O15" s="266">
        <f>IF(Gramática!O14="","",Gramática!O14)</f>
        <v>52</v>
      </c>
      <c r="P15" s="266">
        <f>IF(Gramática!W14="","",Gramática!W14)</f>
        <v>20</v>
      </c>
      <c r="Q15" s="266" t="str">
        <f>IF(Gramática!AE14="","",Gramática!AE14)</f>
        <v/>
      </c>
      <c r="R15" s="395">
        <f>IF(Escrita!P14="","",Escrita!P14)</f>
        <v>55</v>
      </c>
      <c r="S15" s="396"/>
      <c r="T15" s="418">
        <f>IF(Escrita!Y14="","",Escrita!Y14)</f>
        <v>60</v>
      </c>
      <c r="U15" s="396"/>
      <c r="V15" s="418" t="str">
        <f>IF(Escrita!AH14="","",Escrita!AH14)</f>
        <v/>
      </c>
      <c r="W15" s="420"/>
      <c r="X15" s="103">
        <f>IF(AREAS((C15,F15,I15,L15,O15,R15))-COUNT(C15,F15,I15,L15,O15,R15)=0,ROUND(SUM($C15*$E$7,$F15*$H$7,$I15*$K$7,$L15*$N$6,$O15*$Q$6,$R15*$V$6),0),"")</f>
        <v>57</v>
      </c>
      <c r="Y15" s="105">
        <f t="shared" si="0"/>
        <v>3</v>
      </c>
      <c r="Z15" s="304">
        <v>3</v>
      </c>
      <c r="AA15" s="281">
        <f t="shared" si="1"/>
        <v>3</v>
      </c>
      <c r="AB15" s="317">
        <f>IF(AREAS((D15,G15,J15,M15,P15,T15))-COUNT(D15,G15,J15,M15,P15,T15)=0,ROUND(AVERAGE(X15,SUM($D15*$E$7,$G15*$H$7,$J15*$K$7,$M15*$N$6,$P15*$Q$6,$T15*$V$6)),0),"")</f>
        <v>53</v>
      </c>
      <c r="AC15" s="291">
        <f t="shared" si="2"/>
        <v>3</v>
      </c>
      <c r="AD15" s="551"/>
      <c r="AE15" s="307">
        <f t="shared" si="3"/>
        <v>3</v>
      </c>
      <c r="AF15" s="277" t="str">
        <f>IF(AREAS((E15,H15,K15,N15,Q15,V15))-COUNT(E15,H15,K15,N15,Q15,V15)=0,ROUND(AVERAGE(X15,AB15,SUM($E15*$E$7,$H15*$H$7,$K15*$K$7,$N15*$N$6,$Q15*$Q$6,$V15*$V$6)),0),"")</f>
        <v/>
      </c>
      <c r="AG15" s="105" t="str">
        <f t="shared" si="4"/>
        <v/>
      </c>
      <c r="AH15" s="313">
        <v>3</v>
      </c>
      <c r="AI15" s="298" t="str">
        <f t="shared" si="5"/>
        <v/>
      </c>
      <c r="AJ15" s="143"/>
    </row>
    <row r="16" spans="1:41" ht="13.5" customHeight="1" thickBot="1" x14ac:dyDescent="0.3">
      <c r="A16" s="150">
        <v>8</v>
      </c>
      <c r="B16" s="230" t="s">
        <v>96</v>
      </c>
      <c r="C16" s="244">
        <f>IF(Oralidade!R15="","",Oralidade!R15)</f>
        <v>70</v>
      </c>
      <c r="D16" s="245">
        <f>IF(Oralidade!AC15="","",Oralidade!AC15)</f>
        <v>85</v>
      </c>
      <c r="E16" s="254" t="str">
        <f>IF(Oralidade!AN15="","",Oralidade!AN15)</f>
        <v/>
      </c>
      <c r="F16" s="265">
        <f>IF(Leitura!N15="","",Leitura!N15)</f>
        <v>40</v>
      </c>
      <c r="G16" s="245">
        <f>IF(Leitura!V15="","",Leitura!V15)</f>
        <v>20</v>
      </c>
      <c r="H16" s="254" t="str">
        <f>IF(Leitura!AD15="","",Leitura!AD15)</f>
        <v/>
      </c>
      <c r="I16" s="265">
        <f>IF(Leitura!O15="","",Leitura!O15)</f>
        <v>60</v>
      </c>
      <c r="J16" s="245">
        <f>IF(Leitura!W15="","",Leitura!W15)</f>
        <v>70</v>
      </c>
      <c r="K16" s="254" t="str">
        <f>IF(Leitura!AE15="","",Leitura!AE15)</f>
        <v/>
      </c>
      <c r="L16" s="265">
        <f>IF('Ed. Literária'!V15="","",'Ed. Literária'!V15)</f>
        <v>54</v>
      </c>
      <c r="M16" s="265">
        <f>IF('Ed. Literária'!AK15="","",'Ed. Literária'!AK15)</f>
        <v>53</v>
      </c>
      <c r="N16" s="265" t="str">
        <f>IF('Ed. Literária'!AZ15="","",'Ed. Literária'!AZ15)</f>
        <v/>
      </c>
      <c r="O16" s="265">
        <f>IF(Gramática!O15="","",Gramática!O15)</f>
        <v>52</v>
      </c>
      <c r="P16" s="265">
        <f>IF(Gramática!W15="","",Gramática!W15)</f>
        <v>45</v>
      </c>
      <c r="Q16" s="265" t="str">
        <f>IF(Gramática!AE15="","",Gramática!AE15)</f>
        <v/>
      </c>
      <c r="R16" s="393">
        <f>IF(Escrita!P15="","",Escrita!P15)</f>
        <v>58</v>
      </c>
      <c r="S16" s="394"/>
      <c r="T16" s="419">
        <f>IF(Escrita!Y15="","",Escrita!Y15)</f>
        <v>60</v>
      </c>
      <c r="U16" s="394"/>
      <c r="V16" s="419" t="str">
        <f>IF(Escrita!AH15="","",Escrita!AH15)</f>
        <v/>
      </c>
      <c r="W16" s="421"/>
      <c r="X16" s="295">
        <f>IF(AREAS((C16,F16,I16,L16,O16,R16))-COUNT(C16,F16,I16,L16,O16,R16)=0,ROUND(SUM($C16*$E$7,$F16*$H$7,$I16*$K$7,$L16*$N$6,$O16*$Q$6,$R16*$V$6),0),"")</f>
        <v>57</v>
      </c>
      <c r="Y16" s="104">
        <f t="shared" si="0"/>
        <v>3</v>
      </c>
      <c r="Z16" s="303">
        <v>3</v>
      </c>
      <c r="AA16" s="280">
        <f t="shared" si="1"/>
        <v>3</v>
      </c>
      <c r="AB16" s="558">
        <f>IF(AREAS((D16,G16,J16,M16,P16,T16))-COUNT(D16,G16,J16,M16,P16,T16)=0,ROUND(AVERAGE(X16,SUM($D16*$E$7,$G16*$H$7,$J16*$K$7,$M16*$N$6,$P16*$Q$6,$T16*$V$6)),0),"")</f>
        <v>57</v>
      </c>
      <c r="AC16" s="290">
        <f t="shared" si="2"/>
        <v>3</v>
      </c>
      <c r="AD16" s="550"/>
      <c r="AE16" s="306">
        <f t="shared" si="3"/>
        <v>3</v>
      </c>
      <c r="AF16" s="276" t="str">
        <f>IF(AREAS((E16,H16,K16,N16,Q16,V16))-COUNT(E16,H16,K16,N16,Q16,V16)=0,ROUND(AVERAGE(X16,AB16,SUM($E16*$E$7,$H16*$H$7,$K16*$K$7,$N16*$N$6,$Q16*$Q$6,$V16*$V$6)),0),"")</f>
        <v/>
      </c>
      <c r="AG16" s="104" t="str">
        <f t="shared" si="4"/>
        <v/>
      </c>
      <c r="AH16" s="312">
        <v>3</v>
      </c>
      <c r="AI16" s="297" t="str">
        <f t="shared" si="5"/>
        <v/>
      </c>
      <c r="AJ16" s="143"/>
    </row>
    <row r="17" spans="1:44" ht="13.5" customHeight="1" thickBot="1" x14ac:dyDescent="0.3">
      <c r="A17" s="151">
        <v>9</v>
      </c>
      <c r="B17" s="231" t="s">
        <v>97</v>
      </c>
      <c r="C17" s="246">
        <f>IF(Oralidade!R16="","",Oralidade!R16)</f>
        <v>70</v>
      </c>
      <c r="D17" s="247">
        <f>IF(Oralidade!AC16="","",Oralidade!AC16)</f>
        <v>75</v>
      </c>
      <c r="E17" s="255" t="str">
        <f>IF(Oralidade!AN16="","",Oralidade!AN16)</f>
        <v/>
      </c>
      <c r="F17" s="266">
        <f>IF(Leitura!N16="","",Leitura!N16)</f>
        <v>60</v>
      </c>
      <c r="G17" s="247">
        <f>IF(Leitura!V16="","",Leitura!V16)</f>
        <v>40</v>
      </c>
      <c r="H17" s="255" t="str">
        <f>IF(Leitura!AD16="","",Leitura!AD16)</f>
        <v/>
      </c>
      <c r="I17" s="266">
        <f>IF(Leitura!O16="","",Leitura!O16)</f>
        <v>65</v>
      </c>
      <c r="J17" s="247">
        <f>IF(Leitura!W16="","",Leitura!W16)</f>
        <v>70</v>
      </c>
      <c r="K17" s="255" t="str">
        <f>IF(Leitura!AE16="","",Leitura!AE16)</f>
        <v/>
      </c>
      <c r="L17" s="266">
        <f>IF('Ed. Literária'!V16="","",'Ed. Literária'!V16)</f>
        <v>54</v>
      </c>
      <c r="M17" s="266">
        <f>IF('Ed. Literária'!AK16="","",'Ed. Literária'!AK16)</f>
        <v>63</v>
      </c>
      <c r="N17" s="266" t="str">
        <f>IF('Ed. Literária'!AZ16="","",'Ed. Literária'!AZ16)</f>
        <v/>
      </c>
      <c r="O17" s="266">
        <f>IF(Gramática!O16="","",Gramática!O16)</f>
        <v>64</v>
      </c>
      <c r="P17" s="266">
        <f>IF(Gramática!W16="","",Gramática!W16)</f>
        <v>35</v>
      </c>
      <c r="Q17" s="266" t="str">
        <f>IF(Gramática!AE16="","",Gramática!AE16)</f>
        <v/>
      </c>
      <c r="R17" s="395">
        <f>IF(Escrita!P16="","",Escrita!P16)</f>
        <v>65</v>
      </c>
      <c r="S17" s="396"/>
      <c r="T17" s="418">
        <f>IF(Escrita!Y16="","",Escrita!Y16)</f>
        <v>60</v>
      </c>
      <c r="U17" s="396"/>
      <c r="V17" s="418" t="str">
        <f>IF(Escrita!AH16="","",Escrita!AH16)</f>
        <v/>
      </c>
      <c r="W17" s="420"/>
      <c r="X17" s="103">
        <f>IF(AREAS((C17,F17,I17,L17,O17,R17))-COUNT(C17,F17,I17,L17,O17,R17)=0,ROUND(SUM($C17*$E$7,$F17*$H$7,$I17*$K$7,$L17*$N$6,$O17*$Q$6,$R17*$V$6),0),"")</f>
        <v>63</v>
      </c>
      <c r="Y17" s="105">
        <f t="shared" si="0"/>
        <v>3</v>
      </c>
      <c r="Z17" s="304">
        <v>4</v>
      </c>
      <c r="AA17" s="281">
        <f t="shared" si="1"/>
        <v>3</v>
      </c>
      <c r="AB17" s="317">
        <f>IF(AREAS((D17,G17,J17,M17,P17,T17))-COUNT(D17,G17,J17,M17,P17,T17)=0,ROUND(AVERAGE(X17,SUM($D17*$E$7,$G17*$H$7,$J17*$K$7,$M17*$N$6,$P17*$Q$6,$T17*$V$6)),0),"")</f>
        <v>61</v>
      </c>
      <c r="AC17" s="291">
        <f t="shared" si="2"/>
        <v>3</v>
      </c>
      <c r="AD17" s="551"/>
      <c r="AE17" s="307">
        <f t="shared" si="3"/>
        <v>3</v>
      </c>
      <c r="AF17" s="277" t="str">
        <f>IF(AREAS((E17,H17,K17,N17,Q17,V17))-COUNT(E17,H17,K17,N17,Q17,V17)=0,ROUND(AVERAGE(X17,AB17,SUM($E17*$E$7,$H17*$H$7,$K17*$K$7,$N17*$N$6,$Q17*$Q$6,$V17*$V$6)),0),"")</f>
        <v/>
      </c>
      <c r="AG17" s="105" t="str">
        <f t="shared" si="4"/>
        <v/>
      </c>
      <c r="AH17" s="313">
        <v>3</v>
      </c>
      <c r="AI17" s="298" t="str">
        <f t="shared" si="5"/>
        <v/>
      </c>
      <c r="AJ17" s="143"/>
    </row>
    <row r="18" spans="1:44" ht="13.5" customHeight="1" thickBot="1" x14ac:dyDescent="0.3">
      <c r="A18" s="150">
        <v>10</v>
      </c>
      <c r="B18" s="230" t="s">
        <v>98</v>
      </c>
      <c r="C18" s="244">
        <f>IF(Oralidade!R17="","",Oralidade!R17)</f>
        <v>90</v>
      </c>
      <c r="D18" s="245">
        <f>IF(Oralidade!AC17="","",Oralidade!AC17)</f>
        <v>80</v>
      </c>
      <c r="E18" s="254" t="str">
        <f>IF(Oralidade!AN17="","",Oralidade!AN17)</f>
        <v/>
      </c>
      <c r="F18" s="265">
        <f>IF(Leitura!N17="","",Leitura!N17)</f>
        <v>70</v>
      </c>
      <c r="G18" s="245">
        <f>IF(Leitura!V17="","",Leitura!V17)</f>
        <v>40</v>
      </c>
      <c r="H18" s="254" t="str">
        <f>IF(Leitura!AD17="","",Leitura!AD17)</f>
        <v/>
      </c>
      <c r="I18" s="265">
        <f>IF(Leitura!O17="","",Leitura!O17)</f>
        <v>65</v>
      </c>
      <c r="J18" s="245">
        <f>IF(Leitura!W17="","",Leitura!W17)</f>
        <v>75</v>
      </c>
      <c r="K18" s="254" t="str">
        <f>IF(Leitura!AE17="","",Leitura!AE17)</f>
        <v/>
      </c>
      <c r="L18" s="265">
        <f>IF('Ed. Literária'!V17="","",'Ed. Literária'!V17)</f>
        <v>80</v>
      </c>
      <c r="M18" s="265">
        <f>IF('Ed. Literária'!AK17="","",'Ed. Literária'!AK17)</f>
        <v>76</v>
      </c>
      <c r="N18" s="265" t="str">
        <f>IF('Ed. Literária'!AZ17="","",'Ed. Literária'!AZ17)</f>
        <v/>
      </c>
      <c r="O18" s="265">
        <f>IF(Gramática!O17="","",Gramática!O17)</f>
        <v>60</v>
      </c>
      <c r="P18" s="265">
        <f>IF(Gramática!W17="","",Gramática!W17)</f>
        <v>70</v>
      </c>
      <c r="Q18" s="265" t="str">
        <f>IF(Gramática!AE17="","",Gramática!AE17)</f>
        <v/>
      </c>
      <c r="R18" s="393">
        <f>IF(Escrita!P17="","",Escrita!P17)</f>
        <v>65</v>
      </c>
      <c r="S18" s="394"/>
      <c r="T18" s="419">
        <f>IF(Escrita!Y17="","",Escrita!Y17)</f>
        <v>60</v>
      </c>
      <c r="U18" s="394"/>
      <c r="V18" s="419" t="str">
        <f>IF(Escrita!AH17="","",Escrita!AH17)</f>
        <v/>
      </c>
      <c r="W18" s="421"/>
      <c r="X18" s="295">
        <f>IF(AREAS((C18,F18,I18,L18,O18,R18))-COUNT(C18,F18,I18,L18,O18,R18)=0,ROUND(SUM($C18*$E$7,$F18*$H$7,$I18*$K$7,$L18*$N$6,$O18*$Q$6,$R18*$V$6),0),"")</f>
        <v>74</v>
      </c>
      <c r="Y18" s="104">
        <f t="shared" si="0"/>
        <v>4</v>
      </c>
      <c r="Z18" s="303">
        <v>4</v>
      </c>
      <c r="AA18" s="283">
        <f t="shared" si="1"/>
        <v>4</v>
      </c>
      <c r="AB18" s="558">
        <f>IF(AREAS((D18,G18,J18,M18,P18,T18))-COUNT(D18,G18,J18,M18,P18,T18)=0,ROUND(AVERAGE(X18,SUM($D18*$E$7,$G18*$H$7,$J18*$K$7,$M18*$N$6,$P18*$Q$6,$T18*$V$6)),0),"")</f>
        <v>71</v>
      </c>
      <c r="AC18" s="290">
        <f t="shared" si="2"/>
        <v>4</v>
      </c>
      <c r="AD18" s="550"/>
      <c r="AE18" s="306">
        <f t="shared" si="3"/>
        <v>4</v>
      </c>
      <c r="AF18" s="276" t="str">
        <f>IF(AREAS((E18,H18,K18,N18,Q18,V18))-COUNT(E18,H18,K18,N18,Q18,V18)=0,ROUND(AVERAGE(X18,AB18,SUM($E18*$E$7,$H18*$H$7,$K18*$K$7,$N18*$N$6,$Q18*$Q$6,$V18*$V$6)),0),"")</f>
        <v/>
      </c>
      <c r="AG18" s="104" t="str">
        <f t="shared" si="4"/>
        <v/>
      </c>
      <c r="AH18" s="312">
        <v>4</v>
      </c>
      <c r="AI18" s="297" t="str">
        <f t="shared" si="5"/>
        <v/>
      </c>
      <c r="AJ18" s="143"/>
    </row>
    <row r="19" spans="1:44" ht="13.5" customHeight="1" thickBot="1" x14ac:dyDescent="0.3">
      <c r="A19" s="151">
        <v>11</v>
      </c>
      <c r="B19" s="231" t="s">
        <v>99</v>
      </c>
      <c r="C19" s="246">
        <f>IF(Oralidade!R18="","",Oralidade!R18)</f>
        <v>80</v>
      </c>
      <c r="D19" s="247">
        <f>IF(Oralidade!AC18="","",Oralidade!AC18)</f>
        <v>70</v>
      </c>
      <c r="E19" s="255" t="str">
        <f>IF(Oralidade!AN18="","",Oralidade!AN18)</f>
        <v/>
      </c>
      <c r="F19" s="266">
        <f>IF(Leitura!N18="","",Leitura!N18)</f>
        <v>50</v>
      </c>
      <c r="G19" s="247">
        <f>IF(Leitura!V18="","",Leitura!V18)</f>
        <v>20</v>
      </c>
      <c r="H19" s="255" t="str">
        <f>IF(Leitura!AD18="","",Leitura!AD18)</f>
        <v/>
      </c>
      <c r="I19" s="266">
        <f>IF(Leitura!O18="","",Leitura!O18)</f>
        <v>60</v>
      </c>
      <c r="J19" s="247">
        <f>IF(Leitura!W18="","",Leitura!W18)</f>
        <v>70</v>
      </c>
      <c r="K19" s="255" t="str">
        <f>IF(Leitura!AE18="","",Leitura!AE18)</f>
        <v/>
      </c>
      <c r="L19" s="266">
        <f>IF('Ed. Literária'!V18="","",'Ed. Literária'!V18)</f>
        <v>61</v>
      </c>
      <c r="M19" s="266">
        <f>IF('Ed. Literária'!AK18="","",'Ed. Literária'!AK18)</f>
        <v>66</v>
      </c>
      <c r="N19" s="266" t="str">
        <f>IF('Ed. Literária'!AZ18="","",'Ed. Literária'!AZ18)</f>
        <v/>
      </c>
      <c r="O19" s="266">
        <f>IF(Gramática!O18="","",Gramática!O18)</f>
        <v>60</v>
      </c>
      <c r="P19" s="266">
        <f>IF(Gramática!W18="","",Gramática!W18)</f>
        <v>35</v>
      </c>
      <c r="Q19" s="266" t="str">
        <f>IF(Gramática!AE18="","",Gramática!AE18)</f>
        <v/>
      </c>
      <c r="R19" s="395">
        <f>IF(Escrita!P18="","",Escrita!P18)</f>
        <v>53</v>
      </c>
      <c r="S19" s="396"/>
      <c r="T19" s="418">
        <f>IF(Escrita!Y18="","",Escrita!Y18)</f>
        <v>60</v>
      </c>
      <c r="U19" s="396"/>
      <c r="V19" s="418" t="str">
        <f>IF(Escrita!AH18="","",Escrita!AH18)</f>
        <v/>
      </c>
      <c r="W19" s="420"/>
      <c r="X19" s="103">
        <f>IF(AREAS((C19,F19,I19,L19,O19,R19))-COUNT(C19,F19,I19,L19,O19,R19)=0,ROUND(SUM($C19*$E$7,$F19*$H$7,$I19*$K$7,$L19*$N$6,$O19*$Q$6,$R19*$V$6),0),"")</f>
        <v>62</v>
      </c>
      <c r="Y19" s="105">
        <f t="shared" si="0"/>
        <v>3</v>
      </c>
      <c r="Z19" s="304">
        <v>3</v>
      </c>
      <c r="AA19" s="281">
        <f t="shared" si="1"/>
        <v>3</v>
      </c>
      <c r="AB19" s="317">
        <f>IF(AREAS((D19,G19,J19,M19,P19,T19))-COUNT(D19,G19,J19,M19,P19,T19)=0,ROUND(AVERAGE(X19,SUM($D19*$E$7,$G19*$H$7,$J19*$K$7,$M19*$N$6,$P19*$Q$6,$T19*$V$6)),0),"")</f>
        <v>59</v>
      </c>
      <c r="AC19" s="291">
        <f t="shared" si="2"/>
        <v>3</v>
      </c>
      <c r="AD19" s="551"/>
      <c r="AE19" s="307">
        <f t="shared" si="3"/>
        <v>3</v>
      </c>
      <c r="AF19" s="277" t="str">
        <f>IF(AREAS((E19,H19,K19,N19,Q19,V19))-COUNT(E19,H19,K19,N19,Q19,V19)=0,ROUND(AVERAGE(X19,AB19,SUM($E19*$E$7,$H19*$H$7,$K19*$K$7,$N19*$N$6,$Q19*$Q$6,$V19*$V$6)),0),"")</f>
        <v/>
      </c>
      <c r="AG19" s="105" t="str">
        <f t="shared" si="4"/>
        <v/>
      </c>
      <c r="AH19" s="313">
        <v>3</v>
      </c>
      <c r="AI19" s="298" t="str">
        <f t="shared" si="5"/>
        <v/>
      </c>
      <c r="AJ19" s="143"/>
    </row>
    <row r="20" spans="1:44" ht="13.5" customHeight="1" thickBot="1" x14ac:dyDescent="0.3">
      <c r="A20" s="150">
        <v>12</v>
      </c>
      <c r="B20" s="230" t="s">
        <v>100</v>
      </c>
      <c r="C20" s="244">
        <f>IF(Oralidade!R19="","",Oralidade!R19)</f>
        <v>50</v>
      </c>
      <c r="D20" s="245">
        <f>IF(Oralidade!AC19="","",Oralidade!AC19)</f>
        <v>70</v>
      </c>
      <c r="E20" s="254" t="str">
        <f>IF(Oralidade!AN19="","",Oralidade!AN19)</f>
        <v/>
      </c>
      <c r="F20" s="265">
        <f>IF(Leitura!N19="","",Leitura!N19)</f>
        <v>60</v>
      </c>
      <c r="G20" s="245">
        <f>IF(Leitura!V19="","",Leitura!V19)</f>
        <v>40</v>
      </c>
      <c r="H20" s="254" t="str">
        <f>IF(Leitura!AD19="","",Leitura!AD19)</f>
        <v/>
      </c>
      <c r="I20" s="265">
        <f>IF(Leitura!O19="","",Leitura!O19)</f>
        <v>60</v>
      </c>
      <c r="J20" s="245">
        <f>IF(Leitura!W19="","",Leitura!W19)</f>
        <v>70</v>
      </c>
      <c r="K20" s="254" t="str">
        <f>IF(Leitura!AE19="","",Leitura!AE19)</f>
        <v/>
      </c>
      <c r="L20" s="265">
        <f>IF('Ed. Literária'!V19="","",'Ed. Literária'!V19)</f>
        <v>60</v>
      </c>
      <c r="M20" s="265">
        <f>IF('Ed. Literária'!AK19="","",'Ed. Literária'!AK19)</f>
        <v>52</v>
      </c>
      <c r="N20" s="265" t="str">
        <f>IF('Ed. Literária'!AZ19="","",'Ed. Literária'!AZ19)</f>
        <v/>
      </c>
      <c r="O20" s="265">
        <f>IF(Gramática!O19="","",Gramática!O19)</f>
        <v>76</v>
      </c>
      <c r="P20" s="265">
        <f>IF(Gramática!W19="","",Gramática!W19)</f>
        <v>30</v>
      </c>
      <c r="Q20" s="265" t="str">
        <f>IF(Gramática!AE19="","",Gramática!AE19)</f>
        <v/>
      </c>
      <c r="R20" s="393">
        <f>IF(Escrita!P19="","",Escrita!P19)</f>
        <v>80</v>
      </c>
      <c r="S20" s="394"/>
      <c r="T20" s="419">
        <f>IF(Escrita!Y19="","",Escrita!Y19)</f>
        <v>60</v>
      </c>
      <c r="U20" s="394"/>
      <c r="V20" s="419" t="str">
        <f>IF(Escrita!AH19="","",Escrita!AH19)</f>
        <v/>
      </c>
      <c r="W20" s="421"/>
      <c r="X20" s="295">
        <f>IF(AREAS((C20,F20,I20,L20,O20,R20))-COUNT(C20,F20,I20,L20,O20,R20)=0,ROUND(SUM($C20*$E$7,$F20*$H$7,$I20*$K$7,$L20*$N$6,$O20*$Q$6,$R20*$V$6),0),"")</f>
        <v>65</v>
      </c>
      <c r="Y20" s="104">
        <f t="shared" si="0"/>
        <v>3</v>
      </c>
      <c r="Z20" s="303">
        <v>3</v>
      </c>
      <c r="AA20" s="280">
        <f t="shared" si="1"/>
        <v>3</v>
      </c>
      <c r="AB20" s="558">
        <f>IF(AREAS((D20,G20,J20,M20,P20,T20))-COUNT(D20,G20,J20,M20,P20,T20)=0,ROUND(AVERAGE(X20,SUM($D20*$E$7,$G20*$H$7,$J20*$K$7,$M20*$N$6,$P20*$Q$6,$T20*$V$6)),0),"")</f>
        <v>60</v>
      </c>
      <c r="AC20" s="290">
        <f t="shared" si="2"/>
        <v>3</v>
      </c>
      <c r="AD20" s="550"/>
      <c r="AE20" s="306">
        <f t="shared" si="3"/>
        <v>3</v>
      </c>
      <c r="AF20" s="276" t="str">
        <f>IF(AREAS((E20,H20,K20,N20,Q20,V20))-COUNT(E20,H20,K20,N20,Q20,V20)=0,ROUND(AVERAGE(X20,AB20,SUM($E20*$E$7,$H20*$H$7,$K20*$K$7,$N20*$N$6,$Q20*$Q$6,$V20*$V$6)),0),"")</f>
        <v/>
      </c>
      <c r="AG20" s="104" t="str">
        <f t="shared" si="4"/>
        <v/>
      </c>
      <c r="AH20" s="312">
        <v>3</v>
      </c>
      <c r="AI20" s="297" t="str">
        <f t="shared" si="5"/>
        <v/>
      </c>
      <c r="AJ20" s="143"/>
      <c r="AO20" s="152"/>
    </row>
    <row r="21" spans="1:44" ht="13.5" customHeight="1" thickBot="1" x14ac:dyDescent="0.3">
      <c r="A21" s="151">
        <v>13</v>
      </c>
      <c r="B21" s="231" t="s">
        <v>84</v>
      </c>
      <c r="C21" s="246">
        <f>IF(Oralidade!R20="","",Oralidade!R20)</f>
        <v>80</v>
      </c>
      <c r="D21" s="247">
        <f>IF(Oralidade!AC20="","",Oralidade!AC20)</f>
        <v>80</v>
      </c>
      <c r="E21" s="255" t="str">
        <f>IF(Oralidade!AN20="","",Oralidade!AN20)</f>
        <v/>
      </c>
      <c r="F21" s="266">
        <f>IF(Leitura!N20="","",Leitura!N20)</f>
        <v>50</v>
      </c>
      <c r="G21" s="247">
        <f>IF(Leitura!V20="","",Leitura!V20)</f>
        <v>40</v>
      </c>
      <c r="H21" s="255" t="str">
        <f>IF(Leitura!AD20="","",Leitura!AD20)</f>
        <v/>
      </c>
      <c r="I21" s="266">
        <f>IF(Leitura!O20="","",Leitura!O20)</f>
        <v>55</v>
      </c>
      <c r="J21" s="247">
        <f>IF(Leitura!W20="","",Leitura!W20)</f>
        <v>70</v>
      </c>
      <c r="K21" s="255" t="str">
        <f>IF(Leitura!AE20="","",Leitura!AE20)</f>
        <v/>
      </c>
      <c r="L21" s="266">
        <f>IF('Ed. Literária'!V20="","",'Ed. Literária'!V20)</f>
        <v>42</v>
      </c>
      <c r="M21" s="266">
        <f>IF('Ed. Literária'!AK20="","",'Ed. Literária'!AK20)</f>
        <v>66</v>
      </c>
      <c r="N21" s="266" t="str">
        <f>IF('Ed. Literária'!AZ20="","",'Ed. Literária'!AZ20)</f>
        <v/>
      </c>
      <c r="O21" s="266">
        <f>IF(Gramática!O20="","",Gramática!O20)</f>
        <v>68</v>
      </c>
      <c r="P21" s="266">
        <f>IF(Gramática!W20="","",Gramática!W20)</f>
        <v>55</v>
      </c>
      <c r="Q21" s="266" t="str">
        <f>IF(Gramática!AE20="","",Gramática!AE20)</f>
        <v/>
      </c>
      <c r="R21" s="395">
        <f>IF(Escrita!P20="","",Escrita!P20)</f>
        <v>55</v>
      </c>
      <c r="S21" s="396"/>
      <c r="T21" s="418">
        <f>IF(Escrita!Y20="","",Escrita!Y20)</f>
        <v>60</v>
      </c>
      <c r="U21" s="396"/>
      <c r="V21" s="418" t="str">
        <f>IF(Escrita!AH20="","",Escrita!AH20)</f>
        <v/>
      </c>
      <c r="W21" s="420"/>
      <c r="X21" s="103">
        <f>IF(AREAS((C21,F21,I21,L21,O21,R21))-COUNT(C21,F21,I21,L21,O21,R21)=0,ROUND(SUM($C21*$E$7,$F21*$H$7,$I21*$K$7,$L21*$N$6,$O21*$Q$6,$R21*$V$6),0),"")</f>
        <v>58</v>
      </c>
      <c r="Y21" s="105">
        <f t="shared" si="0"/>
        <v>3</v>
      </c>
      <c r="Z21" s="304">
        <v>3</v>
      </c>
      <c r="AA21" s="281">
        <f t="shared" si="1"/>
        <v>3</v>
      </c>
      <c r="AB21" s="317">
        <f>IF(AREAS((D21,G21,J21,M21,P21,T21))-COUNT(D21,G21,J21,M21,P21,T21)=0,ROUND(AVERAGE(X21,SUM($D21*$E$7,$G21*$H$7,$J21*$K$7,$M21*$N$6,$P21*$Q$6,$T21*$V$6)),0),"")</f>
        <v>61</v>
      </c>
      <c r="AC21" s="291">
        <f t="shared" si="2"/>
        <v>3</v>
      </c>
      <c r="AD21" s="551"/>
      <c r="AE21" s="307">
        <f t="shared" si="3"/>
        <v>3</v>
      </c>
      <c r="AF21" s="277" t="str">
        <f>IF(AREAS((E21,H21,K21,N21,Q21,V21))-COUNT(E21,H21,K21,N21,Q21,V21)=0,ROUND(AVERAGE(X21,AB21,SUM($E21*$E$7,$H21*$H$7,$K21*$K$7,$N21*$N$6,$Q21*$Q$6,$V21*$V$6)),0),"")</f>
        <v/>
      </c>
      <c r="AG21" s="105" t="str">
        <f t="shared" si="4"/>
        <v/>
      </c>
      <c r="AH21" s="313">
        <v>3</v>
      </c>
      <c r="AI21" s="298" t="str">
        <f t="shared" si="5"/>
        <v/>
      </c>
      <c r="AJ21" s="143"/>
    </row>
    <row r="22" spans="1:44" ht="13.5" customHeight="1" thickBot="1" x14ac:dyDescent="0.3">
      <c r="A22" s="150">
        <v>14</v>
      </c>
      <c r="B22" s="230" t="s">
        <v>101</v>
      </c>
      <c r="C22" s="244">
        <f>IF(Oralidade!R21="","",Oralidade!R21)</f>
        <v>80</v>
      </c>
      <c r="D22" s="245">
        <f>IF(Oralidade!AC21="","",Oralidade!AC21)</f>
        <v>80</v>
      </c>
      <c r="E22" s="254" t="str">
        <f>IF(Oralidade!AN21="","",Oralidade!AN21)</f>
        <v/>
      </c>
      <c r="F22" s="265">
        <f>IF(Leitura!N21="","",Leitura!N21)</f>
        <v>90</v>
      </c>
      <c r="G22" s="245">
        <f>IF(Leitura!V21="","",Leitura!V21)</f>
        <v>80</v>
      </c>
      <c r="H22" s="254" t="str">
        <f>IF(Leitura!AD21="","",Leitura!AD21)</f>
        <v/>
      </c>
      <c r="I22" s="265">
        <f>IF(Leitura!O21="","",Leitura!O21)</f>
        <v>50</v>
      </c>
      <c r="J22" s="245">
        <f>IF(Leitura!W21="","",Leitura!W21)</f>
        <v>75</v>
      </c>
      <c r="K22" s="254" t="str">
        <f>IF(Leitura!AE21="","",Leitura!AE21)</f>
        <v/>
      </c>
      <c r="L22" s="265">
        <f>IF('Ed. Literária'!V21="","",'Ed. Literária'!V21)</f>
        <v>80</v>
      </c>
      <c r="M22" s="265">
        <f>IF('Ed. Literária'!AK21="","",'Ed. Literária'!AK21)</f>
        <v>74</v>
      </c>
      <c r="N22" s="265" t="str">
        <f>IF('Ed. Literária'!AZ21="","",'Ed. Literária'!AZ21)</f>
        <v/>
      </c>
      <c r="O22" s="265">
        <f>IF(Gramática!O21="","",Gramática!O21)</f>
        <v>72</v>
      </c>
      <c r="P22" s="265">
        <f>IF(Gramática!W21="","",Gramática!W21)</f>
        <v>40</v>
      </c>
      <c r="Q22" s="265" t="str">
        <f>IF(Gramática!AE21="","",Gramática!AE21)</f>
        <v/>
      </c>
      <c r="R22" s="393">
        <f>IF(Escrita!P21="","",Escrita!P21)</f>
        <v>55</v>
      </c>
      <c r="S22" s="394"/>
      <c r="T22" s="419">
        <f>IF(Escrita!Y21="","",Escrita!Y21)</f>
        <v>65</v>
      </c>
      <c r="U22" s="394"/>
      <c r="V22" s="419" t="str">
        <f>IF(Escrita!AH21="","",Escrita!AH21)</f>
        <v/>
      </c>
      <c r="W22" s="421"/>
      <c r="X22" s="295">
        <f>IF(AREAS((C22,F22,I22,L22,O22,R22))-COUNT(C22,F22,I22,L22,O22,R22)=0,ROUND(SUM($C22*$E$7,$F22*$H$7,$I22*$K$7,$L22*$N$6,$O22*$Q$6,$R22*$V$6),0),"")</f>
        <v>72</v>
      </c>
      <c r="Y22" s="104">
        <f t="shared" si="0"/>
        <v>4</v>
      </c>
      <c r="Z22" s="303">
        <v>4</v>
      </c>
      <c r="AA22" s="280">
        <f t="shared" si="1"/>
        <v>4</v>
      </c>
      <c r="AB22" s="558">
        <f>IF(AREAS((D22,G22,J22,M22,P22,T22))-COUNT(D22,G22,J22,M22,P22,T22)=0,ROUND(AVERAGE(X22,SUM($D22*$E$7,$G22*$H$7,$J22*$K$7,$M22*$N$6,$P22*$Q$6,$T22*$V$6)),0),"")</f>
        <v>70</v>
      </c>
      <c r="AC22" s="290">
        <f t="shared" si="2"/>
        <v>4</v>
      </c>
      <c r="AD22" s="550"/>
      <c r="AE22" s="306">
        <f t="shared" si="3"/>
        <v>4</v>
      </c>
      <c r="AF22" s="276" t="str">
        <f>IF(AREAS((E22,H22,K22,N22,Q22,V22))-COUNT(E22,H22,K22,N22,Q22,V22)=0,ROUND(AVERAGE(X22,AB22,SUM($E22*$E$7,$H22*$H$7,$K22*$K$7,$N22*$N$6,$Q22*$Q$6,$V22*$V$6)),0),"")</f>
        <v/>
      </c>
      <c r="AG22" s="104" t="str">
        <f t="shared" si="4"/>
        <v/>
      </c>
      <c r="AH22" s="312">
        <v>3</v>
      </c>
      <c r="AI22" s="297" t="str">
        <f t="shared" si="5"/>
        <v/>
      </c>
      <c r="AJ22" s="143"/>
    </row>
    <row r="23" spans="1:44" ht="13.5" customHeight="1" thickBot="1" x14ac:dyDescent="0.3">
      <c r="A23" s="151">
        <v>15</v>
      </c>
      <c r="B23" s="231" t="s">
        <v>102</v>
      </c>
      <c r="C23" s="246">
        <f>IF(Oralidade!R22="","",Oralidade!R22)</f>
        <v>80</v>
      </c>
      <c r="D23" s="247">
        <f>IF(Oralidade!AC22="","",Oralidade!AC22)</f>
        <v>60</v>
      </c>
      <c r="E23" s="255" t="str">
        <f>IF(Oralidade!AN22="","",Oralidade!AN22)</f>
        <v/>
      </c>
      <c r="F23" s="266">
        <f>IF(Leitura!N22="","",Leitura!N22)</f>
        <v>30</v>
      </c>
      <c r="G23" s="247">
        <f>IF(Leitura!V22="","",Leitura!V22)</f>
        <v>40</v>
      </c>
      <c r="H23" s="255" t="str">
        <f>IF(Leitura!AD22="","",Leitura!AD22)</f>
        <v/>
      </c>
      <c r="I23" s="266">
        <f>IF(Leitura!O22="","",Leitura!O22)</f>
        <v>55</v>
      </c>
      <c r="J23" s="247">
        <f>IF(Leitura!W22="","",Leitura!W22)</f>
        <v>70</v>
      </c>
      <c r="K23" s="255" t="str">
        <f>IF(Leitura!AE22="","",Leitura!AE22)</f>
        <v/>
      </c>
      <c r="L23" s="266">
        <f>IF('Ed. Literária'!V22="","",'Ed. Literária'!V22)</f>
        <v>62</v>
      </c>
      <c r="M23" s="266">
        <f>IF('Ed. Literária'!AK22="","",'Ed. Literária'!AK22)</f>
        <v>56</v>
      </c>
      <c r="N23" s="266" t="str">
        <f>IF('Ed. Literária'!AZ22="","",'Ed. Literária'!AZ22)</f>
        <v/>
      </c>
      <c r="O23" s="266">
        <f>IF(Gramática!O22="","",Gramática!O22)</f>
        <v>68</v>
      </c>
      <c r="P23" s="266">
        <f>IF(Gramática!W22="","",Gramática!W22)</f>
        <v>40</v>
      </c>
      <c r="Q23" s="266" t="str">
        <f>IF(Gramática!AE22="","",Gramática!AE22)</f>
        <v/>
      </c>
      <c r="R23" s="395">
        <f>IF(Escrita!P22="","",Escrita!P22)</f>
        <v>44</v>
      </c>
      <c r="S23" s="396"/>
      <c r="T23" s="418">
        <f>IF(Escrita!Y22="","",Escrita!Y22)</f>
        <v>60</v>
      </c>
      <c r="U23" s="396"/>
      <c r="V23" s="418" t="str">
        <f>IF(Escrita!AH22="","",Escrita!AH22)</f>
        <v/>
      </c>
      <c r="W23" s="420"/>
      <c r="X23" s="103">
        <f>IF(AREAS((C23,F23,I23,L23,O23,R23))-COUNT(C23,F23,I23,L23,O23,R23)=0,ROUND(SUM($C23*$E$7,$F23*$H$7,$I23*$K$7,$L23*$N$6,$O23*$Q$6,$R23*$V$6),0),"")</f>
        <v>58</v>
      </c>
      <c r="Y23" s="105">
        <f t="shared" si="0"/>
        <v>3</v>
      </c>
      <c r="Z23" s="304">
        <v>3</v>
      </c>
      <c r="AA23" s="281">
        <f t="shared" si="1"/>
        <v>3</v>
      </c>
      <c r="AB23" s="317">
        <f>IF(AREAS((D23,G23,J23,M23,P23,T23))-COUNT(D23,G23,J23,M23,P23,T23)=0,ROUND(AVERAGE(X23,SUM($D23*$E$7,$G23*$H$7,$J23*$K$7,$M23*$N$6,$P23*$Q$6,$T23*$V$6)),0),"")</f>
        <v>56</v>
      </c>
      <c r="AC23" s="291">
        <f t="shared" si="2"/>
        <v>3</v>
      </c>
      <c r="AD23" s="551"/>
      <c r="AE23" s="307">
        <f t="shared" si="3"/>
        <v>3</v>
      </c>
      <c r="AF23" s="277" t="str">
        <f>IF(AREAS((E23,H23,K23,N23,Q23,V23))-COUNT(E23,H23,K23,N23,Q23,V23)=0,ROUND(AVERAGE(X23,AB23,SUM($E23*$E$7,$H23*$H$7,$K23*$K$7,$N23*$N$6,$Q23*$Q$6,$V23*$V$6)),0),"")</f>
        <v/>
      </c>
      <c r="AG23" s="105" t="str">
        <f t="shared" si="4"/>
        <v/>
      </c>
      <c r="AH23" s="313">
        <v>4</v>
      </c>
      <c r="AI23" s="298" t="str">
        <f t="shared" si="5"/>
        <v/>
      </c>
      <c r="AJ23" s="143"/>
    </row>
    <row r="24" spans="1:44" ht="13.5" customHeight="1" thickBot="1" x14ac:dyDescent="0.3">
      <c r="A24" s="150">
        <v>16</v>
      </c>
      <c r="B24" s="230" t="s">
        <v>85</v>
      </c>
      <c r="C24" s="244">
        <f>IF(Oralidade!R23="","",Oralidade!R23)</f>
        <v>80</v>
      </c>
      <c r="D24" s="245">
        <f>IF(Oralidade!AC23="","",Oralidade!AC23)</f>
        <v>80</v>
      </c>
      <c r="E24" s="254" t="str">
        <f>IF(Oralidade!AN23="","",Oralidade!AN23)</f>
        <v/>
      </c>
      <c r="F24" s="265">
        <f>IF(Leitura!N23="","",Leitura!N23)</f>
        <v>90</v>
      </c>
      <c r="G24" s="245">
        <f>IF(Leitura!V23="","",Leitura!V23)</f>
        <v>80</v>
      </c>
      <c r="H24" s="254" t="str">
        <f>IF(Leitura!AD23="","",Leitura!AD23)</f>
        <v/>
      </c>
      <c r="I24" s="265">
        <f>IF(Leitura!O23="","",Leitura!O23)</f>
        <v>75</v>
      </c>
      <c r="J24" s="245">
        <f>IF(Leitura!W23="","",Leitura!W23)</f>
        <v>70</v>
      </c>
      <c r="K24" s="254" t="str">
        <f>IF(Leitura!AE23="","",Leitura!AE23)</f>
        <v/>
      </c>
      <c r="L24" s="265">
        <f>IF('Ed. Literária'!V23="","",'Ed. Literária'!V23)</f>
        <v>98</v>
      </c>
      <c r="M24" s="265">
        <f>IF('Ed. Literária'!AK23="","",'Ed. Literária'!AK23)</f>
        <v>88</v>
      </c>
      <c r="N24" s="265" t="str">
        <f>IF('Ed. Literária'!AZ23="","",'Ed. Literária'!AZ23)</f>
        <v/>
      </c>
      <c r="O24" s="265">
        <f>IF(Gramática!O23="","",Gramática!O23)</f>
        <v>84</v>
      </c>
      <c r="P24" s="265">
        <f>IF(Gramática!W23="","",Gramática!W23)</f>
        <v>85</v>
      </c>
      <c r="Q24" s="265" t="str">
        <f>IF(Gramática!AE23="","",Gramática!AE23)</f>
        <v/>
      </c>
      <c r="R24" s="393">
        <f>IF(Escrita!P23="","",Escrita!P23)</f>
        <v>75</v>
      </c>
      <c r="S24" s="394"/>
      <c r="T24" s="419">
        <f>IF(Escrita!Y23="","",Escrita!Y23)</f>
        <v>80</v>
      </c>
      <c r="U24" s="394"/>
      <c r="V24" s="419" t="str">
        <f>IF(Escrita!AH23="","",Escrita!AH23)</f>
        <v/>
      </c>
      <c r="W24" s="421"/>
      <c r="X24" s="103">
        <f>IF(AREAS((C24,F24,I24,L24,O24,R24))-COUNT(C24,F24,I24,L24,O24,R24)=0,ROUND(SUM($C24*$E$7,$F24*$H$7,$I24*$K$7,$L24*$N$6,$O24*$Q$6,$R24*$V$6),0),"")</f>
        <v>85</v>
      </c>
      <c r="Y24" s="104">
        <f t="shared" si="0"/>
        <v>4</v>
      </c>
      <c r="Z24" s="303">
        <v>4</v>
      </c>
      <c r="AA24" s="283">
        <f t="shared" si="1"/>
        <v>4</v>
      </c>
      <c r="AB24" s="558">
        <f>IF(AREAS((D24,G24,J24,M24,P24,T24))-COUNT(D24,G24,J24,M24,P24,T24)=0,ROUND(AVERAGE(X24,SUM($D24*$E$7,$G24*$H$7,$J24*$K$7,$M24*$N$6,$P24*$Q$6,$T24*$V$6)),0),"")</f>
        <v>84</v>
      </c>
      <c r="AC24" s="290">
        <f t="shared" si="2"/>
        <v>4</v>
      </c>
      <c r="AD24" s="550"/>
      <c r="AE24" s="306">
        <f t="shared" si="3"/>
        <v>4</v>
      </c>
      <c r="AF24" s="276" t="str">
        <f>IF(AREAS((E24,H24,K24,N24,Q24,V24))-COUNT(E24,H24,K24,N24,Q24,V24)=0,ROUND(AVERAGE(X24,AB24,SUM($E24*$E$7,$H24*$H$7,$K24*$K$7,$N24*$N$6,$Q24*$Q$6,$V24*$V$6)),0),"")</f>
        <v/>
      </c>
      <c r="AG24" s="104" t="str">
        <f t="shared" si="4"/>
        <v/>
      </c>
      <c r="AH24" s="312">
        <v>4</v>
      </c>
      <c r="AI24" s="297" t="str">
        <f t="shared" si="5"/>
        <v/>
      </c>
      <c r="AJ24" s="143"/>
    </row>
    <row r="25" spans="1:44" ht="13.5" customHeight="1" thickBot="1" x14ac:dyDescent="0.3">
      <c r="A25" s="151">
        <v>17</v>
      </c>
      <c r="B25" s="231" t="s">
        <v>103</v>
      </c>
      <c r="C25" s="246">
        <f>IF(Oralidade!R24="","",Oralidade!R24)</f>
        <v>50</v>
      </c>
      <c r="D25" s="247">
        <f>IF(Oralidade!AC24="","",Oralidade!AC24)</f>
        <v>50</v>
      </c>
      <c r="E25" s="255" t="str">
        <f>IF(Oralidade!AN24="","",Oralidade!AN24)</f>
        <v/>
      </c>
      <c r="F25" s="266">
        <f>IF(Leitura!N24="","",Leitura!N24)</f>
        <v>60</v>
      </c>
      <c r="G25" s="247">
        <f>IF(Leitura!V24="","",Leitura!V24)</f>
        <v>0</v>
      </c>
      <c r="H25" s="255" t="str">
        <f>IF(Leitura!AD24="","",Leitura!AD24)</f>
        <v/>
      </c>
      <c r="I25" s="266">
        <f>IF(Leitura!O24="","",Leitura!O24)</f>
        <v>30</v>
      </c>
      <c r="J25" s="247">
        <f>IF(Leitura!W24="","",Leitura!W24)</f>
        <v>75</v>
      </c>
      <c r="K25" s="255" t="str">
        <f>IF(Leitura!AE24="","",Leitura!AE24)</f>
        <v/>
      </c>
      <c r="L25" s="266">
        <f>IF('Ed. Literária'!V24="","",'Ed. Literária'!V24)</f>
        <v>48</v>
      </c>
      <c r="M25" s="266">
        <f>IF('Ed. Literária'!AK24="","",'Ed. Literária'!AK24)</f>
        <v>62</v>
      </c>
      <c r="N25" s="266" t="str">
        <f>IF('Ed. Literária'!AZ24="","",'Ed. Literária'!AZ24)</f>
        <v/>
      </c>
      <c r="O25" s="266">
        <f>IF(Gramática!O24="","",Gramática!O24)</f>
        <v>32</v>
      </c>
      <c r="P25" s="266">
        <f>IF(Gramática!W24="","",Gramática!W24)</f>
        <v>10</v>
      </c>
      <c r="Q25" s="266" t="str">
        <f>IF(Gramática!AE24="","",Gramática!AE24)</f>
        <v/>
      </c>
      <c r="R25" s="395">
        <f>IF(Escrita!P24="","",Escrita!P24)</f>
        <v>45</v>
      </c>
      <c r="S25" s="396"/>
      <c r="T25" s="418">
        <f>IF(Escrita!Y24="","",Escrita!Y24)</f>
        <v>50</v>
      </c>
      <c r="U25" s="396"/>
      <c r="V25" s="418" t="str">
        <f>IF(Escrita!AH24="","",Escrita!AH24)</f>
        <v/>
      </c>
      <c r="W25" s="420"/>
      <c r="X25" s="103">
        <f>IF(AREAS((C25,F25,I25,L25,O25,R25))-COUNT(C25,F25,I25,L25,O25,R25)=0,ROUND(SUM($C25*$E$7,$F25*$H$7,$I25*$K$7,$L25*$N$6,$O25*$Q$6,$R25*$V$6),0),"")</f>
        <v>46</v>
      </c>
      <c r="Y25" s="105">
        <f t="shared" si="0"/>
        <v>2</v>
      </c>
      <c r="Z25" s="304">
        <v>3</v>
      </c>
      <c r="AA25" s="284">
        <f t="shared" si="1"/>
        <v>2</v>
      </c>
      <c r="AB25" s="317">
        <f>IF(AREAS((D25,G25,J25,M25,P25,T25))-COUNT(D25,G25,J25,M25,P25,T25)=0,ROUND(AVERAGE(X25,SUM($D25*$E$7,$G25*$H$7,$J25*$K$7,$M25*$N$6,$P25*$Q$6,$T25*$V$6)),0),"")</f>
        <v>45</v>
      </c>
      <c r="AC25" s="291">
        <f t="shared" si="2"/>
        <v>2</v>
      </c>
      <c r="AD25" s="551"/>
      <c r="AE25" s="307">
        <f t="shared" si="3"/>
        <v>2</v>
      </c>
      <c r="AF25" s="277" t="str">
        <f>IF(AREAS((E25,H25,K25,N25,Q25,V25))-COUNT(E25,H25,K25,N25,Q25,V25)=0,ROUND(AVERAGE(X25,AB25,SUM($E25*$E$7,$H25*$H$7,$K25*$K$7,$N25*$N$6,$Q25*$Q$6,$V25*$V$6)),0),"")</f>
        <v/>
      </c>
      <c r="AG25" s="105" t="str">
        <f t="shared" si="4"/>
        <v/>
      </c>
      <c r="AH25" s="313">
        <v>3</v>
      </c>
      <c r="AI25" s="298" t="str">
        <f t="shared" si="5"/>
        <v/>
      </c>
      <c r="AJ25" s="143"/>
    </row>
    <row r="26" spans="1:44" ht="13.5" customHeight="1" thickBot="1" x14ac:dyDescent="0.3">
      <c r="A26" s="150">
        <v>18</v>
      </c>
      <c r="B26" s="230" t="s">
        <v>104</v>
      </c>
      <c r="C26" s="244">
        <f>IF(Oralidade!R25="","",Oralidade!R25)</f>
        <v>60</v>
      </c>
      <c r="D26" s="245">
        <f>IF(Oralidade!AC25="","",Oralidade!AC25)</f>
        <v>25</v>
      </c>
      <c r="E26" s="254" t="str">
        <f>IF(Oralidade!AN25="","",Oralidade!AN25)</f>
        <v/>
      </c>
      <c r="F26" s="265">
        <f>IF(Leitura!N25="","",Leitura!N25)</f>
        <v>50</v>
      </c>
      <c r="G26" s="245">
        <f>IF(Leitura!V25="","",Leitura!V25)</f>
        <v>40</v>
      </c>
      <c r="H26" s="254" t="str">
        <f>IF(Leitura!AD25="","",Leitura!AD25)</f>
        <v/>
      </c>
      <c r="I26" s="265">
        <f>IF(Leitura!O25="","",Leitura!O25)</f>
        <v>60</v>
      </c>
      <c r="J26" s="245">
        <f>IF(Leitura!W25="","",Leitura!W25)</f>
        <v>55</v>
      </c>
      <c r="K26" s="254" t="str">
        <f>IF(Leitura!AE25="","",Leitura!AE25)</f>
        <v/>
      </c>
      <c r="L26" s="265">
        <f>IF('Ed. Literária'!V25="","",'Ed. Literária'!V25)</f>
        <v>13</v>
      </c>
      <c r="M26" s="265">
        <f>IF('Ed. Literária'!AK25="","",'Ed. Literária'!AK25)</f>
        <v>53</v>
      </c>
      <c r="N26" s="265" t="str">
        <f>IF('Ed. Literária'!AZ25="","",'Ed. Literária'!AZ25)</f>
        <v/>
      </c>
      <c r="O26" s="265">
        <f>IF(Gramática!O25="","",Gramática!O25)</f>
        <v>68</v>
      </c>
      <c r="P26" s="265">
        <f>IF(Gramática!W25="","",Gramática!W25)</f>
        <v>25</v>
      </c>
      <c r="Q26" s="265" t="str">
        <f>IF(Gramática!AE25="","",Gramática!AE25)</f>
        <v/>
      </c>
      <c r="R26" s="393">
        <f>IF(Escrita!P25="","",Escrita!P25)</f>
        <v>50</v>
      </c>
      <c r="S26" s="394"/>
      <c r="T26" s="419">
        <f>IF(Escrita!Y25="","",Escrita!Y25)</f>
        <v>60</v>
      </c>
      <c r="U26" s="394"/>
      <c r="V26" s="419" t="str">
        <f>IF(Escrita!AH25="","",Escrita!AH25)</f>
        <v/>
      </c>
      <c r="W26" s="421"/>
      <c r="X26" s="295">
        <f>IF(AREAS((C26,F26,I26,L26,O26,R26))-COUNT(C26,F26,I26,L26,O26,R26)=0,ROUND(SUM($C26*$E$7,$F26*$H$7,$I26*$K$7,$L26*$N$6,$O26*$Q$6,$R26*$V$6),0),"")</f>
        <v>46</v>
      </c>
      <c r="Y26" s="104">
        <f t="shared" si="0"/>
        <v>2</v>
      </c>
      <c r="Z26" s="303">
        <v>3</v>
      </c>
      <c r="AA26" s="282">
        <f t="shared" si="1"/>
        <v>2</v>
      </c>
      <c r="AB26" s="558">
        <f>IF(AREAS((D26,G26,J26,M26,P26,T26))-COUNT(D26,G26,J26,M26,P26,T26)=0,ROUND(AVERAGE(X26,SUM($D26*$E$7,$G26*$H$7,$J26*$K$7,$M26*$N$6,$P26*$Q$6,$T26*$V$6)),0),"")</f>
        <v>45</v>
      </c>
      <c r="AC26" s="290">
        <f t="shared" si="2"/>
        <v>2</v>
      </c>
      <c r="AD26" s="550"/>
      <c r="AE26" s="306">
        <f t="shared" si="3"/>
        <v>2</v>
      </c>
      <c r="AF26" s="276" t="str">
        <f>IF(AREAS((E26,H26,K26,N26,Q26,V26))-COUNT(E26,H26,K26,N26,Q26,V26)=0,ROUND(AVERAGE(X26,AB26,SUM($E26*$E$7,$H26*$H$7,$K26*$K$7,$N26*$N$6,$Q26*$Q$6,$V26*$V$6)),0),"")</f>
        <v/>
      </c>
      <c r="AG26" s="104" t="str">
        <f t="shared" si="4"/>
        <v/>
      </c>
      <c r="AH26" s="312">
        <v>3</v>
      </c>
      <c r="AI26" s="297" t="str">
        <f t="shared" si="5"/>
        <v/>
      </c>
      <c r="AJ26" s="143"/>
    </row>
    <row r="27" spans="1:44" ht="13.5" customHeight="1" thickBot="1" x14ac:dyDescent="0.3">
      <c r="A27" s="151">
        <v>19</v>
      </c>
      <c r="B27" s="231" t="s">
        <v>105</v>
      </c>
      <c r="C27" s="246">
        <f>IF(Oralidade!R26="","",Oralidade!R26)</f>
        <v>80</v>
      </c>
      <c r="D27" s="247">
        <f>IF(Oralidade!AC26="","",Oralidade!AC26)</f>
        <v>50</v>
      </c>
      <c r="E27" s="255" t="str">
        <f>IF(Oralidade!AN26="","",Oralidade!AN26)</f>
        <v/>
      </c>
      <c r="F27" s="266">
        <f>IF(Leitura!N26="","",Leitura!N26)</f>
        <v>60</v>
      </c>
      <c r="G27" s="247">
        <f>IF(Leitura!V26="","",Leitura!V26)</f>
        <v>20</v>
      </c>
      <c r="H27" s="255" t="str">
        <f>IF(Leitura!AD26="","",Leitura!AD26)</f>
        <v/>
      </c>
      <c r="I27" s="266">
        <f>IF(Leitura!O26="","",Leitura!O26)</f>
        <v>40</v>
      </c>
      <c r="J27" s="247">
        <f>IF(Leitura!W26="","",Leitura!W26)</f>
        <v>75</v>
      </c>
      <c r="K27" s="255" t="str">
        <f>IF(Leitura!AE26="","",Leitura!AE26)</f>
        <v/>
      </c>
      <c r="L27" s="266">
        <f>IF('Ed. Literária'!V26="","",'Ed. Literária'!V26)</f>
        <v>93</v>
      </c>
      <c r="M27" s="266">
        <f>IF('Ed. Literária'!AK26="","",'Ed. Literária'!AK26)</f>
        <v>90</v>
      </c>
      <c r="N27" s="266" t="str">
        <f>IF('Ed. Literária'!AZ26="","",'Ed. Literária'!AZ26)</f>
        <v/>
      </c>
      <c r="O27" s="266">
        <f>IF(Gramática!O26="","",Gramática!O26)</f>
        <v>84</v>
      </c>
      <c r="P27" s="266">
        <f>IF(Gramática!W26="","",Gramática!W26)</f>
        <v>55</v>
      </c>
      <c r="Q27" s="266" t="str">
        <f>IF(Gramática!AE26="","",Gramática!AE26)</f>
        <v/>
      </c>
      <c r="R27" s="395">
        <f>IF(Escrita!P26="","",Escrita!P26)</f>
        <v>55</v>
      </c>
      <c r="S27" s="396"/>
      <c r="T27" s="418">
        <f>IF(Escrita!Y26="","",Escrita!Y26)</f>
        <v>75</v>
      </c>
      <c r="U27" s="396"/>
      <c r="V27" s="418" t="str">
        <f>IF(Escrita!AH26="","",Escrita!AH26)</f>
        <v/>
      </c>
      <c r="W27" s="420"/>
      <c r="X27" s="103">
        <f>IF(AREAS((C27,F27,I27,L27,O27,R27))-COUNT(C27,F27,I27,L27,O27,R27)=0,ROUND(SUM($C27*$E$7,$F27*$H$7,$I27*$K$7,$L27*$N$6,$O27*$Q$6,$R27*$V$6),0),"")</f>
        <v>74</v>
      </c>
      <c r="Y27" s="105">
        <f t="shared" si="0"/>
        <v>4</v>
      </c>
      <c r="Z27" s="304">
        <v>4</v>
      </c>
      <c r="AA27" s="285">
        <f t="shared" si="1"/>
        <v>4</v>
      </c>
      <c r="AB27" s="317">
        <f>IF(AREAS((D27,G27,J27,M27,P27,T27))-COUNT(D27,G27,J27,M27,P27,T27)=0,ROUND(AVERAGE(X27,SUM($D27*$E$7,$G27*$H$7,$J27*$K$7,$M27*$N$6,$P27*$Q$6,$T27*$V$6)),0),"")</f>
        <v>70</v>
      </c>
      <c r="AC27" s="291">
        <f t="shared" si="2"/>
        <v>4</v>
      </c>
      <c r="AD27" s="551"/>
      <c r="AE27" s="307">
        <f t="shared" si="3"/>
        <v>4</v>
      </c>
      <c r="AF27" s="277" t="str">
        <f>IF(AREAS((E27,H27,K27,N27,Q27,V27))-COUNT(E27,H27,K27,N27,Q27,V27)=0,ROUND(AVERAGE(X27,AB27,SUM($E27*$E$7,$H27*$H$7,$K27*$K$7,$N27*$N$6,$Q27*$Q$6,$V27*$V$6)),0),"")</f>
        <v/>
      </c>
      <c r="AG27" s="105" t="str">
        <f t="shared" si="4"/>
        <v/>
      </c>
      <c r="AH27" s="313">
        <v>4</v>
      </c>
      <c r="AI27" s="298" t="str">
        <f t="shared" si="5"/>
        <v/>
      </c>
      <c r="AJ27" s="143"/>
    </row>
    <row r="28" spans="1:44" ht="13.5" customHeight="1" thickBot="1" x14ac:dyDescent="0.3">
      <c r="A28" s="150">
        <v>20</v>
      </c>
      <c r="B28" s="230" t="s">
        <v>106</v>
      </c>
      <c r="C28" s="244">
        <f>IF(Oralidade!R27="","",Oralidade!R27)</f>
        <v>90</v>
      </c>
      <c r="D28" s="245">
        <f>IF(Oralidade!AC27="","",Oralidade!AC27)</f>
        <v>75</v>
      </c>
      <c r="E28" s="254" t="str">
        <f>IF(Oralidade!AN27="","",Oralidade!AN27)</f>
        <v/>
      </c>
      <c r="F28" s="265">
        <f>IF(Leitura!N27="","",Leitura!N27)</f>
        <v>70</v>
      </c>
      <c r="G28" s="245">
        <f>IF(Leitura!V27="","",Leitura!V27)</f>
        <v>60</v>
      </c>
      <c r="H28" s="254" t="str">
        <f>IF(Leitura!AD27="","",Leitura!AD27)</f>
        <v/>
      </c>
      <c r="I28" s="265">
        <f>IF(Leitura!O27="","",Leitura!O27)</f>
        <v>75</v>
      </c>
      <c r="J28" s="245">
        <f>IF(Leitura!W27="","",Leitura!W27)</f>
        <v>75</v>
      </c>
      <c r="K28" s="254" t="str">
        <f>IF(Leitura!AE27="","",Leitura!AE27)</f>
        <v/>
      </c>
      <c r="L28" s="265">
        <f>IF('Ed. Literária'!V27="","",'Ed. Literária'!V27)</f>
        <v>88</v>
      </c>
      <c r="M28" s="265">
        <f>IF('Ed. Literária'!AK27="","",'Ed. Literária'!AK27)</f>
        <v>79</v>
      </c>
      <c r="N28" s="265" t="str">
        <f>IF('Ed. Literária'!AZ27="","",'Ed. Literária'!AZ27)</f>
        <v/>
      </c>
      <c r="O28" s="265">
        <f>IF(Gramática!O27="","",Gramática!O27)</f>
        <v>84</v>
      </c>
      <c r="P28" s="265">
        <f>IF(Gramática!W27="","",Gramática!W27)</f>
        <v>45</v>
      </c>
      <c r="Q28" s="265" t="str">
        <f>IF(Gramática!AE27="","",Gramática!AE27)</f>
        <v/>
      </c>
      <c r="R28" s="393">
        <f>IF(Escrita!P27="","",Escrita!P27)</f>
        <v>70</v>
      </c>
      <c r="S28" s="394"/>
      <c r="T28" s="419">
        <f>IF(Escrita!Y27="","",Escrita!Y27)</f>
        <v>65</v>
      </c>
      <c r="U28" s="394"/>
      <c r="V28" s="419" t="str">
        <f>IF(Escrita!AH27="","",Escrita!AH27)</f>
        <v/>
      </c>
      <c r="W28" s="421"/>
      <c r="X28" s="295">
        <f>IF(AREAS((C28,F28,I28,L28,O28,R28))-COUNT(C28,F28,I28,L28,O28,R28)=0,ROUND(SUM($C28*$E$7,$F28*$H$7,$I28*$K$7,$L28*$N$6,$O28*$Q$6,$R28*$V$6),0),"")</f>
        <v>81</v>
      </c>
      <c r="Y28" s="104">
        <f t="shared" si="0"/>
        <v>4</v>
      </c>
      <c r="Z28" s="303">
        <v>4</v>
      </c>
      <c r="AA28" s="283">
        <f t="shared" si="1"/>
        <v>4</v>
      </c>
      <c r="AB28" s="558">
        <f>IF(AREAS((D28,G28,J28,M28,P28,T28))-COUNT(D28,G28,J28,M28,P28,T28)=0,ROUND(AVERAGE(X28,SUM($D28*$E$7,$G28*$H$7,$J28*$K$7,$M28*$N$6,$P28*$Q$6,$T28*$V$6)),0),"")</f>
        <v>74</v>
      </c>
      <c r="AC28" s="290">
        <f t="shared" si="2"/>
        <v>4</v>
      </c>
      <c r="AD28" s="550"/>
      <c r="AE28" s="306">
        <f t="shared" si="3"/>
        <v>4</v>
      </c>
      <c r="AF28" s="276" t="str">
        <f>IF(AREAS((E28,H28,K28,N28,Q28,V28))-COUNT(E28,H28,K28,N28,Q28,V28)=0,ROUND(AVERAGE(X28,AB28,SUM($E28*$E$7,$H28*$H$7,$K28*$K$7,$N28*$N$6,$Q28*$Q$6,$V28*$V$6)),0),"")</f>
        <v/>
      </c>
      <c r="AG28" s="104" t="str">
        <f t="shared" si="4"/>
        <v/>
      </c>
      <c r="AH28" s="312">
        <v>4</v>
      </c>
      <c r="AI28" s="297" t="str">
        <f t="shared" si="5"/>
        <v/>
      </c>
      <c r="AJ28" s="143"/>
    </row>
    <row r="29" spans="1:44" ht="13.5" customHeight="1" thickBot="1" x14ac:dyDescent="0.3">
      <c r="A29" s="151">
        <v>21</v>
      </c>
      <c r="B29" s="231" t="s">
        <v>108</v>
      </c>
      <c r="C29" s="246">
        <f>IF(Oralidade!R28="","",Oralidade!R28)</f>
        <v>90</v>
      </c>
      <c r="D29" s="247">
        <f>IF(Oralidade!AC28="","",Oralidade!AC28)</f>
        <v>75</v>
      </c>
      <c r="E29" s="255" t="str">
        <f>IF(Oralidade!AN28="","",Oralidade!AN28)</f>
        <v/>
      </c>
      <c r="F29" s="266">
        <f>IF(Leitura!N28="","",Leitura!N28)</f>
        <v>90</v>
      </c>
      <c r="G29" s="247">
        <f>IF(Leitura!V28="","",Leitura!V28)</f>
        <v>40</v>
      </c>
      <c r="H29" s="255" t="str">
        <f>IF(Leitura!AD28="","",Leitura!AD28)</f>
        <v/>
      </c>
      <c r="I29" s="266">
        <f>IF(Leitura!O28="","",Leitura!O28)</f>
        <v>50</v>
      </c>
      <c r="J29" s="247">
        <f>IF(Leitura!W28="","",Leitura!W28)</f>
        <v>75</v>
      </c>
      <c r="K29" s="255" t="str">
        <f>IF(Leitura!AE28="","",Leitura!AE28)</f>
        <v/>
      </c>
      <c r="L29" s="266">
        <f>IF('Ed. Literária'!V28="","",'Ed. Literária'!V28)</f>
        <v>66</v>
      </c>
      <c r="M29" s="266">
        <f>IF('Ed. Literária'!AK28="","",'Ed. Literária'!AK28)</f>
        <v>90</v>
      </c>
      <c r="N29" s="266" t="str">
        <f>IF('Ed. Literária'!AZ28="","",'Ed. Literária'!AZ28)</f>
        <v/>
      </c>
      <c r="O29" s="266">
        <f>IF(Gramática!O28="","",Gramática!O28)</f>
        <v>100</v>
      </c>
      <c r="P29" s="266">
        <f>IF(Gramática!W28="","",Gramática!W28)</f>
        <v>70</v>
      </c>
      <c r="Q29" s="266" t="str">
        <f>IF(Gramática!AE28="","",Gramática!AE28)</f>
        <v/>
      </c>
      <c r="R29" s="395">
        <f>IF(Escrita!P28="","",Escrita!P28)</f>
        <v>80</v>
      </c>
      <c r="S29" s="396"/>
      <c r="T29" s="418">
        <f>IF(Escrita!Y28="","",Escrita!Y28)</f>
        <v>80</v>
      </c>
      <c r="U29" s="396"/>
      <c r="V29" s="418" t="str">
        <f>IF(Escrita!AH28="","",Escrita!AH28)</f>
        <v/>
      </c>
      <c r="W29" s="420"/>
      <c r="X29" s="103">
        <f>IF(AREAS((C29,F29,I29,L29,O29,R29))-COUNT(C29,F29,I29,L29,O29,R29)=0,ROUND(SUM($C29*$E$7,$F29*$H$7,$I29*$K$7,$L29*$N$6,$O29*$Q$6,$R29*$V$6),0),"")</f>
        <v>81</v>
      </c>
      <c r="Y29" s="105">
        <f t="shared" si="0"/>
        <v>4</v>
      </c>
      <c r="Z29" s="304">
        <v>4</v>
      </c>
      <c r="AA29" s="285">
        <f t="shared" si="1"/>
        <v>4</v>
      </c>
      <c r="AB29" s="317">
        <f>IF(AREAS((D29,G29,J29,M29,P29,T29))-COUNT(D29,G29,J29,M29,P29,T29)=0,ROUND(AVERAGE(X29,SUM($D29*$E$7,$G29*$H$7,$J29*$K$7,$M29*$N$6,$P29*$Q$6,$T29*$V$6)),0),"")</f>
        <v>78</v>
      </c>
      <c r="AC29" s="291">
        <f t="shared" si="2"/>
        <v>4</v>
      </c>
      <c r="AD29" s="551"/>
      <c r="AE29" s="307">
        <f t="shared" si="3"/>
        <v>4</v>
      </c>
      <c r="AF29" s="277" t="str">
        <f>IF(AREAS((E29,H29,K29,N29,Q29,V29))-COUNT(E29,H29,K29,N29,Q29,V29)=0,ROUND(AVERAGE(X29,AB29,SUM($E29*$E$7,$H29*$H$7,$K29*$K$7,$N29*$N$6,$Q29*$Q$6,$V29*$V$6)),0),"")</f>
        <v/>
      </c>
      <c r="AG29" s="105" t="str">
        <f t="shared" si="4"/>
        <v/>
      </c>
      <c r="AH29" s="313">
        <v>4</v>
      </c>
      <c r="AI29" s="298" t="str">
        <f t="shared" si="5"/>
        <v/>
      </c>
      <c r="AJ29" s="143"/>
    </row>
    <row r="30" spans="1:44" ht="13.5" customHeight="1" thickBot="1" x14ac:dyDescent="0.3">
      <c r="A30" s="150">
        <v>22</v>
      </c>
      <c r="B30" s="230" t="s">
        <v>107</v>
      </c>
      <c r="C30" s="244">
        <f>IF(Oralidade!R29="","",Oralidade!R29)</f>
        <v>90</v>
      </c>
      <c r="D30" s="245">
        <f>IF(Oralidade!AC29="","",Oralidade!AC29)</f>
        <v>65</v>
      </c>
      <c r="E30" s="254" t="str">
        <f>IF(Oralidade!AN29="","",Oralidade!AN29)</f>
        <v/>
      </c>
      <c r="F30" s="265">
        <f>IF(Leitura!N29="","",Leitura!N29)</f>
        <v>80</v>
      </c>
      <c r="G30" s="245">
        <f>IF(Leitura!V29="","",Leitura!V29)</f>
        <v>20</v>
      </c>
      <c r="H30" s="254" t="str">
        <f>IF(Leitura!AD29="","",Leitura!AD29)</f>
        <v/>
      </c>
      <c r="I30" s="265">
        <f>IF(Leitura!O29="","",Leitura!O29)</f>
        <v>80</v>
      </c>
      <c r="J30" s="245">
        <f>IF(Leitura!W29="","",Leitura!W29)</f>
        <v>60</v>
      </c>
      <c r="K30" s="254" t="str">
        <f>IF(Leitura!AE29="","",Leitura!AE29)</f>
        <v/>
      </c>
      <c r="L30" s="265">
        <f>IF('Ed. Literária'!V29="","",'Ed. Literária'!V29)</f>
        <v>58</v>
      </c>
      <c r="M30" s="265">
        <f>IF('Ed. Literária'!AK29="","",'Ed. Literária'!AK29)</f>
        <v>67</v>
      </c>
      <c r="N30" s="265" t="str">
        <f>IF('Ed. Literária'!AZ29="","",'Ed. Literária'!AZ29)</f>
        <v/>
      </c>
      <c r="O30" s="265">
        <f>IF(Gramática!O29="","",Gramática!O29)</f>
        <v>68</v>
      </c>
      <c r="P30" s="265">
        <f>IF(Gramática!W29="","",Gramática!W29)</f>
        <v>30</v>
      </c>
      <c r="Q30" s="265" t="str">
        <f>IF(Gramática!AE29="","",Gramática!AE29)</f>
        <v/>
      </c>
      <c r="R30" s="393">
        <f>IF(Escrita!P29="","",Escrita!P29)</f>
        <v>65</v>
      </c>
      <c r="S30" s="394"/>
      <c r="T30" s="419">
        <f>IF(Escrita!Y29="","",Escrita!Y29)</f>
        <v>60</v>
      </c>
      <c r="U30" s="394"/>
      <c r="V30" s="419" t="str">
        <f>IF(Escrita!AH29="","",Escrita!AH29)</f>
        <v/>
      </c>
      <c r="W30" s="421"/>
      <c r="X30" s="295">
        <f>IF(AREAS((C30,F30,I30,L30,O30,R30))-COUNT(C30,F30,I30,L30,O30,R30)=0,ROUND(SUM($C30*$E$7,$F30*$H$7,$I30*$K$7,$L30*$N$6,$O30*$Q$6,$R30*$V$6),0),"")</f>
        <v>71</v>
      </c>
      <c r="Y30" s="104">
        <f t="shared" si="0"/>
        <v>4</v>
      </c>
      <c r="Z30" s="303">
        <v>3</v>
      </c>
      <c r="AA30" s="280">
        <f t="shared" si="1"/>
        <v>4</v>
      </c>
      <c r="AB30" s="558">
        <f>IF(AREAS((D30,G30,J30,M30,P30,T30))-COUNT(D30,G30,J30,M30,P30,T30)=0,ROUND(AVERAGE(X30,SUM($D30*$E$7,$G30*$H$7,$J30*$K$7,$M30*$N$6,$P30*$Q$6,$T30*$V$6)),0),"")</f>
        <v>63</v>
      </c>
      <c r="AC30" s="290">
        <f t="shared" si="2"/>
        <v>3</v>
      </c>
      <c r="AD30" s="550"/>
      <c r="AE30" s="306">
        <f t="shared" si="3"/>
        <v>3</v>
      </c>
      <c r="AF30" s="276" t="str">
        <f>IF(AREAS((E30,H30,K30,N30,Q30,V30))-COUNT(E30,H30,K30,N30,Q30,V30)=0,ROUND(AVERAGE(X30,AB30,SUM($E30*$E$7,$H30*$H$7,$K30*$K$7,$N30*$N$6,$Q30*$Q$6,$V30*$V$6)),0),"")</f>
        <v/>
      </c>
      <c r="AG30" s="104" t="str">
        <f t="shared" si="4"/>
        <v/>
      </c>
      <c r="AH30" s="312">
        <v>3</v>
      </c>
      <c r="AI30" s="297" t="str">
        <f t="shared" si="5"/>
        <v/>
      </c>
    </row>
    <row r="31" spans="1:44" ht="13.5" customHeight="1" thickBot="1" x14ac:dyDescent="0.3">
      <c r="A31" s="151">
        <v>23</v>
      </c>
      <c r="B31" s="231" t="s">
        <v>109</v>
      </c>
      <c r="C31" s="246">
        <f>IF(Oralidade!R30="","",Oralidade!R30)</f>
        <v>80</v>
      </c>
      <c r="D31" s="247">
        <f>IF(Oralidade!AC30="","",Oralidade!AC30)</f>
        <v>55</v>
      </c>
      <c r="E31" s="255" t="str">
        <f>IF(Oralidade!AN30="","",Oralidade!AN30)</f>
        <v/>
      </c>
      <c r="F31" s="266">
        <f>IF(Leitura!N30="","",Leitura!N30)</f>
        <v>80</v>
      </c>
      <c r="G31" s="247">
        <f>IF(Leitura!V30="","",Leitura!V30)</f>
        <v>40</v>
      </c>
      <c r="H31" s="255" t="str">
        <f>IF(Leitura!AD30="","",Leitura!AD30)</f>
        <v/>
      </c>
      <c r="I31" s="266">
        <f>IF(Leitura!O30="","",Leitura!O30)</f>
        <v>60</v>
      </c>
      <c r="J31" s="247">
        <f>IF(Leitura!W30="","",Leitura!W30)</f>
        <v>75</v>
      </c>
      <c r="K31" s="255" t="str">
        <f>IF(Leitura!AE30="","",Leitura!AE30)</f>
        <v/>
      </c>
      <c r="L31" s="266">
        <f>IF('Ed. Literária'!V30="","",'Ed. Literária'!V30)</f>
        <v>71</v>
      </c>
      <c r="M31" s="266">
        <f>IF('Ed. Literária'!AK30="","",'Ed. Literária'!AK30)</f>
        <v>70</v>
      </c>
      <c r="N31" s="266" t="str">
        <f>IF('Ed. Literária'!AZ30="","",'Ed. Literária'!AZ30)</f>
        <v/>
      </c>
      <c r="O31" s="266">
        <f>IF(Gramática!O30="","",Gramática!O30)</f>
        <v>60</v>
      </c>
      <c r="P31" s="266">
        <f>IF(Gramática!W30="","",Gramática!W30)</f>
        <v>40</v>
      </c>
      <c r="Q31" s="266" t="str">
        <f>IF(Gramática!AE30="","",Gramática!AE30)</f>
        <v/>
      </c>
      <c r="R31" s="395">
        <f>IF(Escrita!P30="","",Escrita!P30)</f>
        <v>75</v>
      </c>
      <c r="S31" s="396"/>
      <c r="T31" s="418">
        <f>IF(Escrita!Y30="","",Escrita!Y30)</f>
        <v>60</v>
      </c>
      <c r="U31" s="396"/>
      <c r="V31" s="418" t="str">
        <f>IF(Escrita!AH30="","",Escrita!AH30)</f>
        <v/>
      </c>
      <c r="W31" s="420"/>
      <c r="X31" s="103">
        <f>IF(AREAS((C31,F31,I31,L31,O31,R31))-COUNT(C31,F31,I31,L31,O31,R31)=0,ROUND(SUM($C31*$E$7,$F31*$H$7,$I31*$K$7,$L31*$N$6,$O31*$Q$6,$R31*$V$6),0),"")</f>
        <v>73</v>
      </c>
      <c r="Y31" s="105">
        <f t="shared" si="0"/>
        <v>4</v>
      </c>
      <c r="Z31" s="304">
        <v>4</v>
      </c>
      <c r="AA31" s="285">
        <f t="shared" si="1"/>
        <v>4</v>
      </c>
      <c r="AB31" s="317">
        <f>IF(AREAS((D31,G31,J31,M31,P31,T31))-COUNT(D31,G31,J31,M31,P31,T31)=0,ROUND(AVERAGE(X31,SUM($D31*$E$7,$G31*$H$7,$J31*$K$7,$M31*$N$6,$P31*$Q$6,$T31*$V$6)),0),"")</f>
        <v>65</v>
      </c>
      <c r="AC31" s="291">
        <f t="shared" si="2"/>
        <v>3</v>
      </c>
      <c r="AD31" s="551"/>
      <c r="AE31" s="307">
        <f t="shared" si="3"/>
        <v>3</v>
      </c>
      <c r="AF31" s="277" t="str">
        <f>IF(AREAS((E31,H31,K31,N31,Q31,V31))-COUNT(E31,H31,K31,N31,Q31,V31)=0,ROUND(AVERAGE(X31,AB31,SUM($E31*$E$7,$H31*$H$7,$K31*$K$7,$N31*$N$6,$Q31*$Q$6,$V31*$V$6)),0),"")</f>
        <v/>
      </c>
      <c r="AG31" s="105" t="str">
        <f t="shared" si="4"/>
        <v/>
      </c>
      <c r="AH31" s="313">
        <v>4</v>
      </c>
      <c r="AI31" s="298" t="str">
        <f t="shared" si="5"/>
        <v/>
      </c>
      <c r="AO31" s="148"/>
      <c r="AP31" s="148"/>
      <c r="AQ31" s="148"/>
      <c r="AR31" s="148"/>
    </row>
    <row r="32" spans="1:44" ht="13.5" customHeight="1" thickBot="1" x14ac:dyDescent="0.3">
      <c r="A32" s="150">
        <v>24</v>
      </c>
      <c r="B32" s="230" t="s">
        <v>110</v>
      </c>
      <c r="C32" s="244">
        <f>IF(Oralidade!R31="","",Oralidade!R31)</f>
        <v>70</v>
      </c>
      <c r="D32" s="245">
        <f>IF(Oralidade!AC31="","",Oralidade!AC31)</f>
        <v>80</v>
      </c>
      <c r="E32" s="254" t="str">
        <f>IF(Oralidade!AN31="","",Oralidade!AN31)</f>
        <v/>
      </c>
      <c r="F32" s="265">
        <f>IF(Leitura!N31="","",Leitura!N31)</f>
        <v>40</v>
      </c>
      <c r="G32" s="245">
        <f>IF(Leitura!V31="","",Leitura!V31)</f>
        <v>60</v>
      </c>
      <c r="H32" s="254" t="str">
        <f>IF(Leitura!AD31="","",Leitura!AD31)</f>
        <v/>
      </c>
      <c r="I32" s="265">
        <f>IF(Leitura!O31="","",Leitura!O31)</f>
        <v>70</v>
      </c>
      <c r="J32" s="245">
        <f>IF(Leitura!W31="","",Leitura!W31)</f>
        <v>80</v>
      </c>
      <c r="K32" s="254" t="str">
        <f>IF(Leitura!AE31="","",Leitura!AE31)</f>
        <v/>
      </c>
      <c r="L32" s="265">
        <f>IF('Ed. Literária'!V31="","",'Ed. Literária'!V31)</f>
        <v>66</v>
      </c>
      <c r="M32" s="265">
        <f>IF('Ed. Literária'!AK31="","",'Ed. Literária'!AK31)</f>
        <v>43</v>
      </c>
      <c r="N32" s="265" t="str">
        <f>IF('Ed. Literária'!AZ31="","",'Ed. Literária'!AZ31)</f>
        <v/>
      </c>
      <c r="O32" s="265">
        <f>IF(Gramática!O31="","",Gramática!O31)</f>
        <v>36</v>
      </c>
      <c r="P32" s="265">
        <f>IF(Gramática!W31="","",Gramática!W31)</f>
        <v>35</v>
      </c>
      <c r="Q32" s="265" t="str">
        <f>IF(Gramática!AE31="","",Gramática!AE31)</f>
        <v/>
      </c>
      <c r="R32" s="393">
        <f>IF(Escrita!P31="","",Escrita!P31)</f>
        <v>55</v>
      </c>
      <c r="S32" s="394"/>
      <c r="T32" s="419">
        <f>IF(Escrita!Y31="","",Escrita!Y31)</f>
        <v>60</v>
      </c>
      <c r="U32" s="394"/>
      <c r="V32" s="419" t="str">
        <f>IF(Escrita!AH31="","",Escrita!AH31)</f>
        <v/>
      </c>
      <c r="W32" s="421"/>
      <c r="X32" s="295">
        <f>IF(AREAS((C32,F32,I32,L32,O32,R32))-COUNT(C32,F32,I32,L32,O32,R32)=0,ROUND(SUM($C32*$E$7,$F32*$H$7,$I32*$K$7,$L32*$N$6,$O32*$Q$6,$R32*$V$6),0),"")</f>
        <v>57</v>
      </c>
      <c r="Y32" s="104">
        <f t="shared" si="0"/>
        <v>3</v>
      </c>
      <c r="Z32" s="303">
        <v>3</v>
      </c>
      <c r="AA32" s="280">
        <f t="shared" si="1"/>
        <v>3</v>
      </c>
      <c r="AB32" s="558">
        <f>IF(AREAS((D32,G32,J32,M32,P32,T32))-COUNT(D32,G32,J32,M32,P32,T32)=0,ROUND(AVERAGE(X32,SUM($D32*$E$7,$G32*$H$7,$J32*$K$7,$M32*$N$6,$P32*$Q$6,$T32*$V$6)),0),"")</f>
        <v>57</v>
      </c>
      <c r="AC32" s="290">
        <f t="shared" si="2"/>
        <v>3</v>
      </c>
      <c r="AD32" s="550"/>
      <c r="AE32" s="306">
        <f t="shared" si="3"/>
        <v>3</v>
      </c>
      <c r="AF32" s="276" t="str">
        <f>IF(AREAS((E32,H32,K32,N32,Q32,V32))-COUNT(E32,H32,K32,N32,Q32,V32)=0,ROUND(AVERAGE(X32,AB32,SUM($E32*$E$7,$H32*$H$7,$K32*$K$7,$N32*$N$6,$Q32*$Q$6,$V32*$V$6)),0),"")</f>
        <v/>
      </c>
      <c r="AG32" s="104" t="str">
        <f t="shared" si="4"/>
        <v/>
      </c>
      <c r="AH32" s="312">
        <v>3</v>
      </c>
      <c r="AI32" s="297" t="str">
        <f t="shared" si="5"/>
        <v/>
      </c>
    </row>
    <row r="33" spans="1:35" ht="13.5" customHeight="1" thickBot="1" x14ac:dyDescent="0.3">
      <c r="A33" s="151">
        <v>25</v>
      </c>
      <c r="B33" s="231" t="s">
        <v>111</v>
      </c>
      <c r="C33" s="246">
        <f>IF(Oralidade!R32="","",Oralidade!R32)</f>
        <v>100</v>
      </c>
      <c r="D33" s="247">
        <f>IF(Oralidade!AC32="","",Oralidade!AC32)</f>
        <v>85</v>
      </c>
      <c r="E33" s="255" t="str">
        <f>IF(Oralidade!AN32="","",Oralidade!AN32)</f>
        <v/>
      </c>
      <c r="F33" s="266">
        <f>IF(Leitura!N32="","",Leitura!N32)</f>
        <v>90</v>
      </c>
      <c r="G33" s="247">
        <f>IF(Leitura!V32="","",Leitura!V32)</f>
        <v>60</v>
      </c>
      <c r="H33" s="255" t="str">
        <f>IF(Leitura!AD32="","",Leitura!AD32)</f>
        <v/>
      </c>
      <c r="I33" s="266">
        <f>IF(Leitura!O32="","",Leitura!O32)</f>
        <v>75</v>
      </c>
      <c r="J33" s="247">
        <f>IF(Leitura!W32="","",Leitura!W32)</f>
        <v>80</v>
      </c>
      <c r="K33" s="255" t="str">
        <f>IF(Leitura!AE32="","",Leitura!AE32)</f>
        <v/>
      </c>
      <c r="L33" s="266">
        <f>IF('Ed. Literária'!V32="","",'Ed. Literária'!V32)</f>
        <v>99</v>
      </c>
      <c r="M33" s="266">
        <f>IF('Ed. Literária'!AK32="","",'Ed. Literária'!AK32)</f>
        <v>97</v>
      </c>
      <c r="N33" s="266" t="str">
        <f>IF('Ed. Literária'!AZ32="","",'Ed. Literária'!AZ32)</f>
        <v/>
      </c>
      <c r="O33" s="266">
        <f>IF(Gramática!O32="","",Gramática!O32)</f>
        <v>92</v>
      </c>
      <c r="P33" s="266">
        <f>IF(Gramática!W32="","",Gramática!W32)</f>
        <v>85</v>
      </c>
      <c r="Q33" s="266" t="str">
        <f>IF(Gramática!AE32="","",Gramática!AE32)</f>
        <v/>
      </c>
      <c r="R33" s="395">
        <f>IF(Escrita!P32="","",Escrita!P32)</f>
        <v>80</v>
      </c>
      <c r="S33" s="396"/>
      <c r="T33" s="418">
        <f>IF(Escrita!Y32="","",Escrita!Y32)</f>
        <v>80</v>
      </c>
      <c r="U33" s="396"/>
      <c r="V33" s="418" t="str">
        <f>IF(Escrita!AH32="","",Escrita!AH32)</f>
        <v/>
      </c>
      <c r="W33" s="420"/>
      <c r="X33" s="103">
        <f>IF(AREAS((C33,F33,I33,L33,O33,R33))-COUNT(C33,F33,I33,L33,O33,R33)=0,ROUND(SUM($C33*$E$7,$F33*$H$7,$I33*$K$7,$L33*$N$6,$O33*$Q$6,$R33*$V$6),0),"")</f>
        <v>91</v>
      </c>
      <c r="Y33" s="105">
        <f t="shared" si="0"/>
        <v>5</v>
      </c>
      <c r="Z33" s="304">
        <v>5</v>
      </c>
      <c r="AA33" s="281">
        <f t="shared" si="1"/>
        <v>5</v>
      </c>
      <c r="AB33" s="317">
        <f>IF(AREAS((D33,G33,J33,M33,P33,T33))-COUNT(D33,G33,J33,M33,P33,T33)=0,ROUND(AVERAGE(X33,SUM($D33*$E$7,$G33*$H$7,$J33*$K$7,$M33*$N$6,$P33*$Q$6,$T33*$V$6)),0),"")</f>
        <v>88</v>
      </c>
      <c r="AC33" s="291">
        <f t="shared" si="2"/>
        <v>4</v>
      </c>
      <c r="AD33" s="551"/>
      <c r="AE33" s="307">
        <f t="shared" si="3"/>
        <v>4</v>
      </c>
      <c r="AF33" s="277" t="str">
        <f>IF(AREAS((E33,H33,K33,N33,Q33,V33))-COUNT(E33,H33,K33,N33,Q33,V33)=0,ROUND(AVERAGE(X33,AB33,SUM($E33*$E$7,$H33*$H$7,$K33*$K$7,$N33*$N$6,$Q33*$Q$6,$V33*$V$6)),0),"")</f>
        <v/>
      </c>
      <c r="AG33" s="105" t="str">
        <f t="shared" si="4"/>
        <v/>
      </c>
      <c r="AH33" s="313">
        <v>5</v>
      </c>
      <c r="AI33" s="298" t="str">
        <f t="shared" si="5"/>
        <v/>
      </c>
    </row>
    <row r="34" spans="1:35" ht="13.5" customHeight="1" thickBot="1" x14ac:dyDescent="0.3">
      <c r="A34" s="150">
        <v>26</v>
      </c>
      <c r="B34" s="230" t="s">
        <v>112</v>
      </c>
      <c r="C34" s="244">
        <f>IF(Oralidade!R33="","",Oralidade!R33)</f>
        <v>30</v>
      </c>
      <c r="D34" s="245">
        <f>IF(Oralidade!AC33="","",Oralidade!AC33)</f>
        <v>75</v>
      </c>
      <c r="E34" s="254" t="str">
        <f>IF(Oralidade!AN33="","",Oralidade!AN33)</f>
        <v/>
      </c>
      <c r="F34" s="265">
        <f>IF(Leitura!N33="","",Leitura!N33)</f>
        <v>60</v>
      </c>
      <c r="G34" s="245">
        <f>IF(Leitura!V33="","",Leitura!V33)</f>
        <v>40</v>
      </c>
      <c r="H34" s="254" t="str">
        <f>IF(Leitura!AD33="","",Leitura!AD33)</f>
        <v/>
      </c>
      <c r="I34" s="265">
        <f>IF(Leitura!O33="","",Leitura!O33)</f>
        <v>75</v>
      </c>
      <c r="J34" s="245">
        <f>IF(Leitura!W33="","",Leitura!W33)</f>
        <v>70</v>
      </c>
      <c r="K34" s="254" t="str">
        <f>IF(Leitura!AE33="","",Leitura!AE33)</f>
        <v/>
      </c>
      <c r="L34" s="265">
        <f>IF('Ed. Literária'!V33="","",'Ed. Literária'!V33)</f>
        <v>83</v>
      </c>
      <c r="M34" s="265">
        <f>IF('Ed. Literária'!AK33="","",'Ed. Literária'!AK33)</f>
        <v>90</v>
      </c>
      <c r="N34" s="265" t="str">
        <f>IF('Ed. Literária'!AZ33="","",'Ed. Literária'!AZ33)</f>
        <v/>
      </c>
      <c r="O34" s="265">
        <f>IF(Gramática!O33="","",Gramática!O33)</f>
        <v>92</v>
      </c>
      <c r="P34" s="265">
        <f>IF(Gramática!W33="","",Gramática!W33)</f>
        <v>65</v>
      </c>
      <c r="Q34" s="265" t="str">
        <f>IF(Gramática!AE33="","",Gramática!AE33)</f>
        <v/>
      </c>
      <c r="R34" s="393">
        <f>IF(Escrita!P33="","",Escrita!P33)</f>
        <v>80</v>
      </c>
      <c r="S34" s="394"/>
      <c r="T34" s="419">
        <f>IF(Escrita!Y33="","",Escrita!Y33)</f>
        <v>70</v>
      </c>
      <c r="U34" s="394"/>
      <c r="V34" s="419" t="str">
        <f>IF(Escrita!AH33="","",Escrita!AH33)</f>
        <v/>
      </c>
      <c r="W34" s="421"/>
      <c r="X34" s="295">
        <f>IF(AREAS((C34,F34,I34,L34,O34,R34))-COUNT(C34,F34,I34,L34,O34,R34)=0,ROUND(SUM($C34*$E$7,$F34*$H$7,$I34*$K$7,$L34*$N$6,$O34*$Q$6,$R34*$V$6),0),"")</f>
        <v>70</v>
      </c>
      <c r="Y34" s="104">
        <f t="shared" si="0"/>
        <v>4</v>
      </c>
      <c r="Z34" s="303">
        <v>4</v>
      </c>
      <c r="AA34" s="283">
        <f t="shared" si="1"/>
        <v>4</v>
      </c>
      <c r="AB34" s="558">
        <f>IF(AREAS((D34,G34,J34,M34,P34,T34))-COUNT(D34,G34,J34,M34,P34,T34)=0,ROUND(AVERAGE(X34,SUM($D34*$E$7,$G34*$H$7,$J34*$K$7,$M34*$N$6,$P34*$Q$6,$T34*$V$6)),0),"")</f>
        <v>71</v>
      </c>
      <c r="AC34" s="290">
        <f t="shared" si="2"/>
        <v>4</v>
      </c>
      <c r="AD34" s="550"/>
      <c r="AE34" s="306">
        <f t="shared" si="3"/>
        <v>4</v>
      </c>
      <c r="AF34" s="276" t="str">
        <f>IF(AREAS((E34,H34,K34,N34,Q34,V34))-COUNT(E34,H34,K34,N34,Q34,V34)=0,ROUND(AVERAGE(X34,AB34,SUM($E34*$E$7,$H34*$H$7,$K34*$K$7,$N34*$N$6,$Q34*$Q$6,$V34*$V$6)),0),"")</f>
        <v/>
      </c>
      <c r="AG34" s="104" t="str">
        <f t="shared" si="4"/>
        <v/>
      </c>
      <c r="AH34" s="312">
        <v>4</v>
      </c>
      <c r="AI34" s="297" t="str">
        <f t="shared" si="5"/>
        <v/>
      </c>
    </row>
    <row r="35" spans="1:35" ht="13.5" customHeight="1" thickBot="1" x14ac:dyDescent="0.3">
      <c r="A35" s="154">
        <v>27</v>
      </c>
      <c r="B35" s="232"/>
      <c r="C35" s="248" t="str">
        <f>IF(Oralidade!R34="","",Oralidade!R34)</f>
        <v/>
      </c>
      <c r="D35" s="249" t="str">
        <f>IF(Oralidade!AC34="","",Oralidade!AC34)</f>
        <v/>
      </c>
      <c r="E35" s="256" t="str">
        <f>IF(Oralidade!AN34="","",Oralidade!AN34)</f>
        <v/>
      </c>
      <c r="F35" s="267" t="str">
        <f>IF(Leitura!N34="","",Leitura!N34)</f>
        <v/>
      </c>
      <c r="G35" s="249" t="str">
        <f>IF(Leitura!V34="","",Leitura!V34)</f>
        <v/>
      </c>
      <c r="H35" s="256" t="str">
        <f>IF(Leitura!AD34="","",Leitura!AD34)</f>
        <v/>
      </c>
      <c r="I35" s="267" t="str">
        <f>IF(Leitura!O34="","",Leitura!O34)</f>
        <v/>
      </c>
      <c r="J35" s="249" t="str">
        <f>IF(Leitura!W34="","",Leitura!W34)</f>
        <v/>
      </c>
      <c r="K35" s="256" t="str">
        <f>IF(Leitura!AE34="","",Leitura!AE34)</f>
        <v/>
      </c>
      <c r="L35" s="267" t="str">
        <f>IF('Ed. Literária'!V34="","",'Ed. Literária'!V34)</f>
        <v/>
      </c>
      <c r="M35" s="267" t="str">
        <f>IF('Ed. Literária'!AK34="","",'Ed. Literária'!AK34)</f>
        <v/>
      </c>
      <c r="N35" s="267" t="str">
        <f>IF('Ed. Literária'!AZ34="","",'Ed. Literária'!AZ34)</f>
        <v/>
      </c>
      <c r="O35" s="267" t="str">
        <f>IF(Gramática!O34="","",Gramática!O34)</f>
        <v/>
      </c>
      <c r="P35" s="267" t="str">
        <f>IF(Gramática!W34="","",Gramática!W34)</f>
        <v/>
      </c>
      <c r="Q35" s="267" t="str">
        <f>IF(Gramática!AE34="","",Gramática!AE34)</f>
        <v/>
      </c>
      <c r="R35" s="434" t="str">
        <f>IF(Escrita!P34="","",Escrita!P34)</f>
        <v/>
      </c>
      <c r="S35" s="435"/>
      <c r="T35" s="436" t="str">
        <f>IF(Escrita!Y34="","",Escrita!Y34)</f>
        <v/>
      </c>
      <c r="U35" s="435"/>
      <c r="V35" s="436" t="str">
        <f>IF(Escrita!AH34="","",Escrita!AH34)</f>
        <v/>
      </c>
      <c r="W35" s="437"/>
      <c r="X35" s="103" t="str">
        <f>IF(AREAS((C35,F35,I35,L35,O35,R35))-COUNT(C35,F35,I35,L35,O35,R35)=0,ROUND(SUM($C35*$E$7,$F35*$H$7,$I35*$K$7,$L35*$N$6,$O35*$Q$6,$R35*$V$6),0),"")</f>
        <v/>
      </c>
      <c r="Y35" s="155" t="str">
        <f t="shared" si="0"/>
        <v/>
      </c>
      <c r="Z35" s="555"/>
      <c r="AA35" s="286"/>
      <c r="AB35" s="317" t="str">
        <f>IF(AREAS((D35,G35,J35,M35,P35,T35))-COUNT(D35,G35,J35,M35,P35,T35)=0,ROUND(AVERAGE(X35,SUM($D35*$E$7,$G35*$H$7,$J35*$K$7,$M35*$N$6,$P35*$Q$6,$T35*$V$6)),0),"")</f>
        <v/>
      </c>
      <c r="AC35" s="292" t="str">
        <f t="shared" si="2"/>
        <v/>
      </c>
      <c r="AD35" s="552"/>
      <c r="AE35" s="308" t="str">
        <f t="shared" si="3"/>
        <v/>
      </c>
      <c r="AF35" s="319" t="str">
        <f>IF(AREAS((E35,H35,K35,N35,Q35,V35))-COUNT(E35,H35,K35,N35,Q35,V35)=0,ROUND(AVERAGE(X35,AB35,SUM($E35*$E$7,$H35*$H$7,$K35*$K$7,$N35*$N$6,$Q35*$Q$6,$V35*$V$6)),0),"")</f>
        <v/>
      </c>
      <c r="AG35" s="155" t="str">
        <f t="shared" si="4"/>
        <v/>
      </c>
      <c r="AH35" s="314"/>
      <c r="AI35" s="299" t="str">
        <f t="shared" si="5"/>
        <v/>
      </c>
    </row>
    <row r="36" spans="1:35" ht="13.5" customHeight="1" thickBot="1" x14ac:dyDescent="0.3">
      <c r="A36" s="158">
        <v>28</v>
      </c>
      <c r="B36" s="233" t="s">
        <v>68</v>
      </c>
      <c r="C36" s="244" t="str">
        <f>IF(Oralidade!R35="","",Oralidade!R35)</f>
        <v/>
      </c>
      <c r="D36" s="245" t="str">
        <f>IF(Oralidade!AC35="","",Oralidade!AC35)</f>
        <v/>
      </c>
      <c r="E36" s="254" t="str">
        <f>IF(Oralidade!AN35="","",Oralidade!AN35)</f>
        <v/>
      </c>
      <c r="F36" s="265" t="str">
        <f>IF(Leitura!N35="","",Leitura!N35)</f>
        <v/>
      </c>
      <c r="G36" s="245" t="str">
        <f>IF(Leitura!V35="","",Leitura!V35)</f>
        <v/>
      </c>
      <c r="H36" s="254" t="str">
        <f>IF(Leitura!AD35="","",Leitura!AD35)</f>
        <v/>
      </c>
      <c r="I36" s="265" t="str">
        <f>IF(Leitura!O35="","",Leitura!O35)</f>
        <v/>
      </c>
      <c r="J36" s="245" t="str">
        <f>IF(Leitura!W35="","",Leitura!W35)</f>
        <v/>
      </c>
      <c r="K36" s="254" t="str">
        <f>IF(Leitura!AE35="","",Leitura!AE35)</f>
        <v/>
      </c>
      <c r="L36" s="265" t="str">
        <f>IF('Ed. Literária'!V35="","",'Ed. Literária'!V35)</f>
        <v/>
      </c>
      <c r="M36" s="265" t="str">
        <f>IF('Ed. Literária'!AK35="","",'Ed. Literária'!AK35)</f>
        <v/>
      </c>
      <c r="N36" s="265" t="str">
        <f>IF('Ed. Literária'!AZ35="","",'Ed. Literária'!AZ35)</f>
        <v/>
      </c>
      <c r="O36" s="265" t="str">
        <f>IF(Gramática!O35="","",Gramática!O35)</f>
        <v/>
      </c>
      <c r="P36" s="265" t="str">
        <f>IF(Gramática!W35="","",Gramática!W35)</f>
        <v/>
      </c>
      <c r="Q36" s="265" t="str">
        <f>IF(Gramática!AE35="","",Gramática!AE35)</f>
        <v/>
      </c>
      <c r="R36" s="438" t="str">
        <f>IF(Escrita!P35="","",Escrita!P35)</f>
        <v/>
      </c>
      <c r="S36" s="439"/>
      <c r="T36" s="440" t="str">
        <f>IF(Escrita!Y35="","",Escrita!Y35)</f>
        <v/>
      </c>
      <c r="U36" s="439"/>
      <c r="V36" s="440" t="str">
        <f>IF(Escrita!AH35="","",Escrita!AH35)</f>
        <v/>
      </c>
      <c r="W36" s="441"/>
      <c r="X36" s="295" t="str">
        <f>IF(AREAS((C36,F36,I36,L36,O36,R36))-COUNT(C36,F36,I36,L36,O36,R36)=0,ROUND(SUM($C36*$E$7,$F36*$H$7,$I36*$K$7,$L36*$N$6,$O36*$Q$6,$R36*$V$6),0),"")</f>
        <v/>
      </c>
      <c r="Y36" s="159" t="str">
        <f t="shared" si="0"/>
        <v/>
      </c>
      <c r="Z36" s="556"/>
      <c r="AA36" s="287"/>
      <c r="AB36" s="558" t="str">
        <f>IF(AREAS((D36,G36,J36,M36,P36,T36))-COUNT(D36,G36,J36,M36,P36,T36)=0,ROUND(AVERAGE(X36,SUM($D36*$E$7,$G36*$H$7,$J36*$K$7,$M36*$N$6,$P36*$Q$6,$T36*$V$6)),0),"")</f>
        <v/>
      </c>
      <c r="AC36" s="293" t="str">
        <f t="shared" si="2"/>
        <v/>
      </c>
      <c r="AD36" s="553"/>
      <c r="AE36" s="309" t="str">
        <f t="shared" si="3"/>
        <v/>
      </c>
      <c r="AF36" s="320" t="str">
        <f>IF(AREAS((E36,H36,K36,N36,Q36,V36))-COUNT(E36,H36,K36,N36,Q36,V36)=0,ROUND(AVERAGE(X36,AB36,SUM($E36*$E$7,$H36*$H$7,$K36*$K$7,$N36*$N$6,$Q36*$Q$6,$V36*$V$6)),0),"")</f>
        <v/>
      </c>
      <c r="AG36" s="159" t="str">
        <f t="shared" si="4"/>
        <v/>
      </c>
      <c r="AH36" s="315"/>
      <c r="AI36" s="300" t="str">
        <f t="shared" si="5"/>
        <v/>
      </c>
    </row>
    <row r="37" spans="1:35" ht="13.5" customHeight="1" thickBot="1" x14ac:dyDescent="0.3">
      <c r="A37" s="156">
        <v>29</v>
      </c>
      <c r="B37" s="234"/>
      <c r="C37" s="250" t="str">
        <f>IF(Oralidade!R36="","",Oralidade!R36)</f>
        <v/>
      </c>
      <c r="D37" s="251" t="str">
        <f>IF(Oralidade!AC36="","",Oralidade!AC36)</f>
        <v/>
      </c>
      <c r="E37" s="257" t="str">
        <f>IF(Oralidade!AN36="","",Oralidade!AN36)</f>
        <v/>
      </c>
      <c r="F37" s="268" t="str">
        <f>IF(Leitura!N36="","",Leitura!N36)</f>
        <v/>
      </c>
      <c r="G37" s="251" t="str">
        <f>IF(Leitura!V36="","",Leitura!V36)</f>
        <v/>
      </c>
      <c r="H37" s="257" t="str">
        <f>IF(Leitura!AD36="","",Leitura!AD36)</f>
        <v/>
      </c>
      <c r="I37" s="268" t="str">
        <f>IF(Leitura!O36="","",Leitura!O36)</f>
        <v/>
      </c>
      <c r="J37" s="251" t="str">
        <f>IF(Leitura!W36="","",Leitura!W36)</f>
        <v/>
      </c>
      <c r="K37" s="257" t="str">
        <f>IF(Leitura!AE36="","",Leitura!AE36)</f>
        <v/>
      </c>
      <c r="L37" s="268" t="str">
        <f>IF('Ed. Literária'!V36="","",'Ed. Literária'!V36)</f>
        <v/>
      </c>
      <c r="M37" s="268" t="str">
        <f>IF('Ed. Literária'!AK36="","",'Ed. Literária'!AK36)</f>
        <v/>
      </c>
      <c r="N37" s="268" t="str">
        <f>IF('Ed. Literária'!AZ36="","",'Ed. Literária'!AZ36)</f>
        <v/>
      </c>
      <c r="O37" s="268" t="str">
        <f>IF(Gramática!O36="","",Gramática!O36)</f>
        <v/>
      </c>
      <c r="P37" s="268" t="str">
        <f>IF(Gramática!W36="","",Gramática!W36)</f>
        <v/>
      </c>
      <c r="Q37" s="268" t="str">
        <f>IF(Gramática!AE36="","",Gramática!AE36)</f>
        <v/>
      </c>
      <c r="R37" s="442" t="str">
        <f>IF(Escrita!P36="","",Escrita!P36)</f>
        <v/>
      </c>
      <c r="S37" s="443"/>
      <c r="T37" s="444" t="str">
        <f>IF(Escrita!Y36="","",Escrita!Y36)</f>
        <v/>
      </c>
      <c r="U37" s="443"/>
      <c r="V37" s="444" t="str">
        <f>IF(Escrita!AH36="","",Escrita!AH36)</f>
        <v/>
      </c>
      <c r="W37" s="445"/>
      <c r="X37" s="103" t="str">
        <f>IF(AREAS((C37,F37,I37,L37,O37,R37))-COUNT(C37,F37,I37,L37,O37,R37)=0,ROUND(SUM($C37*$E$7,$F37*$H$7,$I37*$K$7,$L37*$N$6,$O37*$Q$6,$R37*$V$6),0),"")</f>
        <v/>
      </c>
      <c r="Y37" s="157" t="str">
        <f t="shared" si="0"/>
        <v/>
      </c>
      <c r="Z37" s="555"/>
      <c r="AA37" s="288"/>
      <c r="AB37" s="317" t="str">
        <f>IF(AREAS((D37,G37,J37,M37,P37,T37))-COUNT(D37,G37,J37,M37,P37,T37)=0,ROUND(AVERAGE(X37,SUM($D37*$E$7,$G37*$H$7,$J37*$K$7,$M37*$N$6,$P37*$Q$6,$T37*$V$6)),0),"")</f>
        <v/>
      </c>
      <c r="AC37" s="294" t="str">
        <f t="shared" si="2"/>
        <v/>
      </c>
      <c r="AD37" s="554"/>
      <c r="AE37" s="310" t="str">
        <f t="shared" si="3"/>
        <v/>
      </c>
      <c r="AF37" s="321" t="str">
        <f>IF(AREAS((E37,H37,K37,N37,Q37,V37))-COUNT(E37,H37,K37,N37,Q37,V37)=0,ROUND(AVERAGE(X37,AB37,SUM($E37*$E$7,$H37*$H$7,$K37*$K$7,$N37*$N$6,$Q37*$Q$6,$V37*$V$6)),0),"")</f>
        <v/>
      </c>
      <c r="AG37" s="157" t="str">
        <f t="shared" si="4"/>
        <v/>
      </c>
      <c r="AH37" s="316"/>
      <c r="AI37" s="301" t="str">
        <f t="shared" si="5"/>
        <v/>
      </c>
    </row>
    <row r="38" spans="1:35" ht="13.5" customHeight="1" x14ac:dyDescent="0.25">
      <c r="A38" s="150">
        <v>30</v>
      </c>
      <c r="B38" s="233" t="s">
        <v>68</v>
      </c>
      <c r="C38" s="244" t="str">
        <f>IF(Oralidade!R37="","",Oralidade!R37)</f>
        <v/>
      </c>
      <c r="D38" s="245" t="str">
        <f>IF(Oralidade!AC37="","",Oralidade!AC37)</f>
        <v/>
      </c>
      <c r="E38" s="254" t="str">
        <f>IF(Oralidade!AN37="","",Oralidade!AN37)</f>
        <v/>
      </c>
      <c r="F38" s="265" t="str">
        <f>IF(Leitura!N37="","",Leitura!N37)</f>
        <v/>
      </c>
      <c r="G38" s="245" t="str">
        <f>IF(Leitura!V37="","",Leitura!V37)</f>
        <v/>
      </c>
      <c r="H38" s="254" t="str">
        <f>IF(Leitura!AD37="","",Leitura!AD37)</f>
        <v/>
      </c>
      <c r="I38" s="265" t="str">
        <f>IF(Leitura!O37="","",Leitura!O37)</f>
        <v/>
      </c>
      <c r="J38" s="245" t="str">
        <f>IF(Leitura!W37="","",Leitura!W37)</f>
        <v/>
      </c>
      <c r="K38" s="254" t="str">
        <f>IF(Leitura!AE37="","",Leitura!AE37)</f>
        <v/>
      </c>
      <c r="L38" s="265" t="str">
        <f>IF('Ed. Literária'!V37="","",'Ed. Literária'!V37)</f>
        <v/>
      </c>
      <c r="M38" s="265" t="str">
        <f>IF('Ed. Literária'!AK37="","",'Ed. Literária'!AK37)</f>
        <v/>
      </c>
      <c r="N38" s="265" t="str">
        <f>IF('Ed. Literária'!AZ37="","",'Ed. Literária'!AZ37)</f>
        <v/>
      </c>
      <c r="O38" s="265" t="str">
        <f>IF(Gramática!O37="","",Gramática!O37)</f>
        <v/>
      </c>
      <c r="P38" s="265" t="str">
        <f>IF(Gramática!W37="","",Gramática!W37)</f>
        <v/>
      </c>
      <c r="Q38" s="265" t="str">
        <f>IF(Gramática!AE37="","",Gramática!AE37)</f>
        <v/>
      </c>
      <c r="R38" s="393" t="str">
        <f>IF(Escrita!P37="","",Escrita!P37)</f>
        <v/>
      </c>
      <c r="S38" s="394"/>
      <c r="T38" s="419" t="str">
        <f>IF(Escrita!Y37="","",Escrita!Y37)</f>
        <v/>
      </c>
      <c r="U38" s="394"/>
      <c r="V38" s="419" t="str">
        <f>IF(Escrita!AH37="","",Escrita!AH37)</f>
        <v/>
      </c>
      <c r="W38" s="421"/>
      <c r="X38" s="295" t="str">
        <f>IF(AREAS((C38,F38,I38,L38,O38,R38))-COUNT(C38,F38,I38,L38,O38,R38)=0,ROUND(SUM($C38*$E$7,$F38*$H$7,$I38*$K$7,$L38*$N$6,$O38*$Q$6,$R38*$V$6),0),"")</f>
        <v/>
      </c>
      <c r="Y38" s="104" t="str">
        <f t="shared" si="0"/>
        <v/>
      </c>
      <c r="Z38" s="557"/>
      <c r="AA38" s="287"/>
      <c r="AB38" s="558" t="str">
        <f>IF(AREAS((D38,G38,J38,M38,P38,T38))-COUNT(D38,G38,J38,M38,P38,T38)=0,ROUND(AVERAGE(X38,SUM($D38*$E$7,$G38*$H$7,$J38*$K$7,$M38*$N$6,$P38*$Q$6,$T38*$V$6)),0),"")</f>
        <v/>
      </c>
      <c r="AC38" s="290" t="str">
        <f t="shared" si="2"/>
        <v/>
      </c>
      <c r="AD38" s="550"/>
      <c r="AE38" s="306" t="str">
        <f t="shared" si="3"/>
        <v/>
      </c>
      <c r="AF38" s="276" t="str">
        <f>IF(AREAS((E38,H38,K38,N38,Q38,V38))-COUNT(E38,H38,K38,N38,Q38,V38)=0,ROUND(AVERAGE(X38,AB38,SUM($E38*$E$7,$H38*$H$7,$K38*$K$7,$N38*$N$6,$Q38*$Q$6,$V38*$V$6)),0),"")</f>
        <v/>
      </c>
      <c r="AG38" s="104" t="str">
        <f t="shared" si="4"/>
        <v/>
      </c>
      <c r="AH38" s="312"/>
      <c r="AI38" s="297" t="str">
        <f t="shared" si="5"/>
        <v/>
      </c>
    </row>
    <row r="39" spans="1:35" ht="15.75" thickBot="1" x14ac:dyDescent="0.3">
      <c r="B39" s="235"/>
    </row>
    <row r="40" spans="1:35" ht="15.75" thickBot="1" x14ac:dyDescent="0.3">
      <c r="B40" s="235"/>
      <c r="G40" s="109"/>
      <c r="P40" s="342" t="s">
        <v>14</v>
      </c>
      <c r="Q40" s="343"/>
      <c r="R40" s="343"/>
      <c r="S40" s="343"/>
      <c r="T40" s="344"/>
      <c r="U40" s="342" t="s">
        <v>15</v>
      </c>
      <c r="V40" s="343"/>
      <c r="W40" s="343"/>
      <c r="X40" s="343"/>
      <c r="Y40" s="344"/>
      <c r="Z40" s="236"/>
      <c r="AA40" s="342" t="s">
        <v>16</v>
      </c>
      <c r="AB40" s="343"/>
      <c r="AC40" s="343"/>
      <c r="AD40" s="343"/>
      <c r="AE40" s="344"/>
      <c r="AF40"/>
      <c r="AG40"/>
      <c r="AH40"/>
      <c r="AI40"/>
    </row>
    <row r="41" spans="1:35" x14ac:dyDescent="0.25">
      <c r="B41" s="235"/>
      <c r="G41" s="109"/>
      <c r="P41" s="361" t="s">
        <v>20</v>
      </c>
      <c r="Q41" s="362"/>
      <c r="R41" s="346">
        <v>53</v>
      </c>
      <c r="S41" s="347"/>
      <c r="T41" s="348"/>
      <c r="U41" s="332" t="s">
        <v>20</v>
      </c>
      <c r="V41" s="428"/>
      <c r="W41" s="333"/>
      <c r="X41" s="423"/>
      <c r="Y41" s="424"/>
      <c r="Z41" s="237"/>
      <c r="AA41" s="332" t="s">
        <v>20</v>
      </c>
      <c r="AB41" s="333"/>
      <c r="AC41" s="423"/>
      <c r="AD41" s="428"/>
      <c r="AE41" s="424"/>
      <c r="AF41"/>
      <c r="AG41"/>
      <c r="AH41"/>
      <c r="AI41"/>
    </row>
    <row r="42" spans="1:35" x14ac:dyDescent="0.25">
      <c r="P42" s="357" t="s">
        <v>21</v>
      </c>
      <c r="Q42" s="358"/>
      <c r="R42" s="349">
        <v>53</v>
      </c>
      <c r="S42" s="350"/>
      <c r="T42" s="351"/>
      <c r="U42" s="334" t="s">
        <v>21</v>
      </c>
      <c r="V42" s="337"/>
      <c r="W42" s="335"/>
      <c r="X42" s="425"/>
      <c r="Y42" s="426"/>
      <c r="Z42" s="238"/>
      <c r="AA42" s="334" t="s">
        <v>21</v>
      </c>
      <c r="AB42" s="335"/>
      <c r="AC42" s="425"/>
      <c r="AD42" s="337"/>
      <c r="AE42" s="426"/>
      <c r="AF42"/>
      <c r="AG42"/>
      <c r="AH42"/>
      <c r="AI42"/>
    </row>
    <row r="43" spans="1:35" x14ac:dyDescent="0.25">
      <c r="P43" s="357" t="s">
        <v>22</v>
      </c>
      <c r="Q43" s="358"/>
      <c r="R43" s="352" t="str">
        <f>CONCATENATE(IF(SUM(R44:T48)&gt;0,FIXED(100*SUM(R46:T48)/SUM(R44:T48)),0), "%")</f>
        <v>92,31%</v>
      </c>
      <c r="S43" s="352"/>
      <c r="T43" s="352"/>
      <c r="U43" s="334" t="s">
        <v>22</v>
      </c>
      <c r="V43" s="337"/>
      <c r="W43" s="335"/>
      <c r="X43" s="427" t="str">
        <f>CONCATENATE(IF(SUM(X44:Y48)&gt;0,FIXED(100*SUM(X46:Y48)/SUM(X44:Y48)),0), "%")</f>
        <v>88,46%</v>
      </c>
      <c r="Y43" s="328"/>
      <c r="Z43" s="238"/>
      <c r="AA43" s="334" t="s">
        <v>22</v>
      </c>
      <c r="AB43" s="335"/>
      <c r="AC43" s="429" t="str">
        <f>CONCATENATE(IF(SUM(AC44:AE48)&gt;0,FIXED(100*SUM(AC46:AE48)/SUM(AC44:AE48)),0), "%")</f>
        <v>0%</v>
      </c>
      <c r="AD43" s="430"/>
      <c r="AE43" s="431"/>
      <c r="AF43"/>
      <c r="AG43"/>
      <c r="AH43"/>
      <c r="AI43"/>
    </row>
    <row r="44" spans="1:35" x14ac:dyDescent="0.25">
      <c r="P44" s="357" t="s">
        <v>86</v>
      </c>
      <c r="Q44" s="358"/>
      <c r="R44" s="353">
        <f>COUNTIF(AA9:AA38,"1")</f>
        <v>0</v>
      </c>
      <c r="S44" s="354"/>
      <c r="T44" s="355"/>
      <c r="U44" s="334" t="s">
        <v>86</v>
      </c>
      <c r="V44" s="337"/>
      <c r="W44" s="335"/>
      <c r="X44" s="326">
        <f>COUNTIF(AE9:AE38,"1")</f>
        <v>0</v>
      </c>
      <c r="Y44" s="328"/>
      <c r="Z44" s="238"/>
      <c r="AA44" s="334" t="s">
        <v>86</v>
      </c>
      <c r="AB44" s="335"/>
      <c r="AC44" s="326">
        <f>COUNTIF(AI9:AI38,"1")</f>
        <v>0</v>
      </c>
      <c r="AD44" s="327"/>
      <c r="AE44" s="328"/>
      <c r="AF44"/>
      <c r="AG44"/>
      <c r="AH44"/>
      <c r="AI44"/>
    </row>
    <row r="45" spans="1:35" x14ac:dyDescent="0.25">
      <c r="P45" s="357" t="s">
        <v>23</v>
      </c>
      <c r="Q45" s="358"/>
      <c r="R45" s="356">
        <f>COUNTIF(AA9:AA38,"2")</f>
        <v>2</v>
      </c>
      <c r="S45" s="354"/>
      <c r="T45" s="355"/>
      <c r="U45" s="334" t="s">
        <v>23</v>
      </c>
      <c r="V45" s="337"/>
      <c r="W45" s="335"/>
      <c r="X45" s="326">
        <f>COUNTIF(AE9:AE38,"2")</f>
        <v>3</v>
      </c>
      <c r="Y45" s="328"/>
      <c r="Z45" s="238"/>
      <c r="AA45" s="334" t="s">
        <v>23</v>
      </c>
      <c r="AB45" s="335"/>
      <c r="AC45" s="326">
        <f>COUNTIF(AI9:AI38,"2")</f>
        <v>0</v>
      </c>
      <c r="AD45" s="327"/>
      <c r="AE45" s="328"/>
      <c r="AF45"/>
      <c r="AG45"/>
      <c r="AH45"/>
      <c r="AI45"/>
    </row>
    <row r="46" spans="1:35" x14ac:dyDescent="0.25">
      <c r="P46" s="357" t="s">
        <v>24</v>
      </c>
      <c r="Q46" s="358"/>
      <c r="R46" s="356">
        <f>COUNTIF(AA9:AA38,"3")</f>
        <v>13</v>
      </c>
      <c r="S46" s="354"/>
      <c r="T46" s="355"/>
      <c r="U46" s="334" t="s">
        <v>24</v>
      </c>
      <c r="V46" s="337"/>
      <c r="W46" s="335"/>
      <c r="X46" s="326">
        <f>COUNTIF(AE9:AE38,"3")</f>
        <v>14</v>
      </c>
      <c r="Y46" s="328"/>
      <c r="Z46" s="238"/>
      <c r="AA46" s="334" t="s">
        <v>24</v>
      </c>
      <c r="AB46" s="335"/>
      <c r="AC46" s="326">
        <f>COUNTIF(AI9:AI38,"3")</f>
        <v>0</v>
      </c>
      <c r="AD46" s="327"/>
      <c r="AE46" s="328"/>
      <c r="AF46"/>
      <c r="AG46"/>
      <c r="AH46"/>
      <c r="AI46"/>
    </row>
    <row r="47" spans="1:35" x14ac:dyDescent="0.25">
      <c r="P47" s="359" t="s">
        <v>25</v>
      </c>
      <c r="Q47" s="360"/>
      <c r="R47" s="356">
        <f>COUNTIF(AA9:AA38,"4")</f>
        <v>9</v>
      </c>
      <c r="S47" s="354"/>
      <c r="T47" s="355"/>
      <c r="U47" s="334" t="s">
        <v>25</v>
      </c>
      <c r="V47" s="337"/>
      <c r="W47" s="335"/>
      <c r="X47" s="326">
        <f>COUNTIF(AE9:AE38,"4")</f>
        <v>8</v>
      </c>
      <c r="Y47" s="328"/>
      <c r="Z47" s="238"/>
      <c r="AA47" s="334" t="s">
        <v>25</v>
      </c>
      <c r="AB47" s="335"/>
      <c r="AC47" s="326">
        <f>COUNTIF(AI9:AI38,"4")</f>
        <v>0</v>
      </c>
      <c r="AD47" s="327"/>
      <c r="AE47" s="328"/>
      <c r="AF47"/>
      <c r="AG47"/>
      <c r="AH47"/>
      <c r="AI47"/>
    </row>
    <row r="48" spans="1:35" ht="15.75" thickBot="1" x14ac:dyDescent="0.3">
      <c r="P48" s="340" t="s">
        <v>26</v>
      </c>
      <c r="Q48" s="341"/>
      <c r="R48" s="338">
        <f>COUNTIF(AA9:AA38,"5")</f>
        <v>2</v>
      </c>
      <c r="S48" s="345"/>
      <c r="T48" s="339"/>
      <c r="U48" s="324" t="s">
        <v>26</v>
      </c>
      <c r="V48" s="336"/>
      <c r="W48" s="325"/>
      <c r="X48" s="338">
        <f>COUNTIF(AE9:AE38,"5")</f>
        <v>1</v>
      </c>
      <c r="Y48" s="339"/>
      <c r="Z48" s="275"/>
      <c r="AA48" s="324" t="s">
        <v>26</v>
      </c>
      <c r="AB48" s="325"/>
      <c r="AC48" s="329">
        <f>COUNTIF(AI9:AI38,"5")</f>
        <v>0</v>
      </c>
      <c r="AD48" s="330"/>
      <c r="AE48" s="331"/>
      <c r="AF48"/>
    </row>
  </sheetData>
  <sheetProtection algorithmName="SHA-512" hashValue="vY77M7qIAoiX314urlGoi5uF3OhqkULEArw90hkNYx6I5j3JXZ2Ab/5gBkvEFrCtOQKwytlmjx9KOTRWzYC7Zg==" saltValue="oswWRvu4q6fHZihGQDPrWw==" spinCount="100000" sheet="1" objects="1" scenarios="1"/>
  <mergeCells count="172">
    <mergeCell ref="R30:S30"/>
    <mergeCell ref="T30:U30"/>
    <mergeCell ref="V30:W30"/>
    <mergeCell ref="R31:S31"/>
    <mergeCell ref="T31:U31"/>
    <mergeCell ref="V31:W31"/>
    <mergeCell ref="R38:S38"/>
    <mergeCell ref="T38:U38"/>
    <mergeCell ref="V38:W38"/>
    <mergeCell ref="R35:S35"/>
    <mergeCell ref="T35:U35"/>
    <mergeCell ref="V35:W35"/>
    <mergeCell ref="R36:S36"/>
    <mergeCell ref="T36:U36"/>
    <mergeCell ref="V36:W36"/>
    <mergeCell ref="R37:S37"/>
    <mergeCell ref="T37:U37"/>
    <mergeCell ref="V37:W37"/>
    <mergeCell ref="R34:S34"/>
    <mergeCell ref="T34:U34"/>
    <mergeCell ref="V34:W34"/>
    <mergeCell ref="R32:S32"/>
    <mergeCell ref="T32:U32"/>
    <mergeCell ref="V32:W32"/>
    <mergeCell ref="R33:S33"/>
    <mergeCell ref="T33:U33"/>
    <mergeCell ref="V33:W33"/>
    <mergeCell ref="X41:Y41"/>
    <mergeCell ref="X42:Y42"/>
    <mergeCell ref="X43:Y43"/>
    <mergeCell ref="AC41:AE41"/>
    <mergeCell ref="AC42:AE42"/>
    <mergeCell ref="AC43:AE43"/>
    <mergeCell ref="U40:Y40"/>
    <mergeCell ref="AA40:AE40"/>
    <mergeCell ref="U41:W41"/>
    <mergeCell ref="V24:W24"/>
    <mergeCell ref="V25:W25"/>
    <mergeCell ref="V26:W26"/>
    <mergeCell ref="V27:W27"/>
    <mergeCell ref="V28:W28"/>
    <mergeCell ref="T29:U29"/>
    <mergeCell ref="V9:W9"/>
    <mergeCell ref="V10:W10"/>
    <mergeCell ref="V11:W11"/>
    <mergeCell ref="V12:W12"/>
    <mergeCell ref="V13:W13"/>
    <mergeCell ref="V14:W14"/>
    <mergeCell ref="V15:W15"/>
    <mergeCell ref="V16:W16"/>
    <mergeCell ref="V17:W17"/>
    <mergeCell ref="V18:W18"/>
    <mergeCell ref="V19:W19"/>
    <mergeCell ref="V20:W20"/>
    <mergeCell ref="V21:W21"/>
    <mergeCell ref="V22:W22"/>
    <mergeCell ref="V23:W23"/>
    <mergeCell ref="T24:U24"/>
    <mergeCell ref="T25:U25"/>
    <mergeCell ref="T26:U26"/>
    <mergeCell ref="T27:U27"/>
    <mergeCell ref="T28:U28"/>
    <mergeCell ref="V29:W29"/>
    <mergeCell ref="R29:S29"/>
    <mergeCell ref="T9:U9"/>
    <mergeCell ref="T10:U10"/>
    <mergeCell ref="T11:U11"/>
    <mergeCell ref="T12:U12"/>
    <mergeCell ref="T13:U13"/>
    <mergeCell ref="T14:U14"/>
    <mergeCell ref="T15:U15"/>
    <mergeCell ref="T16:U16"/>
    <mergeCell ref="T17:U17"/>
    <mergeCell ref="T18:U18"/>
    <mergeCell ref="T19:U19"/>
    <mergeCell ref="T20:U20"/>
    <mergeCell ref="T21:U21"/>
    <mergeCell ref="T22:U22"/>
    <mergeCell ref="T23:U23"/>
    <mergeCell ref="R24:S24"/>
    <mergeCell ref="R25:S25"/>
    <mergeCell ref="R26:S26"/>
    <mergeCell ref="R27:S27"/>
    <mergeCell ref="R28:S28"/>
    <mergeCell ref="R19:S19"/>
    <mergeCell ref="R20:S20"/>
    <mergeCell ref="R21:S21"/>
    <mergeCell ref="R22:S22"/>
    <mergeCell ref="R23:S23"/>
    <mergeCell ref="R14:S14"/>
    <mergeCell ref="R15:S15"/>
    <mergeCell ref="R16:S16"/>
    <mergeCell ref="R17:S17"/>
    <mergeCell ref="R18:S18"/>
    <mergeCell ref="R9:S9"/>
    <mergeCell ref="R10:S10"/>
    <mergeCell ref="R11:S11"/>
    <mergeCell ref="R12:S12"/>
    <mergeCell ref="R13:S13"/>
    <mergeCell ref="AI6:AI8"/>
    <mergeCell ref="AE6:AE8"/>
    <mergeCell ref="AA6:AA8"/>
    <mergeCell ref="X8:Y8"/>
    <mergeCell ref="AB8:AC8"/>
    <mergeCell ref="AF8:AG8"/>
    <mergeCell ref="R8:S8"/>
    <mergeCell ref="T8:U8"/>
    <mergeCell ref="V8:W8"/>
    <mergeCell ref="Z6:Z8"/>
    <mergeCell ref="X6:Y7"/>
    <mergeCell ref="AB6:AC7"/>
    <mergeCell ref="AF6:AG7"/>
    <mergeCell ref="AD6:AD8"/>
    <mergeCell ref="AH6:AH8"/>
    <mergeCell ref="A1:B2"/>
    <mergeCell ref="C5:AF5"/>
    <mergeCell ref="A6:B6"/>
    <mergeCell ref="L6:M7"/>
    <mergeCell ref="N6:N7"/>
    <mergeCell ref="O6:P7"/>
    <mergeCell ref="Q6:Q7"/>
    <mergeCell ref="R6:U7"/>
    <mergeCell ref="V6:W7"/>
    <mergeCell ref="C7:D7"/>
    <mergeCell ref="F6:J6"/>
    <mergeCell ref="F7:G7"/>
    <mergeCell ref="I7:J7"/>
    <mergeCell ref="C6:E6"/>
    <mergeCell ref="J4:P4"/>
    <mergeCell ref="D1:AJ2"/>
    <mergeCell ref="P48:Q48"/>
    <mergeCell ref="P40:T40"/>
    <mergeCell ref="R48:T48"/>
    <mergeCell ref="R41:T41"/>
    <mergeCell ref="R42:T42"/>
    <mergeCell ref="R43:T43"/>
    <mergeCell ref="R44:T44"/>
    <mergeCell ref="R45:T45"/>
    <mergeCell ref="R46:T46"/>
    <mergeCell ref="R47:T47"/>
    <mergeCell ref="P43:Q43"/>
    <mergeCell ref="P44:Q44"/>
    <mergeCell ref="P45:Q45"/>
    <mergeCell ref="P46:Q46"/>
    <mergeCell ref="P47:Q47"/>
    <mergeCell ref="P41:Q41"/>
    <mergeCell ref="P42:Q42"/>
    <mergeCell ref="U48:W48"/>
    <mergeCell ref="U47:W47"/>
    <mergeCell ref="U46:W46"/>
    <mergeCell ref="U45:W45"/>
    <mergeCell ref="U44:W44"/>
    <mergeCell ref="U43:W43"/>
    <mergeCell ref="U42:W42"/>
    <mergeCell ref="X44:Y44"/>
    <mergeCell ref="X45:Y45"/>
    <mergeCell ref="X46:Y46"/>
    <mergeCell ref="X47:Y47"/>
    <mergeCell ref="X48:Y48"/>
    <mergeCell ref="AA48:AB48"/>
    <mergeCell ref="AC44:AE44"/>
    <mergeCell ref="AC45:AE45"/>
    <mergeCell ref="AC46:AE46"/>
    <mergeCell ref="AC47:AE47"/>
    <mergeCell ref="AC48:AE48"/>
    <mergeCell ref="AA41:AB41"/>
    <mergeCell ref="AA42:AB42"/>
    <mergeCell ref="AA43:AB43"/>
    <mergeCell ref="AA44:AB44"/>
    <mergeCell ref="AA45:AB45"/>
    <mergeCell ref="AA46:AB46"/>
    <mergeCell ref="AA47:AB47"/>
  </mergeCells>
  <conditionalFormatting sqref="G41">
    <cfRule type="cellIs" dxfId="7" priority="16" operator="lessThan">
      <formula>3</formula>
    </cfRule>
  </conditionalFormatting>
  <conditionalFormatting sqref="Y35:Z38 Y9:Y34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9:AD38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G9:AG38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T43">
    <cfRule type="cellIs" dxfId="6" priority="6" operator="greaterThan">
      <formula>50</formula>
    </cfRule>
    <cfRule type="colorScale" priority="7">
      <colorScale>
        <cfvo type="min"/>
        <cfvo type="percentile" val="50"/>
        <cfvo type="max"/>
        <color rgb="FFFF0000"/>
        <color rgb="FFFFEB84"/>
        <color rgb="FF00B050"/>
      </colorScale>
    </cfRule>
    <cfRule type="cellIs" dxfId="5" priority="8" operator="greaterThan">
      <formula>50</formula>
    </cfRule>
    <cfRule type="cellIs" dxfId="4" priority="10" operator="greaterThan">
      <formula>50</formula>
    </cfRule>
  </conditionalFormatting>
  <conditionalFormatting sqref="X43:Y43">
    <cfRule type="cellIs" dxfId="3" priority="2" operator="greaterThan">
      <formula>50</formula>
    </cfRule>
    <cfRule type="colorScale" priority="4">
      <colorScale>
        <cfvo type="percent" val="0"/>
        <cfvo type="percent" val="50"/>
        <cfvo type="percent" val="100"/>
        <color rgb="FFFF0000"/>
        <color rgb="FFFFFF00"/>
        <color rgb="FF00B050"/>
      </colorScale>
    </cfRule>
    <cfRule type="colorScale" priority="5">
      <colorScale>
        <cfvo type="num" val="0"/>
        <cfvo type="percentile" val="50"/>
        <cfvo type="num" val="100"/>
        <color rgb="FFC00000"/>
        <color rgb="FFFFFF00"/>
        <color rgb="FF00B050"/>
      </colorScale>
    </cfRule>
    <cfRule type="cellIs" dxfId="2" priority="9" operator="greaterThan">
      <formula>50</formula>
    </cfRule>
  </conditionalFormatting>
  <conditionalFormatting sqref="AC43:AE43">
    <cfRule type="cellIs" dxfId="1" priority="1" operator="greaterThan">
      <formula>50</formula>
    </cfRule>
    <cfRule type="cellIs" dxfId="0" priority="3" operator="greaterThan">
      <formula>50</formula>
    </cfRule>
  </conditionalFormatting>
  <pageMargins left="0.23622047244094491" right="0.23622047244094491" top="0.74803149606299213" bottom="0.74803149606299213" header="0.31496062992125984" footer="0.31496062992125984"/>
  <pageSetup paperSize="9" fitToHeight="0" orientation="landscape" horizontalDpi="4294967292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lha2"/>
  <dimension ref="A1:AN40"/>
  <sheetViews>
    <sheetView zoomScaleNormal="100" workbookViewId="0">
      <selection activeCell="R8" sqref="R8"/>
    </sheetView>
  </sheetViews>
  <sheetFormatPr defaultRowHeight="15" x14ac:dyDescent="0.25"/>
  <cols>
    <col min="1" max="1" width="6.42578125" style="102" customWidth="1"/>
    <col min="2" max="2" width="4.5703125" style="102" customWidth="1"/>
    <col min="3" max="3" width="4.7109375" style="102" customWidth="1"/>
    <col min="4" max="4" width="2.7109375" style="102" customWidth="1"/>
    <col min="5" max="5" width="4.140625" style="102" customWidth="1"/>
    <col min="6" max="6" width="2" style="102" customWidth="1"/>
    <col min="7" max="7" width="3.28515625" style="102" customWidth="1"/>
    <col min="8" max="8" width="6.85546875" style="102" customWidth="1"/>
    <col min="9" max="9" width="5" style="102" customWidth="1"/>
    <col min="10" max="10" width="5.28515625" style="102" customWidth="1"/>
    <col min="11" max="11" width="5.42578125" style="102" customWidth="1"/>
    <col min="12" max="12" width="4.5703125" style="102" customWidth="1"/>
    <col min="13" max="13" width="5.140625" style="102" customWidth="1"/>
    <col min="14" max="14" width="6.42578125" style="102" customWidth="1"/>
    <col min="15" max="15" width="5" style="102" customWidth="1"/>
    <col min="16" max="16" width="3.28515625" style="102" customWidth="1"/>
    <col min="17" max="17" width="4.5703125" style="102" customWidth="1"/>
    <col min="18" max="18" width="9.140625" style="102"/>
    <col min="19" max="19" width="6.42578125" style="102" customWidth="1"/>
    <col min="20" max="20" width="6.28515625" style="102" customWidth="1"/>
    <col min="21" max="21" width="6.5703125" style="102" customWidth="1"/>
    <col min="22" max="22" width="6.28515625" style="102" customWidth="1"/>
    <col min="23" max="23" width="5.5703125" style="102" customWidth="1"/>
    <col min="24" max="24" width="5.7109375" style="102" customWidth="1"/>
    <col min="25" max="25" width="5.85546875" style="102" customWidth="1"/>
    <col min="26" max="27" width="6" style="102" customWidth="1"/>
    <col min="28" max="28" width="5.85546875" style="102" customWidth="1"/>
    <col min="29" max="29" width="9.140625" style="102"/>
    <col min="30" max="39" width="6.5703125" style="102" customWidth="1"/>
    <col min="40" max="16384" width="9.140625" style="102"/>
  </cols>
  <sheetData>
    <row r="1" spans="1:40" ht="27" x14ac:dyDescent="0.25">
      <c r="A1" s="1" t="s">
        <v>32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</row>
    <row r="2" spans="1:40" ht="27" x14ac:dyDescent="0.25">
      <c r="A2" s="75" t="s">
        <v>2</v>
      </c>
      <c r="B2" s="75"/>
      <c r="C2" s="75"/>
      <c r="D2" s="75"/>
      <c r="E2" s="75"/>
      <c r="F2" s="75"/>
      <c r="G2" s="75"/>
      <c r="H2" s="76"/>
      <c r="I2" s="76"/>
      <c r="J2" s="76"/>
      <c r="K2" s="76"/>
      <c r="L2" s="77"/>
      <c r="M2" s="77" t="s">
        <v>83</v>
      </c>
      <c r="N2" s="77"/>
      <c r="O2" s="77"/>
      <c r="P2" s="77"/>
      <c r="Q2" s="78"/>
      <c r="R2" s="1"/>
      <c r="S2" s="1"/>
      <c r="T2" s="1"/>
      <c r="U2" s="1"/>
      <c r="V2" s="1"/>
      <c r="W2" s="1"/>
      <c r="X2" s="92" t="s">
        <v>83</v>
      </c>
      <c r="Y2" s="1"/>
      <c r="Z2" s="1"/>
      <c r="AA2" s="1"/>
      <c r="AB2" s="1"/>
      <c r="AC2" s="1"/>
      <c r="AD2" s="1"/>
      <c r="AE2" s="1"/>
      <c r="AF2" s="1"/>
      <c r="AG2" s="1"/>
      <c r="AH2" s="1"/>
      <c r="AI2" s="92" t="s">
        <v>83</v>
      </c>
      <c r="AJ2" s="1"/>
      <c r="AK2" s="1"/>
      <c r="AL2" s="7"/>
      <c r="AM2" s="8"/>
      <c r="AN2" s="10"/>
    </row>
    <row r="3" spans="1:40" ht="20.25" x14ac:dyDescent="0.25">
      <c r="A3" s="43"/>
      <c r="B3" s="38"/>
      <c r="C3" s="38"/>
      <c r="D3" s="38"/>
      <c r="E3" s="38"/>
      <c r="F3" s="38"/>
      <c r="G3" s="57"/>
      <c r="H3" s="475" t="s">
        <v>119</v>
      </c>
      <c r="I3" s="476"/>
      <c r="J3" s="476"/>
      <c r="K3" s="476"/>
      <c r="L3" s="476"/>
      <c r="M3" s="476"/>
      <c r="N3" s="476"/>
      <c r="O3" s="476"/>
      <c r="P3" s="476"/>
      <c r="Q3" s="476"/>
      <c r="R3" s="476"/>
      <c r="S3" s="476"/>
      <c r="T3" s="476"/>
      <c r="U3" s="476"/>
      <c r="V3" s="476"/>
      <c r="W3" s="476"/>
      <c r="X3" s="476"/>
      <c r="Y3" s="476"/>
      <c r="Z3" s="476"/>
      <c r="AA3" s="476"/>
      <c r="AB3" s="476"/>
      <c r="AC3" s="476"/>
      <c r="AD3" s="476"/>
      <c r="AE3" s="476"/>
      <c r="AF3" s="476"/>
      <c r="AG3" s="476"/>
      <c r="AH3" s="476"/>
      <c r="AI3" s="476"/>
      <c r="AJ3" s="476"/>
      <c r="AK3" s="476"/>
      <c r="AL3" s="476"/>
      <c r="AM3" s="476"/>
      <c r="AN3" s="477"/>
    </row>
    <row r="4" spans="1:40" ht="15" customHeight="1" x14ac:dyDescent="0.25">
      <c r="A4" s="461"/>
      <c r="B4" s="478"/>
      <c r="C4" s="478"/>
      <c r="D4" s="478"/>
      <c r="E4" s="478"/>
      <c r="F4" s="478"/>
      <c r="G4" s="463"/>
      <c r="H4" s="449" t="s">
        <v>69</v>
      </c>
      <c r="I4" s="450"/>
      <c r="J4" s="450"/>
      <c r="K4" s="450"/>
      <c r="L4" s="450"/>
      <c r="M4" s="450"/>
      <c r="N4" s="450"/>
      <c r="O4" s="450"/>
      <c r="P4" s="450"/>
      <c r="Q4" s="450"/>
      <c r="R4" s="466" t="s">
        <v>33</v>
      </c>
      <c r="S4" s="449" t="s">
        <v>71</v>
      </c>
      <c r="T4" s="450"/>
      <c r="U4" s="450"/>
      <c r="V4" s="450"/>
      <c r="W4" s="450"/>
      <c r="X4" s="450"/>
      <c r="Y4" s="450"/>
      <c r="Z4" s="450"/>
      <c r="AA4" s="450"/>
      <c r="AB4" s="450"/>
      <c r="AC4" s="466" t="s">
        <v>33</v>
      </c>
      <c r="AD4" s="449" t="s">
        <v>72</v>
      </c>
      <c r="AE4" s="450"/>
      <c r="AF4" s="450"/>
      <c r="AG4" s="450"/>
      <c r="AH4" s="450"/>
      <c r="AI4" s="450"/>
      <c r="AJ4" s="450"/>
      <c r="AK4" s="450"/>
      <c r="AL4" s="450"/>
      <c r="AM4" s="450"/>
      <c r="AN4" s="466" t="s">
        <v>33</v>
      </c>
    </row>
    <row r="5" spans="1:40" x14ac:dyDescent="0.25">
      <c r="A5" s="461"/>
      <c r="B5" s="478"/>
      <c r="C5" s="478"/>
      <c r="D5" s="478"/>
      <c r="E5" s="478"/>
      <c r="F5" s="478"/>
      <c r="G5" s="463"/>
      <c r="H5" s="479"/>
      <c r="I5" s="480"/>
      <c r="J5" s="480"/>
      <c r="K5" s="480"/>
      <c r="L5" s="480"/>
      <c r="M5" s="480"/>
      <c r="N5" s="480"/>
      <c r="O5" s="480"/>
      <c r="P5" s="480"/>
      <c r="Q5" s="480"/>
      <c r="R5" s="467"/>
      <c r="S5" s="479"/>
      <c r="T5" s="480"/>
      <c r="U5" s="480"/>
      <c r="V5" s="480"/>
      <c r="W5" s="480"/>
      <c r="X5" s="480"/>
      <c r="Y5" s="480"/>
      <c r="Z5" s="480"/>
      <c r="AA5" s="480"/>
      <c r="AB5" s="480"/>
      <c r="AC5" s="467"/>
      <c r="AD5" s="479"/>
      <c r="AE5" s="480"/>
      <c r="AF5" s="480"/>
      <c r="AG5" s="480"/>
      <c r="AH5" s="480"/>
      <c r="AI5" s="480"/>
      <c r="AJ5" s="480"/>
      <c r="AK5" s="480"/>
      <c r="AL5" s="480"/>
      <c r="AM5" s="480"/>
      <c r="AN5" s="467"/>
    </row>
    <row r="6" spans="1:40" ht="18" x14ac:dyDescent="0.25">
      <c r="A6" s="464" t="s">
        <v>36</v>
      </c>
      <c r="B6" s="465"/>
      <c r="C6" s="465"/>
      <c r="D6" s="465"/>
      <c r="E6" s="465"/>
      <c r="F6" s="465"/>
      <c r="G6" s="465"/>
      <c r="H6" s="60"/>
      <c r="I6" s="61"/>
      <c r="J6" s="61"/>
      <c r="K6" s="61"/>
      <c r="L6" s="61"/>
      <c r="M6" s="61"/>
      <c r="N6" s="61"/>
      <c r="O6" s="61"/>
      <c r="P6" s="61"/>
      <c r="Q6" s="41"/>
      <c r="R6" s="468"/>
      <c r="S6" s="67">
        <v>1</v>
      </c>
      <c r="T6" s="66">
        <v>2</v>
      </c>
      <c r="U6" s="66"/>
      <c r="V6" s="66"/>
      <c r="W6" s="66"/>
      <c r="X6" s="66"/>
      <c r="Y6" s="66"/>
      <c r="Z6" s="66"/>
      <c r="AA6" s="66"/>
      <c r="AB6" s="66"/>
      <c r="AC6" s="468"/>
      <c r="AD6" s="49"/>
      <c r="AE6" s="49"/>
      <c r="AF6" s="49"/>
      <c r="AG6" s="49"/>
      <c r="AH6" s="49"/>
      <c r="AI6" s="49"/>
      <c r="AJ6" s="49"/>
      <c r="AK6" s="49"/>
      <c r="AL6" s="49"/>
      <c r="AM6" s="49"/>
      <c r="AN6" s="468"/>
    </row>
    <row r="7" spans="1:40" ht="27" customHeight="1" thickBot="1" x14ac:dyDescent="0.3">
      <c r="A7" s="59" t="s">
        <v>9</v>
      </c>
      <c r="B7" s="473" t="s">
        <v>73</v>
      </c>
      <c r="C7" s="474"/>
      <c r="D7" s="474"/>
      <c r="E7" s="474"/>
      <c r="F7" s="474"/>
      <c r="G7" s="474"/>
      <c r="H7" s="69">
        <v>100</v>
      </c>
      <c r="I7" s="70"/>
      <c r="J7" s="70"/>
      <c r="K7" s="70"/>
      <c r="L7" s="70"/>
      <c r="M7" s="70"/>
      <c r="N7" s="70"/>
      <c r="O7" s="70"/>
      <c r="P7" s="70"/>
      <c r="Q7" s="70"/>
      <c r="R7" s="117">
        <f>IF(OR(SUM(H7:Q7)&gt;100,SUM(H7:Q7)&lt;0),"",SUM(H7:Q7))</f>
        <v>100</v>
      </c>
      <c r="S7" s="106">
        <v>30</v>
      </c>
      <c r="T7" s="107">
        <v>70</v>
      </c>
      <c r="U7" s="107"/>
      <c r="V7" s="107"/>
      <c r="W7" s="107"/>
      <c r="X7" s="107"/>
      <c r="Y7" s="107"/>
      <c r="Z7" s="107"/>
      <c r="AA7" s="71"/>
      <c r="AB7" s="71"/>
      <c r="AC7" s="117">
        <f>IF(OR(SUM(S7:AB7)&gt;100,SUM(S7:AB7)&lt;0),"",SUM(S7:AB7))</f>
        <v>100</v>
      </c>
      <c r="AD7" s="107"/>
      <c r="AE7" s="107"/>
      <c r="AF7" s="107"/>
      <c r="AG7" s="107"/>
      <c r="AH7" s="107"/>
      <c r="AI7" s="107"/>
      <c r="AJ7" s="107"/>
      <c r="AK7" s="107"/>
      <c r="AL7" s="73"/>
      <c r="AM7" s="73"/>
      <c r="AN7" s="117">
        <f>IF(OR(SUM(AD7:AM7)&gt;100,SUM(AD7:AM7)&lt;0),"",SUM(AD7:AM7))</f>
        <v>0</v>
      </c>
    </row>
    <row r="8" spans="1:40" x14ac:dyDescent="0.25">
      <c r="A8" s="160">
        <f>IF('Avaliação Períodos'!A9=0,"",'Avaliação Períodos'!A9)</f>
        <v>1</v>
      </c>
      <c r="B8" s="471" t="str">
        <f>IF('Avaliação Períodos'!B9=0,"",'Avaliação Períodos'!B9)</f>
        <v>Afonso</v>
      </c>
      <c r="C8" s="472"/>
      <c r="D8" s="472"/>
      <c r="E8" s="472"/>
      <c r="F8" s="472"/>
      <c r="G8" s="472"/>
      <c r="H8" s="226">
        <v>70</v>
      </c>
      <c r="I8" s="121"/>
      <c r="J8" s="121"/>
      <c r="K8" s="121"/>
      <c r="L8" s="121"/>
      <c r="M8" s="121"/>
      <c r="N8" s="121"/>
      <c r="O8" s="121"/>
      <c r="P8" s="18"/>
      <c r="Q8" s="18"/>
      <c r="R8" s="62">
        <f t="shared" ref="R8:R37" si="0">IF(COUNT(H8:Q8)=0,"",SUM(H8:Q8))</f>
        <v>70</v>
      </c>
      <c r="S8" s="184">
        <v>10</v>
      </c>
      <c r="T8" s="185">
        <v>15</v>
      </c>
      <c r="U8" s="185"/>
      <c r="V8" s="185"/>
      <c r="W8" s="185"/>
      <c r="X8" s="185"/>
      <c r="Y8" s="185"/>
      <c r="Z8" s="185"/>
      <c r="AA8" s="185"/>
      <c r="AB8" s="185"/>
      <c r="AC8" s="52">
        <f t="shared" ref="AC8:AC37" si="1">IF(COUNT(S8:AB8)=0,"",SUM(S8:AB8))</f>
        <v>25</v>
      </c>
      <c r="AD8" s="185"/>
      <c r="AE8" s="185"/>
      <c r="AF8" s="185"/>
      <c r="AG8" s="185"/>
      <c r="AH8" s="185"/>
      <c r="AI8" s="185"/>
      <c r="AJ8" s="185"/>
      <c r="AK8" s="185"/>
      <c r="AL8" s="185"/>
      <c r="AM8" s="185"/>
      <c r="AN8" s="19" t="str">
        <f>IF(COUNT(AD8:AM8)=0,"",SUM(AD8:AM8))</f>
        <v/>
      </c>
    </row>
    <row r="9" spans="1:40" x14ac:dyDescent="0.25">
      <c r="A9" s="161">
        <f>IF('Avaliação Períodos'!A10=0,"",'Avaliação Períodos'!A10)</f>
        <v>2</v>
      </c>
      <c r="B9" s="455" t="str">
        <f>IF('Avaliação Períodos'!B10=0,"",'Avaliação Períodos'!B10)</f>
        <v>Afonso Cravo</v>
      </c>
      <c r="C9" s="456"/>
      <c r="D9" s="456"/>
      <c r="E9" s="456"/>
      <c r="F9" s="456"/>
      <c r="G9" s="457"/>
      <c r="H9" s="227">
        <v>90</v>
      </c>
      <c r="I9" s="123"/>
      <c r="J9" s="123"/>
      <c r="K9" s="123"/>
      <c r="L9" s="123"/>
      <c r="M9" s="123"/>
      <c r="N9" s="123"/>
      <c r="O9" s="123"/>
      <c r="P9" s="26"/>
      <c r="Q9" s="26"/>
      <c r="R9" s="62">
        <f t="shared" si="0"/>
        <v>90</v>
      </c>
      <c r="S9" s="173">
        <v>30</v>
      </c>
      <c r="T9" s="174">
        <v>40</v>
      </c>
      <c r="U9" s="174"/>
      <c r="V9" s="174"/>
      <c r="W9" s="174"/>
      <c r="X9" s="174"/>
      <c r="Y9" s="174"/>
      <c r="Z9" s="174"/>
      <c r="AA9" s="174"/>
      <c r="AB9" s="174"/>
      <c r="AC9" s="52">
        <f t="shared" si="1"/>
        <v>70</v>
      </c>
      <c r="AD9" s="167"/>
      <c r="AE9" s="167"/>
      <c r="AF9" s="167"/>
      <c r="AG9" s="167"/>
      <c r="AH9" s="167"/>
      <c r="AI9" s="167"/>
      <c r="AJ9" s="167"/>
      <c r="AK9" s="167"/>
      <c r="AL9" s="167"/>
      <c r="AM9" s="167"/>
      <c r="AN9" s="19" t="str">
        <f t="shared" ref="AN8:AN37" si="2">IF(COUNT(AD9:AM9)=0,"",SUM(AD9:AM9))</f>
        <v/>
      </c>
    </row>
    <row r="10" spans="1:40" x14ac:dyDescent="0.25">
      <c r="A10" s="160">
        <f>IF('Avaliação Períodos'!A11=0,"",'Avaliação Períodos'!A11)</f>
        <v>3</v>
      </c>
      <c r="B10" s="458" t="str">
        <f>IF('Avaliação Períodos'!B11=0,"",'Avaliação Períodos'!B11)</f>
        <v>Ândria</v>
      </c>
      <c r="C10" s="459"/>
      <c r="D10" s="459"/>
      <c r="E10" s="459"/>
      <c r="F10" s="459"/>
      <c r="G10" s="460"/>
      <c r="H10" s="228">
        <v>80</v>
      </c>
      <c r="I10" s="125"/>
      <c r="J10" s="125"/>
      <c r="K10" s="125"/>
      <c r="L10" s="125"/>
      <c r="M10" s="125"/>
      <c r="N10" s="125"/>
      <c r="O10" s="125"/>
      <c r="P10" s="25"/>
      <c r="Q10" s="24"/>
      <c r="R10" s="62">
        <f t="shared" si="0"/>
        <v>80</v>
      </c>
      <c r="S10" s="170">
        <v>10</v>
      </c>
      <c r="T10" s="171">
        <v>50</v>
      </c>
      <c r="U10" s="171"/>
      <c r="V10" s="171"/>
      <c r="W10" s="171"/>
      <c r="X10" s="171"/>
      <c r="Y10" s="171"/>
      <c r="Z10" s="171"/>
      <c r="AA10" s="207"/>
      <c r="AB10" s="171"/>
      <c r="AC10" s="52">
        <f t="shared" si="1"/>
        <v>60</v>
      </c>
      <c r="AD10" s="171"/>
      <c r="AE10" s="171"/>
      <c r="AF10" s="171"/>
      <c r="AG10" s="171"/>
      <c r="AH10" s="171"/>
      <c r="AI10" s="171"/>
      <c r="AJ10" s="171"/>
      <c r="AK10" s="171"/>
      <c r="AL10" s="171"/>
      <c r="AM10" s="171"/>
      <c r="AN10" s="19" t="str">
        <f t="shared" si="2"/>
        <v/>
      </c>
    </row>
    <row r="11" spans="1:40" x14ac:dyDescent="0.25">
      <c r="A11" s="161">
        <f>IF('Avaliação Períodos'!A12=0,"",'Avaliação Períodos'!A12)</f>
        <v>4</v>
      </c>
      <c r="B11" s="455" t="str">
        <f>IF('Avaliação Períodos'!B12=0,"",'Avaliação Períodos'!B12)</f>
        <v>Bernardo Gomes</v>
      </c>
      <c r="C11" s="456"/>
      <c r="D11" s="456"/>
      <c r="E11" s="456"/>
      <c r="F11" s="456"/>
      <c r="G11" s="457"/>
      <c r="H11" s="227">
        <v>90</v>
      </c>
      <c r="I11" s="123"/>
      <c r="J11" s="123"/>
      <c r="K11" s="123"/>
      <c r="L11" s="123"/>
      <c r="M11" s="123"/>
      <c r="N11" s="123"/>
      <c r="O11" s="123"/>
      <c r="P11" s="26"/>
      <c r="Q11" s="26"/>
      <c r="R11" s="62">
        <f t="shared" si="0"/>
        <v>90</v>
      </c>
      <c r="S11" s="173">
        <v>20</v>
      </c>
      <c r="T11" s="174">
        <v>65</v>
      </c>
      <c r="U11" s="174"/>
      <c r="V11" s="174"/>
      <c r="W11" s="174"/>
      <c r="X11" s="174"/>
      <c r="Y11" s="174"/>
      <c r="Z11" s="174"/>
      <c r="AA11" s="174"/>
      <c r="AB11" s="174"/>
      <c r="AC11" s="52">
        <f t="shared" si="1"/>
        <v>85</v>
      </c>
      <c r="AD11" s="174"/>
      <c r="AE11" s="174"/>
      <c r="AF11" s="174"/>
      <c r="AG11" s="174"/>
      <c r="AH11" s="174"/>
      <c r="AI11" s="174"/>
      <c r="AJ11" s="174"/>
      <c r="AK11" s="174"/>
      <c r="AL11" s="174"/>
      <c r="AM11" s="174"/>
      <c r="AN11" s="19" t="str">
        <f t="shared" si="2"/>
        <v/>
      </c>
    </row>
    <row r="12" spans="1:40" x14ac:dyDescent="0.25">
      <c r="A12" s="160">
        <f>IF('Avaliação Períodos'!A13=0,"",'Avaliação Períodos'!A13)</f>
        <v>5</v>
      </c>
      <c r="B12" s="458" t="str">
        <f>IF('Avaliação Períodos'!B13=0,"",'Avaliação Períodos'!B13)</f>
        <v xml:space="preserve"> Bernardo Gaspar</v>
      </c>
      <c r="C12" s="459"/>
      <c r="D12" s="459"/>
      <c r="E12" s="459"/>
      <c r="F12" s="459"/>
      <c r="G12" s="460"/>
      <c r="H12" s="228">
        <v>90</v>
      </c>
      <c r="I12" s="125"/>
      <c r="J12" s="125"/>
      <c r="K12" s="125"/>
      <c r="L12" s="125"/>
      <c r="M12" s="125"/>
      <c r="N12" s="125"/>
      <c r="O12" s="125"/>
      <c r="P12" s="25"/>
      <c r="Q12" s="24"/>
      <c r="R12" s="62">
        <f t="shared" si="0"/>
        <v>90</v>
      </c>
      <c r="S12" s="170">
        <v>20</v>
      </c>
      <c r="T12" s="171">
        <v>60</v>
      </c>
      <c r="U12" s="171"/>
      <c r="V12" s="171"/>
      <c r="W12" s="171"/>
      <c r="X12" s="171"/>
      <c r="Y12" s="171"/>
      <c r="Z12" s="171"/>
      <c r="AA12" s="207"/>
      <c r="AB12" s="171"/>
      <c r="AC12" s="52">
        <f t="shared" si="1"/>
        <v>80</v>
      </c>
      <c r="AD12" s="171"/>
      <c r="AE12" s="171"/>
      <c r="AF12" s="171"/>
      <c r="AG12" s="171"/>
      <c r="AH12" s="171"/>
      <c r="AI12" s="171"/>
      <c r="AJ12" s="171"/>
      <c r="AK12" s="171"/>
      <c r="AL12" s="171"/>
      <c r="AM12" s="171"/>
      <c r="AN12" s="19" t="str">
        <f t="shared" si="2"/>
        <v/>
      </c>
    </row>
    <row r="13" spans="1:40" x14ac:dyDescent="0.25">
      <c r="A13" s="161">
        <f>IF('Avaliação Períodos'!A14=0,"",'Avaliação Períodos'!A14)</f>
        <v>6</v>
      </c>
      <c r="B13" s="455" t="str">
        <f>IF('Avaliação Períodos'!B14=0,"",'Avaliação Períodos'!B14)</f>
        <v>David</v>
      </c>
      <c r="C13" s="456"/>
      <c r="D13" s="456"/>
      <c r="E13" s="456"/>
      <c r="F13" s="456"/>
      <c r="G13" s="457"/>
      <c r="H13" s="227">
        <v>100</v>
      </c>
      <c r="I13" s="123"/>
      <c r="J13" s="123"/>
      <c r="K13" s="123"/>
      <c r="L13" s="123"/>
      <c r="M13" s="123"/>
      <c r="N13" s="123"/>
      <c r="O13" s="123"/>
      <c r="P13" s="26"/>
      <c r="Q13" s="26"/>
      <c r="R13" s="62">
        <f t="shared" si="0"/>
        <v>100</v>
      </c>
      <c r="S13" s="173">
        <v>20</v>
      </c>
      <c r="T13" s="174">
        <v>50</v>
      </c>
      <c r="U13" s="174"/>
      <c r="V13" s="174"/>
      <c r="W13" s="174"/>
      <c r="X13" s="174"/>
      <c r="Y13" s="174"/>
      <c r="Z13" s="174"/>
      <c r="AA13" s="174"/>
      <c r="AB13" s="174"/>
      <c r="AC13" s="52">
        <f t="shared" si="1"/>
        <v>70</v>
      </c>
      <c r="AD13" s="174"/>
      <c r="AE13" s="174"/>
      <c r="AF13" s="174"/>
      <c r="AG13" s="174"/>
      <c r="AH13" s="174"/>
      <c r="AI13" s="174"/>
      <c r="AJ13" s="174"/>
      <c r="AK13" s="174"/>
      <c r="AL13" s="174"/>
      <c r="AM13" s="174"/>
      <c r="AN13" s="19" t="str">
        <f t="shared" si="2"/>
        <v/>
      </c>
    </row>
    <row r="14" spans="1:40" x14ac:dyDescent="0.25">
      <c r="A14" s="160">
        <f>IF('Avaliação Períodos'!A15=0,"",'Avaliação Períodos'!A15)</f>
        <v>7</v>
      </c>
      <c r="B14" s="458" t="str">
        <f>IF('Avaliação Períodos'!B15=0,"",'Avaliação Períodos'!B15)</f>
        <v>Fábio</v>
      </c>
      <c r="C14" s="459"/>
      <c r="D14" s="459"/>
      <c r="E14" s="459"/>
      <c r="F14" s="459"/>
      <c r="G14" s="460"/>
      <c r="H14" s="228">
        <v>80</v>
      </c>
      <c r="I14" s="125"/>
      <c r="J14" s="125"/>
      <c r="K14" s="125"/>
      <c r="L14" s="125"/>
      <c r="M14" s="125"/>
      <c r="N14" s="125"/>
      <c r="O14" s="125"/>
      <c r="P14" s="25"/>
      <c r="Q14" s="24"/>
      <c r="R14" s="62">
        <f t="shared" si="0"/>
        <v>80</v>
      </c>
      <c r="S14" s="170">
        <v>30</v>
      </c>
      <c r="T14" s="171">
        <v>30</v>
      </c>
      <c r="U14" s="171"/>
      <c r="V14" s="171"/>
      <c r="W14" s="171"/>
      <c r="X14" s="171"/>
      <c r="Y14" s="171"/>
      <c r="Z14" s="171"/>
      <c r="AA14" s="207"/>
      <c r="AB14" s="171"/>
      <c r="AC14" s="52">
        <f t="shared" si="1"/>
        <v>60</v>
      </c>
      <c r="AD14" s="171"/>
      <c r="AE14" s="171"/>
      <c r="AF14" s="171"/>
      <c r="AG14" s="171"/>
      <c r="AH14" s="171"/>
      <c r="AI14" s="171"/>
      <c r="AJ14" s="171"/>
      <c r="AK14" s="171"/>
      <c r="AL14" s="171"/>
      <c r="AM14" s="171"/>
      <c r="AN14" s="19" t="str">
        <f t="shared" si="2"/>
        <v/>
      </c>
    </row>
    <row r="15" spans="1:40" x14ac:dyDescent="0.25">
      <c r="A15" s="161">
        <f>IF('Avaliação Períodos'!A16=0,"",'Avaliação Períodos'!A16)</f>
        <v>8</v>
      </c>
      <c r="B15" s="455" t="str">
        <f>IF('Avaliação Períodos'!B16=0,"",'Avaliação Períodos'!B16)</f>
        <v>Francisco</v>
      </c>
      <c r="C15" s="456"/>
      <c r="D15" s="456"/>
      <c r="E15" s="456"/>
      <c r="F15" s="456"/>
      <c r="G15" s="457"/>
      <c r="H15" s="227">
        <v>70</v>
      </c>
      <c r="I15" s="123"/>
      <c r="J15" s="123"/>
      <c r="K15" s="123"/>
      <c r="L15" s="123"/>
      <c r="M15" s="123"/>
      <c r="N15" s="123"/>
      <c r="O15" s="123"/>
      <c r="P15" s="26"/>
      <c r="Q15" s="26"/>
      <c r="R15" s="62">
        <f t="shared" si="0"/>
        <v>70</v>
      </c>
      <c r="S15" s="173">
        <v>30</v>
      </c>
      <c r="T15" s="174">
        <v>55</v>
      </c>
      <c r="U15" s="176"/>
      <c r="V15" s="174"/>
      <c r="W15" s="174"/>
      <c r="X15" s="174"/>
      <c r="Y15" s="174"/>
      <c r="Z15" s="174"/>
      <c r="AA15" s="174"/>
      <c r="AB15" s="174"/>
      <c r="AC15" s="52">
        <f t="shared" si="1"/>
        <v>85</v>
      </c>
      <c r="AD15" s="174"/>
      <c r="AE15" s="174"/>
      <c r="AF15" s="174"/>
      <c r="AG15" s="174"/>
      <c r="AH15" s="174"/>
      <c r="AI15" s="174"/>
      <c r="AJ15" s="174"/>
      <c r="AK15" s="174"/>
      <c r="AL15" s="174"/>
      <c r="AM15" s="174"/>
      <c r="AN15" s="19" t="str">
        <f t="shared" si="2"/>
        <v/>
      </c>
    </row>
    <row r="16" spans="1:40" x14ac:dyDescent="0.25">
      <c r="A16" s="160">
        <f>IF('Avaliação Períodos'!A17=0,"",'Avaliação Períodos'!A17)</f>
        <v>9</v>
      </c>
      <c r="B16" s="458" t="str">
        <f>IF('Avaliação Períodos'!B17=0,"",'Avaliação Períodos'!B17)</f>
        <v>Gonçalo</v>
      </c>
      <c r="C16" s="459"/>
      <c r="D16" s="459"/>
      <c r="E16" s="459"/>
      <c r="F16" s="459"/>
      <c r="G16" s="460"/>
      <c r="H16" s="228">
        <v>70</v>
      </c>
      <c r="I16" s="125"/>
      <c r="J16" s="125"/>
      <c r="K16" s="125"/>
      <c r="L16" s="125"/>
      <c r="M16" s="125"/>
      <c r="N16" s="125"/>
      <c r="O16" s="125"/>
      <c r="P16" s="25"/>
      <c r="Q16" s="24"/>
      <c r="R16" s="62">
        <f t="shared" si="0"/>
        <v>70</v>
      </c>
      <c r="S16" s="170">
        <v>30</v>
      </c>
      <c r="T16" s="171">
        <v>45</v>
      </c>
      <c r="U16" s="171"/>
      <c r="V16" s="171"/>
      <c r="W16" s="171"/>
      <c r="X16" s="171"/>
      <c r="Y16" s="171"/>
      <c r="Z16" s="171"/>
      <c r="AA16" s="207"/>
      <c r="AB16" s="171"/>
      <c r="AC16" s="52">
        <f t="shared" si="1"/>
        <v>75</v>
      </c>
      <c r="AD16" s="171"/>
      <c r="AE16" s="171"/>
      <c r="AF16" s="171"/>
      <c r="AG16" s="171"/>
      <c r="AH16" s="171"/>
      <c r="AI16" s="171"/>
      <c r="AJ16" s="171"/>
      <c r="AK16" s="171"/>
      <c r="AL16" s="171"/>
      <c r="AM16" s="171"/>
      <c r="AN16" s="19" t="str">
        <f t="shared" si="2"/>
        <v/>
      </c>
    </row>
    <row r="17" spans="1:40" x14ac:dyDescent="0.25">
      <c r="A17" s="161">
        <f>IF('Avaliação Períodos'!A18=0,"",'Avaliação Períodos'!A18)</f>
        <v>10</v>
      </c>
      <c r="B17" s="455" t="str">
        <f>IF('Avaliação Períodos'!B18=0,"",'Avaliação Períodos'!B18)</f>
        <v>Gustavo</v>
      </c>
      <c r="C17" s="456"/>
      <c r="D17" s="456"/>
      <c r="E17" s="456"/>
      <c r="F17" s="456"/>
      <c r="G17" s="457"/>
      <c r="H17" s="227">
        <v>90</v>
      </c>
      <c r="I17" s="123"/>
      <c r="J17" s="123"/>
      <c r="K17" s="123"/>
      <c r="L17" s="123"/>
      <c r="M17" s="123"/>
      <c r="N17" s="123"/>
      <c r="O17" s="123"/>
      <c r="P17" s="26"/>
      <c r="Q17" s="26"/>
      <c r="R17" s="62">
        <f t="shared" si="0"/>
        <v>90</v>
      </c>
      <c r="S17" s="173">
        <v>20</v>
      </c>
      <c r="T17" s="174">
        <v>60</v>
      </c>
      <c r="U17" s="174"/>
      <c r="V17" s="174"/>
      <c r="W17" s="174"/>
      <c r="X17" s="174"/>
      <c r="Y17" s="174"/>
      <c r="Z17" s="174"/>
      <c r="AA17" s="174"/>
      <c r="AB17" s="174"/>
      <c r="AC17" s="52">
        <f t="shared" si="1"/>
        <v>80</v>
      </c>
      <c r="AD17" s="174"/>
      <c r="AE17" s="174"/>
      <c r="AF17" s="174"/>
      <c r="AG17" s="174"/>
      <c r="AH17" s="174"/>
      <c r="AI17" s="174"/>
      <c r="AJ17" s="174"/>
      <c r="AK17" s="174"/>
      <c r="AL17" s="174"/>
      <c r="AM17" s="174"/>
      <c r="AN17" s="19" t="str">
        <f t="shared" si="2"/>
        <v/>
      </c>
    </row>
    <row r="18" spans="1:40" x14ac:dyDescent="0.25">
      <c r="A18" s="160">
        <f>IF('Avaliação Períodos'!A19=0,"",'Avaliação Períodos'!A19)</f>
        <v>11</v>
      </c>
      <c r="B18" s="458" t="str">
        <f>IF('Avaliação Períodos'!B19=0,"",'Avaliação Períodos'!B19)</f>
        <v>João</v>
      </c>
      <c r="C18" s="459"/>
      <c r="D18" s="459"/>
      <c r="E18" s="459"/>
      <c r="F18" s="459"/>
      <c r="G18" s="460"/>
      <c r="H18" s="228">
        <v>80</v>
      </c>
      <c r="I18" s="125"/>
      <c r="J18" s="125"/>
      <c r="K18" s="125"/>
      <c r="L18" s="125"/>
      <c r="M18" s="125"/>
      <c r="N18" s="125"/>
      <c r="O18" s="125"/>
      <c r="P18" s="24"/>
      <c r="Q18" s="24"/>
      <c r="R18" s="62">
        <f t="shared" si="0"/>
        <v>80</v>
      </c>
      <c r="S18" s="177">
        <v>20</v>
      </c>
      <c r="T18" s="171">
        <v>50</v>
      </c>
      <c r="U18" s="171"/>
      <c r="V18" s="171"/>
      <c r="W18" s="171"/>
      <c r="X18" s="171"/>
      <c r="Y18" s="171"/>
      <c r="Z18" s="171"/>
      <c r="AA18" s="171"/>
      <c r="AB18" s="171"/>
      <c r="AC18" s="52">
        <f t="shared" si="1"/>
        <v>70</v>
      </c>
      <c r="AD18" s="171"/>
      <c r="AE18" s="171"/>
      <c r="AF18" s="171"/>
      <c r="AG18" s="171"/>
      <c r="AH18" s="171"/>
      <c r="AI18" s="171"/>
      <c r="AJ18" s="171"/>
      <c r="AK18" s="171"/>
      <c r="AL18" s="171"/>
      <c r="AM18" s="171"/>
      <c r="AN18" s="19" t="str">
        <f t="shared" si="2"/>
        <v/>
      </c>
    </row>
    <row r="19" spans="1:40" x14ac:dyDescent="0.25">
      <c r="A19" s="161">
        <f>IF('Avaliação Períodos'!A20=0,"",'Avaliação Períodos'!A20)</f>
        <v>12</v>
      </c>
      <c r="B19" s="455" t="str">
        <f>IF('Avaliação Períodos'!B20=0,"",'Avaliação Períodos'!B20)</f>
        <v>João Miguel</v>
      </c>
      <c r="C19" s="456"/>
      <c r="D19" s="456"/>
      <c r="E19" s="456"/>
      <c r="F19" s="456"/>
      <c r="G19" s="457"/>
      <c r="H19" s="227">
        <v>50</v>
      </c>
      <c r="I19" s="123"/>
      <c r="J19" s="123"/>
      <c r="K19" s="123"/>
      <c r="L19" s="123"/>
      <c r="M19" s="123"/>
      <c r="N19" s="123"/>
      <c r="O19" s="123"/>
      <c r="P19" s="26"/>
      <c r="Q19" s="26"/>
      <c r="R19" s="62">
        <f t="shared" si="0"/>
        <v>50</v>
      </c>
      <c r="S19" s="173">
        <v>30</v>
      </c>
      <c r="T19" s="174">
        <v>40</v>
      </c>
      <c r="U19" s="174"/>
      <c r="V19" s="174"/>
      <c r="W19" s="174"/>
      <c r="X19" s="174"/>
      <c r="Y19" s="174"/>
      <c r="Z19" s="174"/>
      <c r="AA19" s="174"/>
      <c r="AB19" s="174"/>
      <c r="AC19" s="52">
        <f t="shared" si="1"/>
        <v>70</v>
      </c>
      <c r="AD19" s="174"/>
      <c r="AE19" s="174"/>
      <c r="AF19" s="174"/>
      <c r="AG19" s="174"/>
      <c r="AH19" s="174"/>
      <c r="AI19" s="174"/>
      <c r="AJ19" s="174"/>
      <c r="AK19" s="174"/>
      <c r="AL19" s="174"/>
      <c r="AM19" s="174"/>
      <c r="AN19" s="19" t="str">
        <f t="shared" si="2"/>
        <v/>
      </c>
    </row>
    <row r="20" spans="1:40" x14ac:dyDescent="0.25">
      <c r="A20" s="160">
        <f>IF('Avaliação Períodos'!A21=0,"",'Avaliação Períodos'!A21)</f>
        <v>13</v>
      </c>
      <c r="B20" s="458" t="str">
        <f>IF('Avaliação Períodos'!B21=0,"",'Avaliação Períodos'!B21)</f>
        <v>Lara</v>
      </c>
      <c r="C20" s="459"/>
      <c r="D20" s="459"/>
      <c r="E20" s="459"/>
      <c r="F20" s="459"/>
      <c r="G20" s="460"/>
      <c r="H20" s="228">
        <v>80</v>
      </c>
      <c r="I20" s="125"/>
      <c r="J20" s="125"/>
      <c r="K20" s="125"/>
      <c r="L20" s="125"/>
      <c r="M20" s="125"/>
      <c r="N20" s="125"/>
      <c r="O20" s="125"/>
      <c r="P20" s="24"/>
      <c r="Q20" s="24"/>
      <c r="R20" s="62">
        <f t="shared" si="0"/>
        <v>80</v>
      </c>
      <c r="S20" s="177">
        <v>30</v>
      </c>
      <c r="T20" s="171">
        <v>50</v>
      </c>
      <c r="U20" s="171"/>
      <c r="V20" s="171"/>
      <c r="W20" s="171"/>
      <c r="X20" s="171"/>
      <c r="Y20" s="171"/>
      <c r="Z20" s="171"/>
      <c r="AA20" s="171"/>
      <c r="AB20" s="171"/>
      <c r="AC20" s="52">
        <f t="shared" si="1"/>
        <v>80</v>
      </c>
      <c r="AD20" s="171"/>
      <c r="AE20" s="171"/>
      <c r="AF20" s="171"/>
      <c r="AG20" s="171"/>
      <c r="AH20" s="171"/>
      <c r="AI20" s="171"/>
      <c r="AJ20" s="171"/>
      <c r="AK20" s="171"/>
      <c r="AL20" s="171"/>
      <c r="AM20" s="171"/>
      <c r="AN20" s="19" t="str">
        <f t="shared" si="2"/>
        <v/>
      </c>
    </row>
    <row r="21" spans="1:40" x14ac:dyDescent="0.25">
      <c r="A21" s="161">
        <f>IF('Avaliação Períodos'!A22=0,"",'Avaliação Períodos'!A22)</f>
        <v>14</v>
      </c>
      <c r="B21" s="455" t="str">
        <f>IF('Avaliação Períodos'!B22=0,"",'Avaliação Períodos'!B22)</f>
        <v>Luna</v>
      </c>
      <c r="C21" s="456"/>
      <c r="D21" s="456"/>
      <c r="E21" s="456"/>
      <c r="F21" s="456"/>
      <c r="G21" s="457"/>
      <c r="H21" s="227">
        <v>80</v>
      </c>
      <c r="I21" s="123"/>
      <c r="J21" s="123"/>
      <c r="K21" s="123"/>
      <c r="L21" s="123"/>
      <c r="M21" s="123"/>
      <c r="N21" s="123"/>
      <c r="O21" s="123"/>
      <c r="P21" s="26"/>
      <c r="Q21" s="26"/>
      <c r="R21" s="62">
        <f t="shared" si="0"/>
        <v>80</v>
      </c>
      <c r="S21" s="173">
        <v>30</v>
      </c>
      <c r="T21" s="174">
        <v>50</v>
      </c>
      <c r="U21" s="174"/>
      <c r="V21" s="174"/>
      <c r="W21" s="174"/>
      <c r="X21" s="174"/>
      <c r="Y21" s="174"/>
      <c r="Z21" s="174"/>
      <c r="AA21" s="174"/>
      <c r="AB21" s="174"/>
      <c r="AC21" s="52">
        <f t="shared" si="1"/>
        <v>80</v>
      </c>
      <c r="AD21" s="174"/>
      <c r="AE21" s="174"/>
      <c r="AF21" s="174"/>
      <c r="AG21" s="174"/>
      <c r="AH21" s="174"/>
      <c r="AI21" s="174"/>
      <c r="AJ21" s="174"/>
      <c r="AK21" s="174"/>
      <c r="AL21" s="174"/>
      <c r="AM21" s="174"/>
      <c r="AN21" s="19" t="str">
        <f t="shared" si="2"/>
        <v/>
      </c>
    </row>
    <row r="22" spans="1:40" x14ac:dyDescent="0.25">
      <c r="A22" s="160">
        <f>IF('Avaliação Períodos'!A23=0,"",'Avaliação Períodos'!A23)</f>
        <v>15</v>
      </c>
      <c r="B22" s="458" t="str">
        <f>IF('Avaliação Períodos'!B23=0,"",'Avaliação Períodos'!B23)</f>
        <v>Mariana</v>
      </c>
      <c r="C22" s="459"/>
      <c r="D22" s="459"/>
      <c r="E22" s="459"/>
      <c r="F22" s="459"/>
      <c r="G22" s="460"/>
      <c r="H22" s="228">
        <v>80</v>
      </c>
      <c r="I22" s="125"/>
      <c r="J22" s="125"/>
      <c r="K22" s="125"/>
      <c r="L22" s="125"/>
      <c r="M22" s="125"/>
      <c r="N22" s="125"/>
      <c r="O22" s="125"/>
      <c r="P22" s="24"/>
      <c r="Q22" s="24"/>
      <c r="R22" s="62">
        <f t="shared" si="0"/>
        <v>80</v>
      </c>
      <c r="S22" s="177">
        <v>20</v>
      </c>
      <c r="T22" s="171">
        <v>40</v>
      </c>
      <c r="U22" s="171"/>
      <c r="V22" s="171"/>
      <c r="W22" s="171"/>
      <c r="X22" s="171"/>
      <c r="Y22" s="171"/>
      <c r="Z22" s="171"/>
      <c r="AA22" s="171"/>
      <c r="AB22" s="171"/>
      <c r="AC22" s="52">
        <f t="shared" si="1"/>
        <v>60</v>
      </c>
      <c r="AD22" s="171"/>
      <c r="AE22" s="171"/>
      <c r="AF22" s="171"/>
      <c r="AG22" s="171"/>
      <c r="AH22" s="171"/>
      <c r="AI22" s="171"/>
      <c r="AJ22" s="171"/>
      <c r="AK22" s="171"/>
      <c r="AL22" s="171"/>
      <c r="AM22" s="171"/>
      <c r="AN22" s="19" t="str">
        <f t="shared" si="2"/>
        <v/>
      </c>
    </row>
    <row r="23" spans="1:40" x14ac:dyDescent="0.25">
      <c r="A23" s="161">
        <f>IF('Avaliação Períodos'!A24=0,"",'Avaliação Períodos'!A24)</f>
        <v>16</v>
      </c>
      <c r="B23" s="455" t="str">
        <f>IF('Avaliação Períodos'!B24=0,"",'Avaliação Períodos'!B24)</f>
        <v>Martim</v>
      </c>
      <c r="C23" s="456"/>
      <c r="D23" s="456"/>
      <c r="E23" s="456"/>
      <c r="F23" s="456"/>
      <c r="G23" s="457"/>
      <c r="H23" s="227">
        <v>80</v>
      </c>
      <c r="I23" s="123"/>
      <c r="J23" s="123"/>
      <c r="K23" s="123"/>
      <c r="L23" s="123"/>
      <c r="M23" s="123"/>
      <c r="N23" s="123"/>
      <c r="O23" s="123"/>
      <c r="P23" s="26"/>
      <c r="Q23" s="26"/>
      <c r="R23" s="62">
        <f t="shared" si="0"/>
        <v>80</v>
      </c>
      <c r="S23" s="173">
        <v>20</v>
      </c>
      <c r="T23" s="174">
        <v>60</v>
      </c>
      <c r="U23" s="174"/>
      <c r="V23" s="174"/>
      <c r="W23" s="174"/>
      <c r="X23" s="174"/>
      <c r="Y23" s="174"/>
      <c r="Z23" s="174"/>
      <c r="AA23" s="174"/>
      <c r="AB23" s="174"/>
      <c r="AC23" s="52">
        <f t="shared" si="1"/>
        <v>80</v>
      </c>
      <c r="AD23" s="174"/>
      <c r="AE23" s="174"/>
      <c r="AF23" s="174"/>
      <c r="AG23" s="174"/>
      <c r="AH23" s="174"/>
      <c r="AI23" s="174"/>
      <c r="AJ23" s="174"/>
      <c r="AK23" s="174"/>
      <c r="AL23" s="174"/>
      <c r="AM23" s="174"/>
      <c r="AN23" s="19" t="str">
        <f t="shared" si="2"/>
        <v/>
      </c>
    </row>
    <row r="24" spans="1:40" x14ac:dyDescent="0.25">
      <c r="A24" s="160">
        <f>IF('Avaliação Períodos'!A25=0,"",'Avaliação Períodos'!A25)</f>
        <v>17</v>
      </c>
      <c r="B24" s="458" t="str">
        <f>IF('Avaliação Períodos'!B25=0,"",'Avaliação Períodos'!B25)</f>
        <v>Matilde</v>
      </c>
      <c r="C24" s="459"/>
      <c r="D24" s="459"/>
      <c r="E24" s="459"/>
      <c r="F24" s="459"/>
      <c r="G24" s="460"/>
      <c r="H24" s="228">
        <v>50</v>
      </c>
      <c r="I24" s="125"/>
      <c r="J24" s="125"/>
      <c r="K24" s="125"/>
      <c r="L24" s="125"/>
      <c r="M24" s="125"/>
      <c r="N24" s="125"/>
      <c r="O24" s="125"/>
      <c r="P24" s="24"/>
      <c r="Q24" s="24"/>
      <c r="R24" s="62">
        <f t="shared" si="0"/>
        <v>50</v>
      </c>
      <c r="S24" s="177">
        <v>20</v>
      </c>
      <c r="T24" s="171">
        <v>30</v>
      </c>
      <c r="U24" s="171"/>
      <c r="V24" s="171"/>
      <c r="W24" s="171"/>
      <c r="X24" s="171"/>
      <c r="Y24" s="171"/>
      <c r="Z24" s="171"/>
      <c r="AA24" s="171"/>
      <c r="AB24" s="171"/>
      <c r="AC24" s="52">
        <f t="shared" si="1"/>
        <v>50</v>
      </c>
      <c r="AD24" s="171"/>
      <c r="AE24" s="171"/>
      <c r="AF24" s="171"/>
      <c r="AG24" s="171"/>
      <c r="AH24" s="171"/>
      <c r="AI24" s="171"/>
      <c r="AJ24" s="171"/>
      <c r="AK24" s="171"/>
      <c r="AL24" s="171"/>
      <c r="AM24" s="171"/>
      <c r="AN24" s="19" t="str">
        <f t="shared" si="2"/>
        <v/>
      </c>
    </row>
    <row r="25" spans="1:40" x14ac:dyDescent="0.25">
      <c r="A25" s="161">
        <f>IF('Avaliação Períodos'!A26=0,"",'Avaliação Períodos'!A26)</f>
        <v>18</v>
      </c>
      <c r="B25" s="455" t="str">
        <f>IF('Avaliação Períodos'!B26=0,"",'Avaliação Períodos'!B26)</f>
        <v>Rúben</v>
      </c>
      <c r="C25" s="456"/>
      <c r="D25" s="456"/>
      <c r="E25" s="456"/>
      <c r="F25" s="456"/>
      <c r="G25" s="457"/>
      <c r="H25" s="227">
        <v>60</v>
      </c>
      <c r="I25" s="123"/>
      <c r="J25" s="123"/>
      <c r="K25" s="123"/>
      <c r="L25" s="123"/>
      <c r="M25" s="123"/>
      <c r="N25" s="123"/>
      <c r="O25" s="123"/>
      <c r="P25" s="26"/>
      <c r="Q25" s="26"/>
      <c r="R25" s="62">
        <f t="shared" si="0"/>
        <v>60</v>
      </c>
      <c r="S25" s="173">
        <v>10</v>
      </c>
      <c r="T25" s="174">
        <v>15</v>
      </c>
      <c r="U25" s="174"/>
      <c r="V25" s="174"/>
      <c r="W25" s="174"/>
      <c r="X25" s="174"/>
      <c r="Y25" s="174"/>
      <c r="Z25" s="174"/>
      <c r="AA25" s="174"/>
      <c r="AB25" s="174"/>
      <c r="AC25" s="52">
        <f t="shared" si="1"/>
        <v>25</v>
      </c>
      <c r="AD25" s="174"/>
      <c r="AE25" s="174"/>
      <c r="AF25" s="174"/>
      <c r="AG25" s="174"/>
      <c r="AH25" s="174"/>
      <c r="AI25" s="174"/>
      <c r="AJ25" s="174"/>
      <c r="AK25" s="174"/>
      <c r="AL25" s="174"/>
      <c r="AM25" s="174"/>
      <c r="AN25" s="19" t="str">
        <f t="shared" si="2"/>
        <v/>
      </c>
    </row>
    <row r="26" spans="1:40" x14ac:dyDescent="0.25">
      <c r="A26" s="160">
        <f>IF('Avaliação Períodos'!A27=0,"",'Avaliação Períodos'!A27)</f>
        <v>19</v>
      </c>
      <c r="B26" s="458" t="str">
        <f>IF('Avaliação Períodos'!B27=0,"",'Avaliação Períodos'!B27)</f>
        <v>Samanta</v>
      </c>
      <c r="C26" s="459"/>
      <c r="D26" s="459"/>
      <c r="E26" s="459"/>
      <c r="F26" s="459"/>
      <c r="G26" s="460"/>
      <c r="H26" s="228">
        <v>80</v>
      </c>
      <c r="I26" s="125"/>
      <c r="J26" s="125"/>
      <c r="K26" s="125"/>
      <c r="L26" s="125"/>
      <c r="M26" s="125"/>
      <c r="N26" s="125"/>
      <c r="O26" s="125"/>
      <c r="P26" s="24"/>
      <c r="Q26" s="24"/>
      <c r="R26" s="62">
        <f t="shared" si="0"/>
        <v>80</v>
      </c>
      <c r="S26" s="177">
        <v>10</v>
      </c>
      <c r="T26" s="171">
        <v>40</v>
      </c>
      <c r="U26" s="171"/>
      <c r="V26" s="171"/>
      <c r="W26" s="171"/>
      <c r="X26" s="171"/>
      <c r="Y26" s="171"/>
      <c r="Z26" s="171"/>
      <c r="AA26" s="171"/>
      <c r="AB26" s="171"/>
      <c r="AC26" s="52">
        <f t="shared" si="1"/>
        <v>50</v>
      </c>
      <c r="AD26" s="171"/>
      <c r="AE26" s="171"/>
      <c r="AF26" s="171"/>
      <c r="AG26" s="171"/>
      <c r="AH26" s="171"/>
      <c r="AI26" s="171"/>
      <c r="AJ26" s="171"/>
      <c r="AK26" s="171"/>
      <c r="AL26" s="171"/>
      <c r="AM26" s="171"/>
      <c r="AN26" s="19" t="str">
        <f t="shared" si="2"/>
        <v/>
      </c>
    </row>
    <row r="27" spans="1:40" x14ac:dyDescent="0.25">
      <c r="A27" s="161">
        <f>IF('Avaliação Períodos'!A28=0,"",'Avaliação Períodos'!A28)</f>
        <v>20</v>
      </c>
      <c r="B27" s="455" t="str">
        <f>IF('Avaliação Períodos'!B28=0,"",'Avaliação Períodos'!B28)</f>
        <v>Samuel</v>
      </c>
      <c r="C27" s="456"/>
      <c r="D27" s="456"/>
      <c r="E27" s="456"/>
      <c r="F27" s="456"/>
      <c r="G27" s="457"/>
      <c r="H27" s="227">
        <v>90</v>
      </c>
      <c r="I27" s="123"/>
      <c r="J27" s="123"/>
      <c r="K27" s="123"/>
      <c r="L27" s="123"/>
      <c r="M27" s="123"/>
      <c r="N27" s="123"/>
      <c r="O27" s="123"/>
      <c r="P27" s="26"/>
      <c r="Q27" s="26"/>
      <c r="R27" s="62">
        <f t="shared" si="0"/>
        <v>90</v>
      </c>
      <c r="S27" s="173">
        <v>20</v>
      </c>
      <c r="T27" s="174">
        <v>55</v>
      </c>
      <c r="U27" s="174"/>
      <c r="V27" s="174"/>
      <c r="W27" s="174"/>
      <c r="X27" s="174"/>
      <c r="Y27" s="174"/>
      <c r="Z27" s="174"/>
      <c r="AA27" s="174"/>
      <c r="AB27" s="174"/>
      <c r="AC27" s="52">
        <f t="shared" si="1"/>
        <v>75</v>
      </c>
      <c r="AD27" s="174"/>
      <c r="AE27" s="174"/>
      <c r="AF27" s="174"/>
      <c r="AG27" s="174"/>
      <c r="AH27" s="174"/>
      <c r="AI27" s="174"/>
      <c r="AJ27" s="174"/>
      <c r="AK27" s="174"/>
      <c r="AL27" s="174"/>
      <c r="AM27" s="174"/>
      <c r="AN27" s="19" t="str">
        <f t="shared" si="2"/>
        <v/>
      </c>
    </row>
    <row r="28" spans="1:40" x14ac:dyDescent="0.25">
      <c r="A28" s="160">
        <f>IF('Avaliação Períodos'!A29=0,"",'Avaliação Períodos'!A29)</f>
        <v>21</v>
      </c>
      <c r="B28" s="458" t="str">
        <f>IF('Avaliação Períodos'!B29=0,"",'Avaliação Períodos'!B29)</f>
        <v xml:space="preserve"> Sara Ferreira Gonç</v>
      </c>
      <c r="C28" s="459"/>
      <c r="D28" s="459"/>
      <c r="E28" s="459"/>
      <c r="F28" s="459"/>
      <c r="G28" s="460"/>
      <c r="H28" s="228">
        <v>90</v>
      </c>
      <c r="I28" s="125"/>
      <c r="J28" s="125"/>
      <c r="K28" s="125"/>
      <c r="L28" s="125"/>
      <c r="M28" s="125"/>
      <c r="N28" s="125"/>
      <c r="O28" s="125"/>
      <c r="P28" s="24"/>
      <c r="Q28" s="24"/>
      <c r="R28" s="62">
        <f t="shared" si="0"/>
        <v>90</v>
      </c>
      <c r="S28" s="177">
        <v>20</v>
      </c>
      <c r="T28" s="171">
        <v>55</v>
      </c>
      <c r="U28" s="171"/>
      <c r="V28" s="171"/>
      <c r="W28" s="171"/>
      <c r="X28" s="171"/>
      <c r="Y28" s="171"/>
      <c r="Z28" s="171"/>
      <c r="AA28" s="171"/>
      <c r="AB28" s="171"/>
      <c r="AC28" s="52">
        <f t="shared" si="1"/>
        <v>75</v>
      </c>
      <c r="AD28" s="171"/>
      <c r="AE28" s="171"/>
      <c r="AF28" s="171"/>
      <c r="AG28" s="171"/>
      <c r="AH28" s="171"/>
      <c r="AI28" s="171"/>
      <c r="AJ28" s="171"/>
      <c r="AK28" s="171"/>
      <c r="AL28" s="171"/>
      <c r="AM28" s="171"/>
      <c r="AN28" s="19" t="str">
        <f t="shared" si="2"/>
        <v/>
      </c>
    </row>
    <row r="29" spans="1:40" x14ac:dyDescent="0.25">
      <c r="A29" s="161">
        <f>IF('Avaliação Períodos'!A30=0,"",'Avaliação Períodos'!A30)</f>
        <v>22</v>
      </c>
      <c r="B29" s="455" t="str">
        <f>IF('Avaliação Períodos'!B30=0,"",'Avaliação Períodos'!B30)</f>
        <v xml:space="preserve">Sara Gomes </v>
      </c>
      <c r="C29" s="456"/>
      <c r="D29" s="456"/>
      <c r="E29" s="456"/>
      <c r="F29" s="456"/>
      <c r="G29" s="457"/>
      <c r="H29" s="227">
        <v>90</v>
      </c>
      <c r="I29" s="123"/>
      <c r="J29" s="123"/>
      <c r="K29" s="123"/>
      <c r="L29" s="123"/>
      <c r="M29" s="123"/>
      <c r="N29" s="123"/>
      <c r="O29" s="123"/>
      <c r="P29" s="36"/>
      <c r="Q29" s="36"/>
      <c r="R29" s="62">
        <f t="shared" si="0"/>
        <v>90</v>
      </c>
      <c r="S29" s="178">
        <v>30</v>
      </c>
      <c r="T29" s="179">
        <v>35</v>
      </c>
      <c r="U29" s="179"/>
      <c r="V29" s="179"/>
      <c r="W29" s="179"/>
      <c r="X29" s="179"/>
      <c r="Y29" s="179"/>
      <c r="Z29" s="179"/>
      <c r="AA29" s="179"/>
      <c r="AB29" s="179"/>
      <c r="AC29" s="52">
        <f t="shared" si="1"/>
        <v>65</v>
      </c>
      <c r="AD29" s="179"/>
      <c r="AE29" s="179"/>
      <c r="AF29" s="179"/>
      <c r="AG29" s="179"/>
      <c r="AH29" s="179"/>
      <c r="AI29" s="179"/>
      <c r="AJ29" s="179"/>
      <c r="AK29" s="179"/>
      <c r="AL29" s="179"/>
      <c r="AM29" s="179"/>
      <c r="AN29" s="19" t="str">
        <f t="shared" si="2"/>
        <v/>
      </c>
    </row>
    <row r="30" spans="1:40" x14ac:dyDescent="0.25">
      <c r="A30" s="160">
        <f>IF('Avaliação Períodos'!A31=0,"",'Avaliação Períodos'!A31)</f>
        <v>23</v>
      </c>
      <c r="B30" s="458" t="str">
        <f>IF('Avaliação Períodos'!B31=0,"",'Avaliação Períodos'!B31)</f>
        <v>Simão Mendes</v>
      </c>
      <c r="C30" s="459"/>
      <c r="D30" s="459"/>
      <c r="E30" s="459"/>
      <c r="F30" s="459"/>
      <c r="G30" s="460"/>
      <c r="H30" s="228">
        <v>80</v>
      </c>
      <c r="I30" s="125"/>
      <c r="J30" s="125"/>
      <c r="K30" s="125"/>
      <c r="L30" s="125"/>
      <c r="M30" s="125"/>
      <c r="N30" s="125"/>
      <c r="O30" s="125"/>
      <c r="P30" s="24"/>
      <c r="Q30" s="24"/>
      <c r="R30" s="62">
        <f t="shared" si="0"/>
        <v>80</v>
      </c>
      <c r="S30" s="177">
        <v>20</v>
      </c>
      <c r="T30" s="171">
        <v>35</v>
      </c>
      <c r="U30" s="171"/>
      <c r="V30" s="171"/>
      <c r="W30" s="171"/>
      <c r="X30" s="171"/>
      <c r="Y30" s="171"/>
      <c r="Z30" s="171"/>
      <c r="AA30" s="171"/>
      <c r="AB30" s="171"/>
      <c r="AC30" s="52">
        <f t="shared" si="1"/>
        <v>55</v>
      </c>
      <c r="AD30" s="171"/>
      <c r="AE30" s="171"/>
      <c r="AF30" s="171"/>
      <c r="AG30" s="171"/>
      <c r="AH30" s="171"/>
      <c r="AI30" s="171"/>
      <c r="AJ30" s="171"/>
      <c r="AK30" s="171"/>
      <c r="AL30" s="171"/>
      <c r="AM30" s="171"/>
      <c r="AN30" s="19" t="str">
        <f t="shared" si="2"/>
        <v/>
      </c>
    </row>
    <row r="31" spans="1:40" x14ac:dyDescent="0.25">
      <c r="A31" s="161">
        <f>IF('Avaliação Períodos'!A32=0,"",'Avaliação Períodos'!A32)</f>
        <v>24</v>
      </c>
      <c r="B31" s="455" t="str">
        <f>IF('Avaliação Períodos'!B32=0,"",'Avaliação Períodos'!B32)</f>
        <v>Simão Pedosa</v>
      </c>
      <c r="C31" s="456"/>
      <c r="D31" s="456"/>
      <c r="E31" s="456"/>
      <c r="F31" s="456"/>
      <c r="G31" s="457"/>
      <c r="H31" s="227">
        <v>70</v>
      </c>
      <c r="I31" s="123"/>
      <c r="J31" s="123"/>
      <c r="K31" s="123"/>
      <c r="L31" s="123"/>
      <c r="M31" s="123"/>
      <c r="N31" s="123"/>
      <c r="O31" s="123"/>
      <c r="P31" s="26"/>
      <c r="Q31" s="26"/>
      <c r="R31" s="62">
        <f t="shared" si="0"/>
        <v>70</v>
      </c>
      <c r="S31" s="173">
        <v>30</v>
      </c>
      <c r="T31" s="174">
        <v>50</v>
      </c>
      <c r="U31" s="174"/>
      <c r="V31" s="174"/>
      <c r="W31" s="174"/>
      <c r="X31" s="174"/>
      <c r="Y31" s="174"/>
      <c r="Z31" s="174"/>
      <c r="AA31" s="174"/>
      <c r="AB31" s="174"/>
      <c r="AC31" s="52">
        <f t="shared" si="1"/>
        <v>80</v>
      </c>
      <c r="AD31" s="174"/>
      <c r="AE31" s="174"/>
      <c r="AF31" s="174"/>
      <c r="AG31" s="174"/>
      <c r="AH31" s="174"/>
      <c r="AI31" s="174"/>
      <c r="AJ31" s="174"/>
      <c r="AK31" s="174"/>
      <c r="AL31" s="174"/>
      <c r="AM31" s="174"/>
      <c r="AN31" s="19" t="str">
        <f t="shared" si="2"/>
        <v/>
      </c>
    </row>
    <row r="32" spans="1:40" x14ac:dyDescent="0.25">
      <c r="A32" s="160">
        <f>IF('Avaliação Períodos'!A33=0,"",'Avaliação Períodos'!A33)</f>
        <v>25</v>
      </c>
      <c r="B32" s="458" t="str">
        <f>IF('Avaliação Períodos'!B33=0,"",'Avaliação Períodos'!B33)</f>
        <v>Sofia</v>
      </c>
      <c r="C32" s="459"/>
      <c r="D32" s="459"/>
      <c r="E32" s="459"/>
      <c r="F32" s="459"/>
      <c r="G32" s="460"/>
      <c r="H32" s="228">
        <v>100</v>
      </c>
      <c r="I32" s="125"/>
      <c r="J32" s="125"/>
      <c r="K32" s="125"/>
      <c r="L32" s="125"/>
      <c r="M32" s="125"/>
      <c r="N32" s="125"/>
      <c r="O32" s="125"/>
      <c r="P32" s="24"/>
      <c r="Q32" s="24"/>
      <c r="R32" s="62">
        <f t="shared" si="0"/>
        <v>100</v>
      </c>
      <c r="S32" s="177">
        <v>30</v>
      </c>
      <c r="T32" s="171">
        <v>55</v>
      </c>
      <c r="U32" s="171"/>
      <c r="V32" s="171"/>
      <c r="W32" s="171"/>
      <c r="X32" s="171"/>
      <c r="Y32" s="171"/>
      <c r="Z32" s="171"/>
      <c r="AA32" s="171"/>
      <c r="AB32" s="171"/>
      <c r="AC32" s="52">
        <f t="shared" si="1"/>
        <v>85</v>
      </c>
      <c r="AD32" s="171"/>
      <c r="AE32" s="171"/>
      <c r="AF32" s="171"/>
      <c r="AG32" s="171"/>
      <c r="AH32" s="171"/>
      <c r="AI32" s="171"/>
      <c r="AJ32" s="171"/>
      <c r="AK32" s="171"/>
      <c r="AL32" s="171"/>
      <c r="AM32" s="171"/>
      <c r="AN32" s="19" t="str">
        <f t="shared" si="2"/>
        <v/>
      </c>
    </row>
    <row r="33" spans="1:40" x14ac:dyDescent="0.25">
      <c r="A33" s="161">
        <f>IF('Avaliação Períodos'!A34=0,"",'Avaliação Períodos'!A34)</f>
        <v>26</v>
      </c>
      <c r="B33" s="455" t="str">
        <f>IF('Avaliação Períodos'!B34=0,"",'Avaliação Períodos'!B34)</f>
        <v>Tomás</v>
      </c>
      <c r="C33" s="456"/>
      <c r="D33" s="456"/>
      <c r="E33" s="456"/>
      <c r="F33" s="456"/>
      <c r="G33" s="457"/>
      <c r="H33" s="227">
        <v>30</v>
      </c>
      <c r="I33" s="123"/>
      <c r="J33" s="123"/>
      <c r="K33" s="123"/>
      <c r="L33" s="123"/>
      <c r="M33" s="123"/>
      <c r="N33" s="123"/>
      <c r="O33" s="123"/>
      <c r="P33" s="26"/>
      <c r="Q33" s="26"/>
      <c r="R33" s="62">
        <f t="shared" si="0"/>
        <v>30</v>
      </c>
      <c r="S33" s="173">
        <v>30</v>
      </c>
      <c r="T33" s="174">
        <v>45</v>
      </c>
      <c r="U33" s="174"/>
      <c r="V33" s="174"/>
      <c r="W33" s="174"/>
      <c r="X33" s="174"/>
      <c r="Y33" s="174"/>
      <c r="Z33" s="174"/>
      <c r="AA33" s="174"/>
      <c r="AB33" s="174"/>
      <c r="AC33" s="52">
        <f t="shared" si="1"/>
        <v>75</v>
      </c>
      <c r="AD33" s="174"/>
      <c r="AE33" s="174"/>
      <c r="AF33" s="174"/>
      <c r="AG33" s="174"/>
      <c r="AH33" s="174"/>
      <c r="AI33" s="174"/>
      <c r="AJ33" s="174"/>
      <c r="AK33" s="174"/>
      <c r="AL33" s="174"/>
      <c r="AM33" s="174"/>
      <c r="AN33" s="19" t="str">
        <f t="shared" si="2"/>
        <v/>
      </c>
    </row>
    <row r="34" spans="1:40" x14ac:dyDescent="0.25">
      <c r="A34" s="160">
        <f>IF('Avaliação Períodos'!A35=0,"",'Avaliação Períodos'!A35)</f>
        <v>27</v>
      </c>
      <c r="B34" s="458" t="str">
        <f>IF('Avaliação Períodos'!B35=0,"",'Avaliação Períodos'!B35)</f>
        <v/>
      </c>
      <c r="C34" s="459"/>
      <c r="D34" s="459"/>
      <c r="E34" s="459"/>
      <c r="F34" s="459"/>
      <c r="G34" s="460"/>
      <c r="H34" s="124"/>
      <c r="I34" s="125"/>
      <c r="J34" s="125"/>
      <c r="K34" s="125"/>
      <c r="L34" s="125"/>
      <c r="M34" s="125"/>
      <c r="N34" s="125"/>
      <c r="O34" s="125"/>
      <c r="P34" s="24"/>
      <c r="Q34" s="24"/>
      <c r="R34" s="62" t="str">
        <f t="shared" si="0"/>
        <v/>
      </c>
      <c r="S34" s="177"/>
      <c r="T34" s="171"/>
      <c r="U34" s="171"/>
      <c r="V34" s="171"/>
      <c r="W34" s="171"/>
      <c r="X34" s="171"/>
      <c r="Y34" s="171"/>
      <c r="Z34" s="171"/>
      <c r="AA34" s="171"/>
      <c r="AB34" s="171"/>
      <c r="AC34" s="52" t="str">
        <f t="shared" si="1"/>
        <v/>
      </c>
      <c r="AD34" s="171"/>
      <c r="AE34" s="171"/>
      <c r="AF34" s="171"/>
      <c r="AG34" s="171"/>
      <c r="AH34" s="171"/>
      <c r="AI34" s="171"/>
      <c r="AJ34" s="171"/>
      <c r="AK34" s="171"/>
      <c r="AL34" s="171"/>
      <c r="AM34" s="171"/>
      <c r="AN34" s="19" t="str">
        <f t="shared" si="2"/>
        <v/>
      </c>
    </row>
    <row r="35" spans="1:40" x14ac:dyDescent="0.25">
      <c r="A35" s="161">
        <f>IF('Avaliação Períodos'!A36=0,"",'Avaliação Períodos'!A36)</f>
        <v>28</v>
      </c>
      <c r="B35" s="455" t="str">
        <f>IF('Avaliação Períodos'!B36=0,"",'Avaliação Períodos'!B36)</f>
        <v xml:space="preserve"> </v>
      </c>
      <c r="C35" s="456"/>
      <c r="D35" s="456"/>
      <c r="E35" s="456"/>
      <c r="F35" s="456"/>
      <c r="G35" s="457"/>
      <c r="H35" s="122"/>
      <c r="I35" s="123"/>
      <c r="J35" s="123"/>
      <c r="K35" s="123"/>
      <c r="L35" s="123"/>
      <c r="M35" s="123"/>
      <c r="N35" s="123"/>
      <c r="O35" s="123"/>
      <c r="P35" s="26"/>
      <c r="Q35" s="26"/>
      <c r="R35" s="62" t="str">
        <f t="shared" si="0"/>
        <v/>
      </c>
      <c r="S35" s="173"/>
      <c r="T35" s="174"/>
      <c r="U35" s="174"/>
      <c r="V35" s="174"/>
      <c r="W35" s="174"/>
      <c r="X35" s="174"/>
      <c r="Y35" s="174"/>
      <c r="Z35" s="174"/>
      <c r="AA35" s="174"/>
      <c r="AB35" s="174"/>
      <c r="AC35" s="52" t="str">
        <f t="shared" si="1"/>
        <v/>
      </c>
      <c r="AD35" s="174"/>
      <c r="AE35" s="174"/>
      <c r="AF35" s="174"/>
      <c r="AG35" s="174"/>
      <c r="AH35" s="174"/>
      <c r="AI35" s="174"/>
      <c r="AJ35" s="174"/>
      <c r="AK35" s="174"/>
      <c r="AL35" s="174"/>
      <c r="AM35" s="174"/>
      <c r="AN35" s="19" t="str">
        <f t="shared" si="2"/>
        <v/>
      </c>
    </row>
    <row r="36" spans="1:40" x14ac:dyDescent="0.25">
      <c r="A36" s="162">
        <f>IF('Avaliação Períodos'!A37=0,"",'Avaliação Períodos'!A37)</f>
        <v>29</v>
      </c>
      <c r="B36" s="458" t="str">
        <f>IF('Avaliação Períodos'!B37=0,"",'Avaliação Períodos'!B37)</f>
        <v/>
      </c>
      <c r="C36" s="459"/>
      <c r="D36" s="459"/>
      <c r="E36" s="459"/>
      <c r="F36" s="459"/>
      <c r="G36" s="460"/>
      <c r="H36" s="124"/>
      <c r="I36" s="125"/>
      <c r="J36" s="125"/>
      <c r="K36" s="125"/>
      <c r="L36" s="125"/>
      <c r="M36" s="125"/>
      <c r="N36" s="125"/>
      <c r="O36" s="125"/>
      <c r="P36" s="24"/>
      <c r="Q36" s="24"/>
      <c r="R36" s="62" t="str">
        <f t="shared" si="0"/>
        <v/>
      </c>
      <c r="S36" s="177"/>
      <c r="T36" s="171"/>
      <c r="U36" s="171"/>
      <c r="V36" s="171"/>
      <c r="W36" s="171"/>
      <c r="X36" s="171"/>
      <c r="Y36" s="171"/>
      <c r="Z36" s="171"/>
      <c r="AA36" s="171"/>
      <c r="AB36" s="171"/>
      <c r="AC36" s="52" t="str">
        <f t="shared" si="1"/>
        <v/>
      </c>
      <c r="AD36" s="182"/>
      <c r="AE36" s="182"/>
      <c r="AF36" s="182"/>
      <c r="AG36" s="182"/>
      <c r="AH36" s="182"/>
      <c r="AI36" s="182"/>
      <c r="AJ36" s="182"/>
      <c r="AK36" s="182"/>
      <c r="AL36" s="182"/>
      <c r="AM36" s="182"/>
      <c r="AN36" s="19" t="str">
        <f t="shared" si="2"/>
        <v/>
      </c>
    </row>
    <row r="37" spans="1:40" x14ac:dyDescent="0.25">
      <c r="A37" s="163">
        <f>IF('Avaliação Períodos'!A38=0,"",'Avaliação Períodos'!A38)</f>
        <v>30</v>
      </c>
      <c r="B37" s="455" t="str">
        <f>IF('Avaliação Períodos'!B38=0,"",'Avaliação Períodos'!B38)</f>
        <v xml:space="preserve"> </v>
      </c>
      <c r="C37" s="456"/>
      <c r="D37" s="456"/>
      <c r="E37" s="456"/>
      <c r="F37" s="456"/>
      <c r="G37" s="457"/>
      <c r="H37" s="126"/>
      <c r="I37" s="127"/>
      <c r="J37" s="127"/>
      <c r="K37" s="127"/>
      <c r="L37" s="127"/>
      <c r="M37" s="127"/>
      <c r="N37" s="127"/>
      <c r="O37" s="128"/>
      <c r="P37" s="23"/>
      <c r="Q37" s="23"/>
      <c r="R37" s="86" t="str">
        <f t="shared" si="0"/>
        <v/>
      </c>
      <c r="S37" s="213"/>
      <c r="T37" s="211"/>
      <c r="U37" s="211"/>
      <c r="V37" s="211"/>
      <c r="W37" s="211"/>
      <c r="X37" s="211"/>
      <c r="Y37" s="211"/>
      <c r="Z37" s="211"/>
      <c r="AA37" s="211"/>
      <c r="AB37" s="211"/>
      <c r="AC37" s="52" t="str">
        <f t="shared" si="1"/>
        <v/>
      </c>
      <c r="AD37" s="193"/>
      <c r="AE37" s="193"/>
      <c r="AF37" s="193"/>
      <c r="AG37" s="193"/>
      <c r="AH37" s="193"/>
      <c r="AI37" s="193"/>
      <c r="AJ37" s="193"/>
      <c r="AK37" s="193"/>
      <c r="AL37" s="193"/>
      <c r="AM37" s="193"/>
      <c r="AN37" s="42" t="str">
        <f t="shared" si="2"/>
        <v/>
      </c>
    </row>
    <row r="38" spans="1:40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446" t="s">
        <v>65</v>
      </c>
      <c r="P38" s="447"/>
      <c r="Q38" s="448"/>
      <c r="R38" s="223">
        <f>IF(COUNT(R8:R37)=0,"",AVERAGE(R8:R37))</f>
        <v>77.692307692307693</v>
      </c>
      <c r="S38" s="63"/>
      <c r="T38" s="63"/>
      <c r="U38" s="74"/>
      <c r="V38" s="63"/>
      <c r="W38" s="63"/>
      <c r="X38" s="63"/>
      <c r="Y38" s="63"/>
      <c r="Z38" s="446" t="s">
        <v>65</v>
      </c>
      <c r="AA38" s="447"/>
      <c r="AB38" s="448"/>
      <c r="AC38" s="195">
        <f>IF(COUNT(AC8:AC37)=0,"",AVERAGE(AC8:AC37))</f>
        <v>67.884615384615387</v>
      </c>
      <c r="AD38" s="63"/>
      <c r="AE38" s="63"/>
      <c r="AF38" s="63"/>
      <c r="AG38" s="63"/>
      <c r="AH38" s="63"/>
      <c r="AI38" s="63"/>
      <c r="AJ38" s="63"/>
      <c r="AK38" s="446" t="s">
        <v>65</v>
      </c>
      <c r="AL38" s="447"/>
      <c r="AM38" s="448"/>
      <c r="AN38" s="195" t="str">
        <f>IF(COUNTBLANK(AN8:AN37)=30,"",AVERAGE(AN8:AN37))</f>
        <v/>
      </c>
    </row>
    <row r="39" spans="1:40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446" t="s">
        <v>66</v>
      </c>
      <c r="P39" s="447"/>
      <c r="Q39" s="448"/>
      <c r="R39" s="196">
        <f>COUNTIF(R8:R37,"&lt;50")</f>
        <v>1</v>
      </c>
      <c r="S39" s="64"/>
      <c r="T39" s="64"/>
      <c r="U39" s="64"/>
      <c r="V39" s="64"/>
      <c r="W39" s="64"/>
      <c r="X39" s="64"/>
      <c r="Y39" s="64"/>
      <c r="Z39" s="446" t="s">
        <v>66</v>
      </c>
      <c r="AA39" s="447"/>
      <c r="AB39" s="448"/>
      <c r="AC39" s="196">
        <f>COUNTIF(AC8:AC37,"&lt;50")</f>
        <v>2</v>
      </c>
      <c r="AD39" s="64"/>
      <c r="AE39" s="64"/>
      <c r="AF39" s="64"/>
      <c r="AG39" s="64"/>
      <c r="AH39" s="64"/>
      <c r="AI39" s="64"/>
      <c r="AJ39" s="64"/>
      <c r="AK39" s="446" t="s">
        <v>66</v>
      </c>
      <c r="AL39" s="447"/>
      <c r="AM39" s="448"/>
      <c r="AN39" s="196">
        <f>COUNTIF(AN8:AN37,"&lt;50")</f>
        <v>0</v>
      </c>
    </row>
    <row r="40" spans="1:40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446" t="s">
        <v>67</v>
      </c>
      <c r="P40" s="447"/>
      <c r="Q40" s="448"/>
      <c r="R40" s="197">
        <f>IF(COUNT(R8:R37)=0,"",R39/(COUNT(R8:R37))*100)</f>
        <v>3.8461538461538463</v>
      </c>
      <c r="S40" s="65"/>
      <c r="T40" s="65"/>
      <c r="U40" s="65"/>
      <c r="V40" s="65"/>
      <c r="W40" s="65"/>
      <c r="X40" s="65"/>
      <c r="Y40" s="65"/>
      <c r="Z40" s="446" t="s">
        <v>67</v>
      </c>
      <c r="AA40" s="447"/>
      <c r="AB40" s="448"/>
      <c r="AC40" s="197">
        <f>IF(COUNT(AC8:AC37)=0,"",AC39/(COUNT(AC8:AC37))*100)</f>
        <v>7.6923076923076925</v>
      </c>
      <c r="AD40" s="65"/>
      <c r="AE40" s="65"/>
      <c r="AF40" s="65"/>
      <c r="AG40" s="65"/>
      <c r="AH40" s="65"/>
      <c r="AI40" s="65"/>
      <c r="AJ40" s="65"/>
      <c r="AK40" s="446" t="s">
        <v>67</v>
      </c>
      <c r="AL40" s="447"/>
      <c r="AM40" s="448"/>
      <c r="AN40" s="197" t="str">
        <f>IF(COUNT(AN8:AN37)=0,"",$AN39/(COUNT(AN8:AN37))*100)</f>
        <v/>
      </c>
    </row>
  </sheetData>
  <sheetProtection algorithmName="SHA-512" hashValue="ySDrouqAkmCZv2OAQijTAWEgYUAor/j1xxmiTfU9RitNA+B8be46pk9/LUR11zJvD21v0lQvzpDCGW3FQ2bErQ==" saltValue="mvZrnzzw7Jp+xK1CT05NSQ==" spinCount="100000" sheet="1" objects="1" scenarios="1"/>
  <mergeCells count="49">
    <mergeCell ref="B13:G13"/>
    <mergeCell ref="B14:G14"/>
    <mergeCell ref="B15:G15"/>
    <mergeCell ref="B16:G16"/>
    <mergeCell ref="B17:G17"/>
    <mergeCell ref="B30:G30"/>
    <mergeCell ref="B19:G19"/>
    <mergeCell ref="B20:G20"/>
    <mergeCell ref="B21:G21"/>
    <mergeCell ref="B22:G22"/>
    <mergeCell ref="B23:G23"/>
    <mergeCell ref="B24:G24"/>
    <mergeCell ref="B25:G25"/>
    <mergeCell ref="B26:G26"/>
    <mergeCell ref="B27:G27"/>
    <mergeCell ref="B28:G28"/>
    <mergeCell ref="B29:G29"/>
    <mergeCell ref="B7:G7"/>
    <mergeCell ref="H3:AN3"/>
    <mergeCell ref="A4:G5"/>
    <mergeCell ref="H4:Q5"/>
    <mergeCell ref="R4:R6"/>
    <mergeCell ref="S4:AB5"/>
    <mergeCell ref="AC4:AC6"/>
    <mergeCell ref="AD4:AM5"/>
    <mergeCell ref="AN4:AN6"/>
    <mergeCell ref="A6:G6"/>
    <mergeCell ref="B8:G8"/>
    <mergeCell ref="B9:G9"/>
    <mergeCell ref="B10:G10"/>
    <mergeCell ref="B11:G11"/>
    <mergeCell ref="B12:G12"/>
    <mergeCell ref="B37:G37"/>
    <mergeCell ref="B31:G31"/>
    <mergeCell ref="B32:G32"/>
    <mergeCell ref="B33:G33"/>
    <mergeCell ref="B34:G34"/>
    <mergeCell ref="B35:G35"/>
    <mergeCell ref="B36:G36"/>
    <mergeCell ref="B18:G18"/>
    <mergeCell ref="AK38:AM38"/>
    <mergeCell ref="Z38:AB38"/>
    <mergeCell ref="AK39:AM39"/>
    <mergeCell ref="Z39:AB39"/>
    <mergeCell ref="AK40:AM40"/>
    <mergeCell ref="Z40:AB40"/>
    <mergeCell ref="O38:Q38"/>
    <mergeCell ref="O39:Q39"/>
    <mergeCell ref="O40:Q40"/>
  </mergeCells>
  <dataValidations count="6">
    <dataValidation type="decimal" operator="lessThanOrEqual" allowBlank="1" showErrorMessage="1" errorTitle="Erro." error="Ultrapassou cotação máxima." sqref="AD8:AM37 S8:AB37" xr:uid="{00000000-0002-0000-0100-000000000000}">
      <formula1>S$7</formula1>
    </dataValidation>
    <dataValidation type="decimal" operator="lessThan" allowBlank="1" showInputMessage="1" showErrorMessage="1" sqref="AC8:AC37" xr:uid="{00000000-0002-0000-0100-000001000000}">
      <formula1>AC$7</formula1>
    </dataValidation>
    <dataValidation type="decimal" operator="lessThan" allowBlank="1" showInputMessage="1" showErrorMessage="1" sqref="H7" xr:uid="{00000000-0002-0000-0100-000002000000}">
      <formula1>H6</formula1>
    </dataValidation>
    <dataValidation type="decimal" operator="lessThanOrEqual" allowBlank="1" showInputMessage="1" showErrorMessage="1" errorTitle="ERRO!" error="A pergunta não vale tanto!..." sqref="R8:R37" xr:uid="{00000000-0002-0000-0100-000003000000}">
      <formula1>R$7</formula1>
    </dataValidation>
    <dataValidation type="decimal" operator="lessThanOrEqual" allowBlank="1" showInputMessage="1" showErrorMessage="1" errorTitle="Erro." error="Ultrapassou cotação máxima." sqref="H8:Q37" xr:uid="{00000000-0002-0000-0100-000004000000}">
      <formula1>H$7</formula1>
    </dataValidation>
    <dataValidation type="decimal" operator="lessThanOrEqual" allowBlank="1" showErrorMessage="1" errorTitle="ERRO!" error="A pergunta não vale tanto!" sqref="Q6" xr:uid="{00000000-0002-0000-0100-000005000000}">
      <formula1>Q$7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olha3">
    <pageSetUpPr autoPageBreaks="0"/>
  </sheetPr>
  <dimension ref="A1:AK41"/>
  <sheetViews>
    <sheetView zoomScaleNormal="100" workbookViewId="0">
      <pane xSplit="7" ySplit="7" topLeftCell="J8" activePane="bottomRight" state="frozen"/>
      <selection pane="topRight" activeCell="H1" sqref="H1"/>
      <selection pane="bottomLeft" activeCell="A8" sqref="A8"/>
      <selection pane="bottomRight" activeCell="N6" sqref="N6"/>
    </sheetView>
  </sheetViews>
  <sheetFormatPr defaultRowHeight="15" x14ac:dyDescent="0.25"/>
  <cols>
    <col min="1" max="1" width="7" style="102" customWidth="1"/>
    <col min="2" max="2" width="2.42578125" style="102" customWidth="1"/>
    <col min="3" max="3" width="9.140625" style="102" hidden="1" customWidth="1"/>
    <col min="4" max="4" width="1.5703125" style="102" customWidth="1"/>
    <col min="5" max="5" width="7.5703125" style="102" customWidth="1"/>
    <col min="6" max="6" width="5.140625" style="102" customWidth="1"/>
    <col min="7" max="7" width="5" style="102" customWidth="1"/>
    <col min="8" max="12" width="9.140625" style="102" customWidth="1"/>
    <col min="13" max="13" width="9.42578125" style="102" customWidth="1"/>
    <col min="14" max="15" width="9.85546875" style="102" customWidth="1"/>
    <col min="16" max="21" width="9.140625" style="102"/>
    <col min="22" max="23" width="10.28515625" style="102" customWidth="1"/>
    <col min="24" max="29" width="9.140625" style="102"/>
    <col min="30" max="30" width="9.85546875" style="102" customWidth="1"/>
    <col min="31" max="31" width="9.7109375" style="102" customWidth="1"/>
    <col min="32" max="16384" width="9.140625" style="102"/>
  </cols>
  <sheetData>
    <row r="1" spans="1:37" ht="27" x14ac:dyDescent="0.35">
      <c r="A1" s="1" t="s">
        <v>32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108" t="str">
        <f>IF([1]ENTRADA!B5=0,"",[1]ENTRADA!B5)</f>
        <v/>
      </c>
      <c r="AA1" s="3"/>
      <c r="AB1" s="2"/>
      <c r="AC1" s="2"/>
      <c r="AD1" s="2"/>
    </row>
    <row r="2" spans="1:37" ht="27" x14ac:dyDescent="0.25">
      <c r="A2" s="6" t="s">
        <v>3</v>
      </c>
      <c r="B2" s="1"/>
      <c r="C2" s="1"/>
      <c r="D2" s="1"/>
      <c r="E2" s="1"/>
      <c r="F2" s="1"/>
      <c r="G2" s="1"/>
      <c r="H2" s="1"/>
      <c r="I2" s="1"/>
      <c r="J2" s="1"/>
      <c r="K2" s="1" t="s">
        <v>83</v>
      </c>
      <c r="L2" s="1"/>
      <c r="M2" s="1"/>
      <c r="N2" s="1"/>
      <c r="O2" s="1"/>
      <c r="P2" s="1"/>
      <c r="Q2" s="1"/>
      <c r="R2" s="1"/>
      <c r="S2" s="1" t="s">
        <v>83</v>
      </c>
      <c r="T2" s="1"/>
      <c r="U2" s="1"/>
      <c r="V2" s="1"/>
      <c r="W2" s="1"/>
      <c r="X2" s="7"/>
      <c r="Y2" s="8"/>
      <c r="Z2" s="9"/>
      <c r="AA2" s="4" t="s">
        <v>83</v>
      </c>
      <c r="AB2" s="4"/>
      <c r="AC2" s="4"/>
      <c r="AD2" s="10"/>
    </row>
    <row r="3" spans="1:37" ht="20.25" customHeight="1" x14ac:dyDescent="0.3">
      <c r="A3" s="481"/>
      <c r="B3" s="482"/>
      <c r="C3" s="482"/>
      <c r="D3" s="482"/>
      <c r="E3" s="482"/>
      <c r="F3" s="482"/>
      <c r="G3" s="482"/>
      <c r="H3" s="483" t="s">
        <v>70</v>
      </c>
      <c r="I3" s="476"/>
      <c r="J3" s="476"/>
      <c r="K3" s="476"/>
      <c r="L3" s="476"/>
      <c r="M3" s="476"/>
      <c r="N3" s="476"/>
      <c r="O3" s="476"/>
      <c r="P3" s="476"/>
      <c r="Q3" s="476"/>
      <c r="R3" s="476"/>
      <c r="S3" s="476"/>
      <c r="T3" s="476"/>
      <c r="U3" s="476"/>
      <c r="V3" s="476"/>
      <c r="W3" s="476"/>
      <c r="X3" s="476"/>
      <c r="Y3" s="476"/>
      <c r="Z3" s="476"/>
      <c r="AA3" s="476"/>
      <c r="AB3" s="476"/>
      <c r="AC3" s="476"/>
      <c r="AD3" s="476"/>
      <c r="AE3" s="477"/>
      <c r="AF3" s="5"/>
      <c r="AG3" s="5"/>
      <c r="AH3" s="5"/>
    </row>
    <row r="4" spans="1:37" ht="15.75" customHeight="1" x14ac:dyDescent="0.25">
      <c r="A4" s="12"/>
      <c r="B4" s="13"/>
      <c r="C4" s="13"/>
      <c r="D4" s="478"/>
      <c r="E4" s="478"/>
      <c r="F4" s="478"/>
      <c r="G4" s="463"/>
      <c r="H4" s="449" t="s">
        <v>69</v>
      </c>
      <c r="I4" s="450"/>
      <c r="J4" s="450"/>
      <c r="K4" s="450"/>
      <c r="L4" s="450"/>
      <c r="M4" s="450"/>
      <c r="N4" s="450"/>
      <c r="O4" s="451"/>
      <c r="P4" s="449" t="s">
        <v>71</v>
      </c>
      <c r="Q4" s="450"/>
      <c r="R4" s="450"/>
      <c r="S4" s="450"/>
      <c r="T4" s="450"/>
      <c r="U4" s="450"/>
      <c r="V4" s="450"/>
      <c r="W4" s="451"/>
      <c r="X4" s="450" t="s">
        <v>72</v>
      </c>
      <c r="Y4" s="450"/>
      <c r="Z4" s="450"/>
      <c r="AA4" s="450"/>
      <c r="AB4" s="450"/>
      <c r="AC4" s="450"/>
      <c r="AD4" s="450"/>
      <c r="AE4" s="451"/>
      <c r="AF4" s="11"/>
      <c r="AG4" s="11"/>
      <c r="AH4" s="11"/>
      <c r="AI4" s="11"/>
      <c r="AJ4" s="11"/>
      <c r="AK4" s="2"/>
    </row>
    <row r="5" spans="1:37" ht="15.75" customHeight="1" x14ac:dyDescent="0.25">
      <c r="A5" s="12"/>
      <c r="B5" s="13"/>
      <c r="C5" s="13"/>
      <c r="D5" s="478"/>
      <c r="E5" s="478"/>
      <c r="F5" s="478"/>
      <c r="G5" s="463"/>
      <c r="H5" s="452"/>
      <c r="I5" s="453"/>
      <c r="J5" s="453"/>
      <c r="K5" s="453"/>
      <c r="L5" s="453"/>
      <c r="M5" s="453"/>
      <c r="N5" s="453"/>
      <c r="O5" s="454"/>
      <c r="P5" s="452"/>
      <c r="Q5" s="453"/>
      <c r="R5" s="453"/>
      <c r="S5" s="453"/>
      <c r="T5" s="453"/>
      <c r="U5" s="453"/>
      <c r="V5" s="453"/>
      <c r="W5" s="454"/>
      <c r="X5" s="453"/>
      <c r="Y5" s="453"/>
      <c r="Z5" s="453"/>
      <c r="AA5" s="453"/>
      <c r="AB5" s="453"/>
      <c r="AC5" s="453"/>
      <c r="AD5" s="453"/>
      <c r="AE5" s="454"/>
      <c r="AF5" s="11"/>
      <c r="AG5" s="11"/>
      <c r="AH5" s="11"/>
      <c r="AI5" s="11"/>
      <c r="AJ5" s="11"/>
      <c r="AK5" s="2"/>
    </row>
    <row r="6" spans="1:37" ht="28.5" customHeight="1" x14ac:dyDescent="0.25">
      <c r="A6" s="14"/>
      <c r="B6" s="58"/>
      <c r="C6" s="58"/>
      <c r="D6" s="462" t="s">
        <v>36</v>
      </c>
      <c r="E6" s="462"/>
      <c r="F6" s="462"/>
      <c r="G6" s="463"/>
      <c r="H6" s="220">
        <v>1</v>
      </c>
      <c r="I6" s="221">
        <v>2</v>
      </c>
      <c r="J6" s="221"/>
      <c r="K6" s="221"/>
      <c r="L6" s="221"/>
      <c r="M6" s="222"/>
      <c r="N6" s="90" t="s">
        <v>81</v>
      </c>
      <c r="O6" s="90" t="s">
        <v>80</v>
      </c>
      <c r="P6" s="91">
        <v>1</v>
      </c>
      <c r="Q6" s="88" t="s">
        <v>115</v>
      </c>
      <c r="R6" s="88" t="s">
        <v>116</v>
      </c>
      <c r="S6" s="88" t="s">
        <v>117</v>
      </c>
      <c r="T6" s="88"/>
      <c r="U6" s="89"/>
      <c r="V6" s="90" t="s">
        <v>81</v>
      </c>
      <c r="W6" s="90" t="s">
        <v>80</v>
      </c>
      <c r="X6" s="87"/>
      <c r="Y6" s="88"/>
      <c r="Z6" s="88"/>
      <c r="AA6" s="88"/>
      <c r="AB6" s="88"/>
      <c r="AC6" s="89"/>
      <c r="AD6" s="90" t="s">
        <v>81</v>
      </c>
      <c r="AE6" s="90" t="s">
        <v>80</v>
      </c>
      <c r="AF6" s="484"/>
      <c r="AG6" s="484"/>
      <c r="AH6" s="97"/>
      <c r="AI6" s="15"/>
      <c r="AJ6" s="2"/>
    </row>
    <row r="7" spans="1:37" ht="28.5" customHeight="1" x14ac:dyDescent="0.25">
      <c r="A7" s="44" t="s">
        <v>9</v>
      </c>
      <c r="B7" s="473" t="s">
        <v>73</v>
      </c>
      <c r="C7" s="474"/>
      <c r="D7" s="474"/>
      <c r="E7" s="474"/>
      <c r="F7" s="474"/>
      <c r="G7" s="485"/>
      <c r="H7" s="80">
        <v>80</v>
      </c>
      <c r="I7" s="81">
        <v>12</v>
      </c>
      <c r="J7" s="81">
        <v>8</v>
      </c>
      <c r="K7" s="81"/>
      <c r="L7" s="81"/>
      <c r="M7" s="112"/>
      <c r="N7" s="117">
        <f>IF(OR(SUM(H7:M7)&gt;100,SUM(H7:M7)&lt;0),"",SUM(H7:M7))</f>
        <v>100</v>
      </c>
      <c r="O7" s="107">
        <v>100</v>
      </c>
      <c r="P7" s="80">
        <v>40</v>
      </c>
      <c r="Q7" s="81">
        <v>20</v>
      </c>
      <c r="R7" s="81">
        <v>20</v>
      </c>
      <c r="S7" s="81">
        <v>20</v>
      </c>
      <c r="T7" s="81"/>
      <c r="U7" s="81"/>
      <c r="V7" s="118">
        <f>IF(OR(SUM(P7:U7)&gt;100,SUM(P7:U7)&lt;0),"",SUM(P7:U7))</f>
        <v>100</v>
      </c>
      <c r="W7" s="83">
        <v>100</v>
      </c>
      <c r="X7" s="82"/>
      <c r="Y7" s="82"/>
      <c r="Z7" s="82"/>
      <c r="AA7" s="82"/>
      <c r="AB7" s="82"/>
      <c r="AC7" s="82"/>
      <c r="AD7" s="119">
        <f>IF(OR(SUM(X7:AC7)&gt;100,SUM(X7:AC7)&lt;0),"",SUM(X7:AC7))</f>
        <v>0</v>
      </c>
      <c r="AE7" s="83">
        <v>100</v>
      </c>
      <c r="AJ7" s="2"/>
    </row>
    <row r="8" spans="1:37" ht="15" customHeight="1" x14ac:dyDescent="0.25">
      <c r="A8" s="160">
        <f>IF('Avaliação Períodos'!A9=0,"",'Avaliação Períodos'!A9)</f>
        <v>1</v>
      </c>
      <c r="B8" s="486" t="str">
        <f>IF('Avaliação Períodos'!B9=0,"",'Avaliação Períodos'!B9)</f>
        <v>Afonso</v>
      </c>
      <c r="C8" s="487"/>
      <c r="D8" s="487"/>
      <c r="E8" s="487"/>
      <c r="F8" s="487"/>
      <c r="G8" s="488"/>
      <c r="H8" s="224">
        <v>70</v>
      </c>
      <c r="I8" s="164">
        <v>12</v>
      </c>
      <c r="J8" s="164">
        <v>8</v>
      </c>
      <c r="K8" s="164"/>
      <c r="L8" s="165"/>
      <c r="M8" s="165"/>
      <c r="N8" s="19">
        <f>IF(COUNT(H8:M8)=0,"",SUM(H8:M8))</f>
        <v>90</v>
      </c>
      <c r="O8" s="114">
        <v>65</v>
      </c>
      <c r="P8" s="184">
        <v>0</v>
      </c>
      <c r="Q8" s="185">
        <v>0</v>
      </c>
      <c r="R8" s="185">
        <v>20</v>
      </c>
      <c r="S8" s="185">
        <v>0</v>
      </c>
      <c r="T8" s="185"/>
      <c r="U8" s="185"/>
      <c r="V8" s="19">
        <f>IF(COUNT(P8:U8)=0,"",SUM(P8:U8))</f>
        <v>20</v>
      </c>
      <c r="W8" s="116">
        <v>0</v>
      </c>
      <c r="X8" s="186"/>
      <c r="Y8" s="186"/>
      <c r="Z8" s="186"/>
      <c r="AA8" s="186"/>
      <c r="AB8" s="186"/>
      <c r="AC8" s="186"/>
      <c r="AD8" s="19" t="str">
        <f>IF(COUNT(X8:AC8)=0,"",SUM(H8:M8))</f>
        <v/>
      </c>
      <c r="AE8" s="116"/>
      <c r="AJ8" s="2"/>
    </row>
    <row r="9" spans="1:37" ht="15" customHeight="1" x14ac:dyDescent="0.25">
      <c r="A9" s="161">
        <f>IF('Avaliação Períodos'!A10=0,"",'Avaliação Períodos'!A10)</f>
        <v>2</v>
      </c>
      <c r="B9" s="489" t="str">
        <f>IF('Avaliação Períodos'!B10=0,"",'Avaliação Períodos'!B10)</f>
        <v>Afonso Cravo</v>
      </c>
      <c r="C9" s="490"/>
      <c r="D9" s="490"/>
      <c r="E9" s="490"/>
      <c r="F9" s="490"/>
      <c r="G9" s="491"/>
      <c r="H9" s="166">
        <v>40</v>
      </c>
      <c r="I9" s="167">
        <v>6</v>
      </c>
      <c r="J9" s="167">
        <v>4</v>
      </c>
      <c r="K9" s="167"/>
      <c r="L9" s="168"/>
      <c r="M9" s="169"/>
      <c r="N9" s="19">
        <f>IF(COUNT(H9:M9)=0,"",SUM(H9:M9))</f>
        <v>50</v>
      </c>
      <c r="O9" s="114">
        <v>60</v>
      </c>
      <c r="P9" s="166">
        <v>0</v>
      </c>
      <c r="Q9" s="167">
        <v>20</v>
      </c>
      <c r="R9" s="167">
        <v>20</v>
      </c>
      <c r="S9" s="167">
        <v>0</v>
      </c>
      <c r="T9" s="167"/>
      <c r="U9" s="167"/>
      <c r="V9" s="19">
        <f>IF(COUNT(P9:U9)=0,"",SUM(P9:U9))</f>
        <v>40</v>
      </c>
      <c r="W9" s="116">
        <v>0</v>
      </c>
      <c r="X9" s="187"/>
      <c r="Y9" s="187"/>
      <c r="Z9" s="187"/>
      <c r="AA9" s="187"/>
      <c r="AB9" s="187"/>
      <c r="AC9" s="187"/>
      <c r="AD9" s="19" t="str">
        <f t="shared" ref="AD9:AD37" si="0">IF(COUNT(X9:AC9)=0,"",SUM(H9:M9))</f>
        <v/>
      </c>
      <c r="AE9" s="116"/>
      <c r="AJ9" s="2"/>
    </row>
    <row r="10" spans="1:37" ht="15" customHeight="1" x14ac:dyDescent="0.25">
      <c r="A10" s="160">
        <f>IF('Avaliação Períodos'!A11=0,"",'Avaliação Períodos'!A11)</f>
        <v>3</v>
      </c>
      <c r="B10" s="492" t="str">
        <f>IF('Avaliação Períodos'!B11=0,"",'Avaliação Períodos'!B11)</f>
        <v>Ândria</v>
      </c>
      <c r="C10" s="493"/>
      <c r="D10" s="493"/>
      <c r="E10" s="493"/>
      <c r="F10" s="493"/>
      <c r="G10" s="494"/>
      <c r="H10" s="170">
        <v>60</v>
      </c>
      <c r="I10" s="171">
        <v>0</v>
      </c>
      <c r="J10" s="171">
        <v>0</v>
      </c>
      <c r="K10" s="171"/>
      <c r="L10" s="172"/>
      <c r="M10" s="172"/>
      <c r="N10" s="19">
        <f t="shared" ref="N10:N37" si="1">IF(COUNT(H10:M10)=0,"",SUM(H10:M10))</f>
        <v>60</v>
      </c>
      <c r="O10" s="114">
        <v>40</v>
      </c>
      <c r="P10" s="170">
        <v>40</v>
      </c>
      <c r="Q10" s="171">
        <v>0</v>
      </c>
      <c r="R10" s="171">
        <v>20</v>
      </c>
      <c r="S10" s="171">
        <v>0</v>
      </c>
      <c r="T10" s="171"/>
      <c r="U10" s="171"/>
      <c r="V10" s="19">
        <f t="shared" ref="V10:V37" si="2">IF(COUNT(P10:U10)=0,"",SUM(P10:U10))</f>
        <v>60</v>
      </c>
      <c r="W10" s="116">
        <v>80</v>
      </c>
      <c r="X10" s="188"/>
      <c r="Y10" s="188"/>
      <c r="Z10" s="188"/>
      <c r="AA10" s="188"/>
      <c r="AB10" s="188"/>
      <c r="AC10" s="188"/>
      <c r="AD10" s="19" t="str">
        <f t="shared" si="0"/>
        <v/>
      </c>
      <c r="AE10" s="116"/>
      <c r="AJ10" s="2"/>
    </row>
    <row r="11" spans="1:37" ht="15" customHeight="1" x14ac:dyDescent="0.25">
      <c r="A11" s="161">
        <f>IF('Avaliação Períodos'!A12=0,"",'Avaliação Períodos'!A12)</f>
        <v>4</v>
      </c>
      <c r="B11" s="489" t="str">
        <f>IF('Avaliação Períodos'!B12=0,"",'Avaliação Períodos'!B12)</f>
        <v>Bernardo Gomes</v>
      </c>
      <c r="C11" s="490"/>
      <c r="D11" s="490"/>
      <c r="E11" s="490"/>
      <c r="F11" s="490"/>
      <c r="G11" s="491"/>
      <c r="H11" s="173">
        <v>80</v>
      </c>
      <c r="I11" s="174">
        <v>12</v>
      </c>
      <c r="J11" s="174">
        <v>8</v>
      </c>
      <c r="K11" s="174"/>
      <c r="L11" s="175"/>
      <c r="M11" s="175"/>
      <c r="N11" s="19">
        <f t="shared" si="1"/>
        <v>100</v>
      </c>
      <c r="O11" s="114">
        <v>70</v>
      </c>
      <c r="P11" s="173">
        <v>40</v>
      </c>
      <c r="Q11" s="174">
        <v>0</v>
      </c>
      <c r="R11" s="174">
        <v>20</v>
      </c>
      <c r="S11" s="174">
        <v>0</v>
      </c>
      <c r="T11" s="174"/>
      <c r="U11" s="174"/>
      <c r="V11" s="19">
        <f t="shared" si="2"/>
        <v>60</v>
      </c>
      <c r="W11" s="116">
        <v>80</v>
      </c>
      <c r="X11" s="189"/>
      <c r="Y11" s="189"/>
      <c r="Z11" s="189"/>
      <c r="AA11" s="189"/>
      <c r="AB11" s="189"/>
      <c r="AC11" s="189"/>
      <c r="AD11" s="19" t="str">
        <f t="shared" si="0"/>
        <v/>
      </c>
      <c r="AE11" s="116"/>
      <c r="AJ11" s="2"/>
    </row>
    <row r="12" spans="1:37" ht="15" customHeight="1" x14ac:dyDescent="0.25">
      <c r="A12" s="160">
        <f>IF('Avaliação Períodos'!A13=0,"",'Avaliação Períodos'!A13)</f>
        <v>5</v>
      </c>
      <c r="B12" s="492" t="str">
        <f>IF('Avaliação Períodos'!B13=0,"",'Avaliação Períodos'!B13)</f>
        <v xml:space="preserve"> Bernardo Gaspar</v>
      </c>
      <c r="C12" s="493"/>
      <c r="D12" s="493"/>
      <c r="E12" s="493"/>
      <c r="F12" s="493"/>
      <c r="G12" s="494"/>
      <c r="H12" s="170">
        <v>50</v>
      </c>
      <c r="I12" s="171">
        <v>0</v>
      </c>
      <c r="J12" s="171">
        <v>0</v>
      </c>
      <c r="K12" s="171"/>
      <c r="L12" s="172"/>
      <c r="M12" s="172"/>
      <c r="N12" s="19">
        <f t="shared" si="1"/>
        <v>50</v>
      </c>
      <c r="O12" s="114">
        <v>60</v>
      </c>
      <c r="P12" s="170">
        <v>40</v>
      </c>
      <c r="Q12" s="171">
        <v>0</v>
      </c>
      <c r="R12" s="171">
        <v>20</v>
      </c>
      <c r="S12" s="171">
        <v>0</v>
      </c>
      <c r="T12" s="171"/>
      <c r="U12" s="171"/>
      <c r="V12" s="19">
        <f t="shared" si="2"/>
        <v>60</v>
      </c>
      <c r="W12" s="116">
        <v>80</v>
      </c>
      <c r="X12" s="188"/>
      <c r="Y12" s="188"/>
      <c r="Z12" s="188"/>
      <c r="AA12" s="188"/>
      <c r="AB12" s="188"/>
      <c r="AC12" s="188"/>
      <c r="AD12" s="19" t="str">
        <f t="shared" si="0"/>
        <v/>
      </c>
      <c r="AE12" s="116"/>
      <c r="AJ12" s="2"/>
    </row>
    <row r="13" spans="1:37" ht="15" customHeight="1" x14ac:dyDescent="0.25">
      <c r="A13" s="161">
        <f>IF('Avaliação Períodos'!A14=0,"",'Avaliação Períodos'!A14)</f>
        <v>6</v>
      </c>
      <c r="B13" s="489" t="str">
        <f>IF('Avaliação Períodos'!B14=0,"",'Avaliação Períodos'!B14)</f>
        <v>David</v>
      </c>
      <c r="C13" s="490"/>
      <c r="D13" s="490"/>
      <c r="E13" s="490"/>
      <c r="F13" s="490"/>
      <c r="G13" s="491"/>
      <c r="H13" s="173">
        <v>30</v>
      </c>
      <c r="I13" s="174">
        <v>0</v>
      </c>
      <c r="J13" s="174">
        <v>0</v>
      </c>
      <c r="K13" s="174"/>
      <c r="L13" s="175"/>
      <c r="M13" s="175"/>
      <c r="N13" s="19">
        <f t="shared" si="1"/>
        <v>30</v>
      </c>
      <c r="O13" s="114">
        <v>30</v>
      </c>
      <c r="P13" s="173">
        <v>0</v>
      </c>
      <c r="Q13" s="174">
        <v>0</v>
      </c>
      <c r="R13" s="174">
        <v>20</v>
      </c>
      <c r="S13" s="174">
        <v>0</v>
      </c>
      <c r="T13" s="174"/>
      <c r="U13" s="174"/>
      <c r="V13" s="19">
        <f t="shared" si="2"/>
        <v>20</v>
      </c>
      <c r="W13" s="116">
        <v>60</v>
      </c>
      <c r="X13" s="189"/>
      <c r="Y13" s="189"/>
      <c r="Z13" s="189"/>
      <c r="AA13" s="189"/>
      <c r="AB13" s="189"/>
      <c r="AC13" s="189"/>
      <c r="AD13" s="19" t="str">
        <f t="shared" si="0"/>
        <v/>
      </c>
      <c r="AE13" s="116"/>
      <c r="AJ13" s="2"/>
    </row>
    <row r="14" spans="1:37" ht="15" customHeight="1" x14ac:dyDescent="0.25">
      <c r="A14" s="160">
        <f>IF('Avaliação Períodos'!A15=0,"",'Avaliação Períodos'!A15)</f>
        <v>7</v>
      </c>
      <c r="B14" s="492" t="str">
        <f>IF('Avaliação Períodos'!B15=0,"",'Avaliação Períodos'!B15)</f>
        <v>Fábio</v>
      </c>
      <c r="C14" s="493"/>
      <c r="D14" s="493"/>
      <c r="E14" s="493"/>
      <c r="F14" s="493"/>
      <c r="G14" s="494"/>
      <c r="H14" s="170">
        <v>10</v>
      </c>
      <c r="I14" s="171">
        <v>0</v>
      </c>
      <c r="J14" s="171">
        <v>0</v>
      </c>
      <c r="K14" s="171"/>
      <c r="L14" s="172"/>
      <c r="M14" s="172"/>
      <c r="N14" s="19">
        <f t="shared" si="1"/>
        <v>10</v>
      </c>
      <c r="O14" s="114">
        <v>60</v>
      </c>
      <c r="P14" s="170">
        <v>0</v>
      </c>
      <c r="Q14" s="171">
        <v>0</v>
      </c>
      <c r="R14" s="171">
        <v>20</v>
      </c>
      <c r="S14" s="171">
        <v>0</v>
      </c>
      <c r="T14" s="171"/>
      <c r="U14" s="171"/>
      <c r="V14" s="19">
        <f t="shared" si="2"/>
        <v>20</v>
      </c>
      <c r="W14" s="116">
        <v>60</v>
      </c>
      <c r="X14" s="188"/>
      <c r="Y14" s="188"/>
      <c r="Z14" s="188"/>
      <c r="AA14" s="188"/>
      <c r="AB14" s="188"/>
      <c r="AC14" s="188"/>
      <c r="AD14" s="19" t="str">
        <f t="shared" si="0"/>
        <v/>
      </c>
      <c r="AE14" s="116"/>
      <c r="AJ14" s="2"/>
    </row>
    <row r="15" spans="1:37" ht="15" customHeight="1" x14ac:dyDescent="0.25">
      <c r="A15" s="161">
        <f>IF('Avaliação Períodos'!A16=0,"",'Avaliação Períodos'!A16)</f>
        <v>8</v>
      </c>
      <c r="B15" s="455" t="str">
        <f>IF('Avaliação Períodos'!B16=0,"",'Avaliação Períodos'!B16)</f>
        <v>Francisco</v>
      </c>
      <c r="C15" s="456"/>
      <c r="D15" s="456"/>
      <c r="E15" s="456"/>
      <c r="F15" s="456"/>
      <c r="G15" s="457"/>
      <c r="H15" s="173">
        <v>40</v>
      </c>
      <c r="I15" s="174">
        <v>0</v>
      </c>
      <c r="J15" s="176">
        <v>0</v>
      </c>
      <c r="K15" s="174"/>
      <c r="L15" s="175"/>
      <c r="M15" s="175"/>
      <c r="N15" s="19">
        <f t="shared" si="1"/>
        <v>40</v>
      </c>
      <c r="O15" s="114">
        <v>60</v>
      </c>
      <c r="P15" s="173">
        <v>0</v>
      </c>
      <c r="Q15" s="174">
        <v>20</v>
      </c>
      <c r="R15" s="176">
        <v>0</v>
      </c>
      <c r="S15" s="174">
        <v>0</v>
      </c>
      <c r="T15" s="174"/>
      <c r="U15" s="174"/>
      <c r="V15" s="19">
        <f t="shared" si="2"/>
        <v>20</v>
      </c>
      <c r="W15" s="116">
        <v>70</v>
      </c>
      <c r="X15" s="189"/>
      <c r="Y15" s="189"/>
      <c r="Z15" s="189"/>
      <c r="AA15" s="189"/>
      <c r="AB15" s="189"/>
      <c r="AC15" s="189"/>
      <c r="AD15" s="19" t="str">
        <f t="shared" si="0"/>
        <v/>
      </c>
      <c r="AE15" s="116"/>
      <c r="AJ15" s="2"/>
    </row>
    <row r="16" spans="1:37" ht="15" customHeight="1" x14ac:dyDescent="0.25">
      <c r="A16" s="160">
        <f>IF('Avaliação Períodos'!A17=0,"",'Avaliação Períodos'!A17)</f>
        <v>9</v>
      </c>
      <c r="B16" s="458" t="str">
        <f>IF('Avaliação Períodos'!B17=0,"",'Avaliação Períodos'!B17)</f>
        <v>Gonçalo</v>
      </c>
      <c r="C16" s="459"/>
      <c r="D16" s="459"/>
      <c r="E16" s="459"/>
      <c r="F16" s="459"/>
      <c r="G16" s="460"/>
      <c r="H16" s="170">
        <v>60</v>
      </c>
      <c r="I16" s="171">
        <v>0</v>
      </c>
      <c r="J16" s="171">
        <v>0</v>
      </c>
      <c r="K16" s="171"/>
      <c r="L16" s="172"/>
      <c r="M16" s="172"/>
      <c r="N16" s="19">
        <f t="shared" si="1"/>
        <v>60</v>
      </c>
      <c r="O16" s="114">
        <v>65</v>
      </c>
      <c r="P16" s="170">
        <v>0</v>
      </c>
      <c r="Q16" s="171">
        <v>20</v>
      </c>
      <c r="R16" s="171">
        <v>20</v>
      </c>
      <c r="S16" s="171">
        <v>0</v>
      </c>
      <c r="T16" s="171"/>
      <c r="U16" s="171"/>
      <c r="V16" s="19">
        <f t="shared" si="2"/>
        <v>40</v>
      </c>
      <c r="W16" s="116">
        <v>70</v>
      </c>
      <c r="X16" s="188"/>
      <c r="Y16" s="188"/>
      <c r="Z16" s="188"/>
      <c r="AA16" s="188"/>
      <c r="AB16" s="188"/>
      <c r="AC16" s="188"/>
      <c r="AD16" s="19" t="str">
        <f t="shared" si="0"/>
        <v/>
      </c>
      <c r="AE16" s="116"/>
      <c r="AJ16" s="2"/>
    </row>
    <row r="17" spans="1:36" ht="15" customHeight="1" x14ac:dyDescent="0.25">
      <c r="A17" s="161">
        <f>IF('Avaliação Períodos'!A18=0,"",'Avaliação Períodos'!A18)</f>
        <v>10</v>
      </c>
      <c r="B17" s="455" t="str">
        <f>IF('Avaliação Períodos'!B18=0,"",'Avaliação Períodos'!B18)</f>
        <v>Gustavo</v>
      </c>
      <c r="C17" s="456"/>
      <c r="D17" s="456"/>
      <c r="E17" s="456"/>
      <c r="F17" s="456"/>
      <c r="G17" s="457"/>
      <c r="H17" s="173">
        <v>70</v>
      </c>
      <c r="I17" s="174">
        <v>0</v>
      </c>
      <c r="J17" s="174">
        <v>0</v>
      </c>
      <c r="K17" s="174"/>
      <c r="L17" s="175"/>
      <c r="M17" s="175"/>
      <c r="N17" s="19">
        <f t="shared" si="1"/>
        <v>70</v>
      </c>
      <c r="O17" s="114">
        <v>65</v>
      </c>
      <c r="P17" s="173">
        <v>0</v>
      </c>
      <c r="Q17" s="174">
        <v>20</v>
      </c>
      <c r="R17" s="174">
        <v>20</v>
      </c>
      <c r="S17" s="174">
        <v>0</v>
      </c>
      <c r="T17" s="174"/>
      <c r="U17" s="174"/>
      <c r="V17" s="19">
        <f t="shared" si="2"/>
        <v>40</v>
      </c>
      <c r="W17" s="116">
        <v>75</v>
      </c>
      <c r="X17" s="189"/>
      <c r="Y17" s="189"/>
      <c r="Z17" s="189"/>
      <c r="AA17" s="189"/>
      <c r="AB17" s="189"/>
      <c r="AC17" s="189"/>
      <c r="AD17" s="19" t="str">
        <f t="shared" si="0"/>
        <v/>
      </c>
      <c r="AE17" s="116"/>
      <c r="AF17" s="2"/>
      <c r="AG17" s="2"/>
      <c r="AH17" s="2"/>
      <c r="AI17" s="2"/>
      <c r="AJ17" s="2"/>
    </row>
    <row r="18" spans="1:36" ht="15" customHeight="1" x14ac:dyDescent="0.25">
      <c r="A18" s="160">
        <f>IF('Avaliação Períodos'!A19=0,"",'Avaliação Períodos'!A19)</f>
        <v>11</v>
      </c>
      <c r="B18" s="458" t="str">
        <f>IF('Avaliação Períodos'!B19=0,"",'Avaliação Períodos'!B19)</f>
        <v>João</v>
      </c>
      <c r="C18" s="459"/>
      <c r="D18" s="459"/>
      <c r="E18" s="459"/>
      <c r="F18" s="459"/>
      <c r="G18" s="460"/>
      <c r="H18" s="177">
        <v>50</v>
      </c>
      <c r="I18" s="171">
        <v>0</v>
      </c>
      <c r="J18" s="171">
        <v>0</v>
      </c>
      <c r="K18" s="171"/>
      <c r="L18" s="172"/>
      <c r="M18" s="172"/>
      <c r="N18" s="19">
        <f t="shared" si="1"/>
        <v>50</v>
      </c>
      <c r="O18" s="114">
        <v>60</v>
      </c>
      <c r="P18" s="177">
        <v>0</v>
      </c>
      <c r="Q18" s="171">
        <v>0</v>
      </c>
      <c r="R18" s="171">
        <v>20</v>
      </c>
      <c r="S18" s="171">
        <v>0</v>
      </c>
      <c r="T18" s="171"/>
      <c r="U18" s="171"/>
      <c r="V18" s="19">
        <f t="shared" si="2"/>
        <v>20</v>
      </c>
      <c r="W18" s="116">
        <v>70</v>
      </c>
      <c r="X18" s="190"/>
      <c r="Y18" s="190"/>
      <c r="Z18" s="190"/>
      <c r="AA18" s="190"/>
      <c r="AB18" s="190"/>
      <c r="AC18" s="190"/>
      <c r="AD18" s="19" t="str">
        <f t="shared" si="0"/>
        <v/>
      </c>
      <c r="AE18" s="116"/>
      <c r="AJ18" s="2"/>
    </row>
    <row r="19" spans="1:36" ht="15" customHeight="1" x14ac:dyDescent="0.25">
      <c r="A19" s="161">
        <f>IF('Avaliação Períodos'!A20=0,"",'Avaliação Períodos'!A20)</f>
        <v>12</v>
      </c>
      <c r="B19" s="455" t="str">
        <f>IF('Avaliação Períodos'!B20=0,"",'Avaliação Períodos'!B20)</f>
        <v>João Miguel</v>
      </c>
      <c r="C19" s="456"/>
      <c r="D19" s="456"/>
      <c r="E19" s="456"/>
      <c r="F19" s="456"/>
      <c r="G19" s="457"/>
      <c r="H19" s="173">
        <v>40</v>
      </c>
      <c r="I19" s="174">
        <v>12</v>
      </c>
      <c r="J19" s="174">
        <v>8</v>
      </c>
      <c r="K19" s="174"/>
      <c r="L19" s="175"/>
      <c r="M19" s="175"/>
      <c r="N19" s="19">
        <f t="shared" si="1"/>
        <v>60</v>
      </c>
      <c r="O19" s="114">
        <v>60</v>
      </c>
      <c r="P19" s="173">
        <v>0</v>
      </c>
      <c r="Q19" s="174">
        <v>20</v>
      </c>
      <c r="R19" s="174">
        <v>20</v>
      </c>
      <c r="S19" s="174">
        <v>0</v>
      </c>
      <c r="T19" s="174"/>
      <c r="U19" s="174"/>
      <c r="V19" s="19">
        <f t="shared" si="2"/>
        <v>40</v>
      </c>
      <c r="W19" s="116">
        <v>70</v>
      </c>
      <c r="X19" s="189"/>
      <c r="Y19" s="189"/>
      <c r="Z19" s="189"/>
      <c r="AA19" s="189"/>
      <c r="AB19" s="189"/>
      <c r="AC19" s="189"/>
      <c r="AD19" s="19" t="str">
        <f t="shared" si="0"/>
        <v/>
      </c>
      <c r="AE19" s="116"/>
      <c r="AJ19" s="2"/>
    </row>
    <row r="20" spans="1:36" ht="15" customHeight="1" x14ac:dyDescent="0.25">
      <c r="A20" s="160">
        <f>IF('Avaliação Períodos'!A21=0,"",'Avaliação Períodos'!A21)</f>
        <v>13</v>
      </c>
      <c r="B20" s="458" t="str">
        <f>IF('Avaliação Períodos'!B21=0,"",'Avaliação Períodos'!B21)</f>
        <v>Lara</v>
      </c>
      <c r="C20" s="459"/>
      <c r="D20" s="459"/>
      <c r="E20" s="459"/>
      <c r="F20" s="459"/>
      <c r="G20" s="460"/>
      <c r="H20" s="177">
        <v>50</v>
      </c>
      <c r="I20" s="171">
        <v>0</v>
      </c>
      <c r="J20" s="171">
        <v>0</v>
      </c>
      <c r="K20" s="171"/>
      <c r="L20" s="172"/>
      <c r="M20" s="172"/>
      <c r="N20" s="19">
        <f t="shared" si="1"/>
        <v>50</v>
      </c>
      <c r="O20" s="114">
        <v>55</v>
      </c>
      <c r="P20" s="177">
        <v>0</v>
      </c>
      <c r="Q20" s="171">
        <v>20</v>
      </c>
      <c r="R20" s="171">
        <v>20</v>
      </c>
      <c r="S20" s="171">
        <v>0</v>
      </c>
      <c r="T20" s="171"/>
      <c r="U20" s="171"/>
      <c r="V20" s="19">
        <f t="shared" si="2"/>
        <v>40</v>
      </c>
      <c r="W20" s="116">
        <v>70</v>
      </c>
      <c r="X20" s="190"/>
      <c r="Y20" s="190"/>
      <c r="Z20" s="190"/>
      <c r="AA20" s="190"/>
      <c r="AB20" s="190"/>
      <c r="AC20" s="190"/>
      <c r="AD20" s="19" t="str">
        <f t="shared" si="0"/>
        <v/>
      </c>
      <c r="AE20" s="116"/>
      <c r="AJ20" s="32"/>
    </row>
    <row r="21" spans="1:36" ht="15" customHeight="1" x14ac:dyDescent="0.25">
      <c r="A21" s="161">
        <f>IF('Avaliação Períodos'!A22=0,"",'Avaliação Períodos'!A22)</f>
        <v>14</v>
      </c>
      <c r="B21" s="455" t="str">
        <f>IF('Avaliação Períodos'!B22=0,"",'Avaliação Períodos'!B22)</f>
        <v>Luna</v>
      </c>
      <c r="C21" s="456"/>
      <c r="D21" s="456"/>
      <c r="E21" s="456"/>
      <c r="F21" s="456"/>
      <c r="G21" s="457"/>
      <c r="H21" s="173">
        <v>70</v>
      </c>
      <c r="I21" s="174">
        <v>12</v>
      </c>
      <c r="J21" s="174">
        <v>8</v>
      </c>
      <c r="K21" s="174"/>
      <c r="L21" s="175"/>
      <c r="M21" s="175"/>
      <c r="N21" s="19">
        <f t="shared" si="1"/>
        <v>90</v>
      </c>
      <c r="O21" s="114">
        <v>50</v>
      </c>
      <c r="P21" s="173">
        <v>40</v>
      </c>
      <c r="Q21" s="174">
        <v>20</v>
      </c>
      <c r="R21" s="174">
        <v>20</v>
      </c>
      <c r="S21" s="174">
        <v>0</v>
      </c>
      <c r="T21" s="174"/>
      <c r="U21" s="174"/>
      <c r="V21" s="19">
        <f t="shared" si="2"/>
        <v>80</v>
      </c>
      <c r="W21" s="116">
        <v>75</v>
      </c>
      <c r="X21" s="189"/>
      <c r="Y21" s="189"/>
      <c r="Z21" s="189"/>
      <c r="AA21" s="189"/>
      <c r="AB21" s="189"/>
      <c r="AC21" s="189"/>
      <c r="AD21" s="19" t="str">
        <f t="shared" si="0"/>
        <v/>
      </c>
      <c r="AE21" s="116"/>
      <c r="AJ21" s="32"/>
    </row>
    <row r="22" spans="1:36" ht="15" customHeight="1" x14ac:dyDescent="0.25">
      <c r="A22" s="160">
        <f>IF('Avaliação Períodos'!A23=0,"",'Avaliação Períodos'!A23)</f>
        <v>15</v>
      </c>
      <c r="B22" s="458" t="str">
        <f>IF('Avaliação Períodos'!B23=0,"",'Avaliação Períodos'!B23)</f>
        <v>Mariana</v>
      </c>
      <c r="C22" s="459"/>
      <c r="D22" s="459"/>
      <c r="E22" s="459"/>
      <c r="F22" s="459"/>
      <c r="G22" s="460"/>
      <c r="H22" s="177">
        <v>30</v>
      </c>
      <c r="I22" s="171">
        <v>0</v>
      </c>
      <c r="J22" s="171">
        <v>0</v>
      </c>
      <c r="K22" s="171"/>
      <c r="L22" s="172"/>
      <c r="M22" s="172"/>
      <c r="N22" s="19">
        <f t="shared" si="1"/>
        <v>30</v>
      </c>
      <c r="O22" s="114">
        <v>55</v>
      </c>
      <c r="P22" s="177">
        <v>40</v>
      </c>
      <c r="Q22" s="171">
        <v>0</v>
      </c>
      <c r="R22" s="171">
        <v>0</v>
      </c>
      <c r="S22" s="171">
        <v>0</v>
      </c>
      <c r="T22" s="171"/>
      <c r="U22" s="171"/>
      <c r="V22" s="19">
        <f t="shared" si="2"/>
        <v>40</v>
      </c>
      <c r="W22" s="116">
        <v>70</v>
      </c>
      <c r="X22" s="190"/>
      <c r="Y22" s="190"/>
      <c r="Z22" s="190"/>
      <c r="AA22" s="190"/>
      <c r="AB22" s="190"/>
      <c r="AC22" s="190"/>
      <c r="AD22" s="19" t="str">
        <f t="shared" si="0"/>
        <v/>
      </c>
      <c r="AE22" s="116"/>
      <c r="AJ22" s="2"/>
    </row>
    <row r="23" spans="1:36" ht="15" customHeight="1" x14ac:dyDescent="0.25">
      <c r="A23" s="161">
        <f>IF('Avaliação Períodos'!A24=0,"",'Avaliação Períodos'!A24)</f>
        <v>16</v>
      </c>
      <c r="B23" s="455" t="str">
        <f>IF('Avaliação Períodos'!B24=0,"",'Avaliação Períodos'!B24)</f>
        <v>Martim</v>
      </c>
      <c r="C23" s="456"/>
      <c r="D23" s="456"/>
      <c r="E23" s="456"/>
      <c r="F23" s="456"/>
      <c r="G23" s="457"/>
      <c r="H23" s="173">
        <v>70</v>
      </c>
      <c r="I23" s="174">
        <v>12</v>
      </c>
      <c r="J23" s="174">
        <v>8</v>
      </c>
      <c r="K23" s="174"/>
      <c r="L23" s="175"/>
      <c r="M23" s="175"/>
      <c r="N23" s="19">
        <f t="shared" si="1"/>
        <v>90</v>
      </c>
      <c r="O23" s="114">
        <v>75</v>
      </c>
      <c r="P23" s="173">
        <v>40</v>
      </c>
      <c r="Q23" s="174">
        <v>20</v>
      </c>
      <c r="R23" s="174">
        <v>20</v>
      </c>
      <c r="S23" s="174">
        <v>0</v>
      </c>
      <c r="T23" s="174"/>
      <c r="U23" s="174"/>
      <c r="V23" s="19">
        <f t="shared" si="2"/>
        <v>80</v>
      </c>
      <c r="W23" s="116">
        <v>70</v>
      </c>
      <c r="X23" s="189"/>
      <c r="Y23" s="189"/>
      <c r="Z23" s="189"/>
      <c r="AA23" s="189"/>
      <c r="AB23" s="189"/>
      <c r="AC23" s="189"/>
      <c r="AD23" s="19" t="str">
        <f t="shared" si="0"/>
        <v/>
      </c>
      <c r="AE23" s="116"/>
      <c r="AJ23" s="2"/>
    </row>
    <row r="24" spans="1:36" ht="16.5" customHeight="1" x14ac:dyDescent="0.25">
      <c r="A24" s="160">
        <f>IF('Avaliação Períodos'!A25=0,"",'Avaliação Períodos'!A25)</f>
        <v>17</v>
      </c>
      <c r="B24" s="458" t="str">
        <f>IF('Avaliação Períodos'!B25=0,"",'Avaliação Períodos'!B25)</f>
        <v>Matilde</v>
      </c>
      <c r="C24" s="459"/>
      <c r="D24" s="459"/>
      <c r="E24" s="459"/>
      <c r="F24" s="459"/>
      <c r="G24" s="460"/>
      <c r="H24" s="177">
        <v>50</v>
      </c>
      <c r="I24" s="171">
        <v>6</v>
      </c>
      <c r="J24" s="171">
        <v>4</v>
      </c>
      <c r="K24" s="171"/>
      <c r="L24" s="172"/>
      <c r="M24" s="172"/>
      <c r="N24" s="19">
        <f t="shared" si="1"/>
        <v>60</v>
      </c>
      <c r="O24" s="114">
        <v>30</v>
      </c>
      <c r="P24" s="177">
        <v>0</v>
      </c>
      <c r="Q24" s="171">
        <v>0</v>
      </c>
      <c r="R24" s="171">
        <v>0</v>
      </c>
      <c r="S24" s="171">
        <v>0</v>
      </c>
      <c r="T24" s="171"/>
      <c r="U24" s="171"/>
      <c r="V24" s="19">
        <f t="shared" si="2"/>
        <v>0</v>
      </c>
      <c r="W24" s="116">
        <v>75</v>
      </c>
      <c r="X24" s="190"/>
      <c r="Y24" s="190"/>
      <c r="Z24" s="190"/>
      <c r="AA24" s="190"/>
      <c r="AB24" s="190"/>
      <c r="AC24" s="190"/>
      <c r="AD24" s="19" t="str">
        <f t="shared" si="0"/>
        <v/>
      </c>
      <c r="AE24" s="116"/>
      <c r="AJ24" s="2"/>
    </row>
    <row r="25" spans="1:36" ht="15" customHeight="1" x14ac:dyDescent="0.25">
      <c r="A25" s="161">
        <f>IF('Avaliação Períodos'!A26=0,"",'Avaliação Períodos'!A26)</f>
        <v>18</v>
      </c>
      <c r="B25" s="455" t="str">
        <f>IF('Avaliação Períodos'!B26=0,"",'Avaliação Períodos'!B26)</f>
        <v>Rúben</v>
      </c>
      <c r="C25" s="456"/>
      <c r="D25" s="456"/>
      <c r="E25" s="456"/>
      <c r="F25" s="456"/>
      <c r="G25" s="457"/>
      <c r="H25" s="173">
        <v>50</v>
      </c>
      <c r="I25" s="174">
        <v>0</v>
      </c>
      <c r="J25" s="174">
        <v>0</v>
      </c>
      <c r="K25" s="174"/>
      <c r="L25" s="175"/>
      <c r="M25" s="175"/>
      <c r="N25" s="19">
        <f t="shared" si="1"/>
        <v>50</v>
      </c>
      <c r="O25" s="114">
        <v>60</v>
      </c>
      <c r="P25" s="173">
        <v>0</v>
      </c>
      <c r="Q25" s="174">
        <v>20</v>
      </c>
      <c r="R25" s="174">
        <v>20</v>
      </c>
      <c r="S25" s="174">
        <v>0</v>
      </c>
      <c r="T25" s="174"/>
      <c r="U25" s="174"/>
      <c r="V25" s="19">
        <f t="shared" si="2"/>
        <v>40</v>
      </c>
      <c r="W25" s="116">
        <v>55</v>
      </c>
      <c r="X25" s="189"/>
      <c r="Y25" s="189"/>
      <c r="Z25" s="189"/>
      <c r="AA25" s="189"/>
      <c r="AB25" s="189"/>
      <c r="AC25" s="189"/>
      <c r="AD25" s="19" t="str">
        <f t="shared" si="0"/>
        <v/>
      </c>
      <c r="AE25" s="116"/>
      <c r="AJ25" s="2"/>
    </row>
    <row r="26" spans="1:36" ht="15" customHeight="1" x14ac:dyDescent="0.25">
      <c r="A26" s="160">
        <f>IF('Avaliação Períodos'!A27=0,"",'Avaliação Períodos'!A27)</f>
        <v>19</v>
      </c>
      <c r="B26" s="458" t="str">
        <f>IF('Avaliação Períodos'!B27=0,"",'Avaliação Períodos'!B27)</f>
        <v>Samanta</v>
      </c>
      <c r="C26" s="459"/>
      <c r="D26" s="459"/>
      <c r="E26" s="459"/>
      <c r="F26" s="459"/>
      <c r="G26" s="460"/>
      <c r="H26" s="177">
        <v>60</v>
      </c>
      <c r="I26" s="171">
        <v>0</v>
      </c>
      <c r="J26" s="171">
        <v>0</v>
      </c>
      <c r="K26" s="171"/>
      <c r="L26" s="172"/>
      <c r="M26" s="172"/>
      <c r="N26" s="19">
        <f t="shared" si="1"/>
        <v>60</v>
      </c>
      <c r="O26" s="114">
        <v>40</v>
      </c>
      <c r="P26" s="177">
        <v>0</v>
      </c>
      <c r="Q26" s="171">
        <v>0</v>
      </c>
      <c r="R26" s="171">
        <v>20</v>
      </c>
      <c r="S26" s="171">
        <v>0</v>
      </c>
      <c r="T26" s="171"/>
      <c r="U26" s="171"/>
      <c r="V26" s="19">
        <f t="shared" si="2"/>
        <v>20</v>
      </c>
      <c r="W26" s="116">
        <v>75</v>
      </c>
      <c r="X26" s="190"/>
      <c r="Y26" s="190"/>
      <c r="Z26" s="190"/>
      <c r="AA26" s="190"/>
      <c r="AB26" s="190"/>
      <c r="AC26" s="190"/>
      <c r="AD26" s="19" t="str">
        <f t="shared" si="0"/>
        <v/>
      </c>
      <c r="AE26" s="116"/>
      <c r="AJ26" s="2"/>
    </row>
    <row r="27" spans="1:36" ht="15" customHeight="1" x14ac:dyDescent="0.25">
      <c r="A27" s="161">
        <f>IF('Avaliação Períodos'!A28=0,"",'Avaliação Períodos'!A28)</f>
        <v>20</v>
      </c>
      <c r="B27" s="455" t="str">
        <f>IF('Avaliação Períodos'!B28=0,"",'Avaliação Períodos'!B28)</f>
        <v>Samuel</v>
      </c>
      <c r="C27" s="456"/>
      <c r="D27" s="456"/>
      <c r="E27" s="456"/>
      <c r="F27" s="456"/>
      <c r="G27" s="457"/>
      <c r="H27" s="173">
        <v>50</v>
      </c>
      <c r="I27" s="174">
        <v>12</v>
      </c>
      <c r="J27" s="174">
        <v>8</v>
      </c>
      <c r="K27" s="174"/>
      <c r="L27" s="175"/>
      <c r="M27" s="175"/>
      <c r="N27" s="19">
        <f t="shared" si="1"/>
        <v>70</v>
      </c>
      <c r="O27" s="114">
        <v>75</v>
      </c>
      <c r="P27" s="173">
        <v>40</v>
      </c>
      <c r="Q27" s="174">
        <v>0</v>
      </c>
      <c r="R27" s="174">
        <v>20</v>
      </c>
      <c r="S27" s="174">
        <v>0</v>
      </c>
      <c r="T27" s="174"/>
      <c r="U27" s="174"/>
      <c r="V27" s="19">
        <f t="shared" si="2"/>
        <v>60</v>
      </c>
      <c r="W27" s="116">
        <v>75</v>
      </c>
      <c r="X27" s="189"/>
      <c r="Y27" s="189"/>
      <c r="Z27" s="189"/>
      <c r="AA27" s="189"/>
      <c r="AB27" s="189"/>
      <c r="AC27" s="189"/>
      <c r="AD27" s="19" t="str">
        <f t="shared" si="0"/>
        <v/>
      </c>
      <c r="AE27" s="116"/>
      <c r="AJ27" s="2"/>
    </row>
    <row r="28" spans="1:36" ht="15" customHeight="1" x14ac:dyDescent="0.25">
      <c r="A28" s="160">
        <f>IF('Avaliação Períodos'!A29=0,"",'Avaliação Períodos'!A29)</f>
        <v>21</v>
      </c>
      <c r="B28" s="458" t="str">
        <f>IF('Avaliação Períodos'!B29=0,"",'Avaliação Períodos'!B29)</f>
        <v xml:space="preserve"> Sara Ferreira Gonç</v>
      </c>
      <c r="C28" s="459"/>
      <c r="D28" s="459"/>
      <c r="E28" s="459"/>
      <c r="F28" s="459"/>
      <c r="G28" s="460"/>
      <c r="H28" s="177">
        <v>70</v>
      </c>
      <c r="I28" s="171">
        <v>12</v>
      </c>
      <c r="J28" s="171">
        <v>8</v>
      </c>
      <c r="K28" s="171"/>
      <c r="L28" s="172"/>
      <c r="M28" s="172"/>
      <c r="N28" s="19">
        <f t="shared" si="1"/>
        <v>90</v>
      </c>
      <c r="O28" s="114">
        <v>50</v>
      </c>
      <c r="P28" s="177">
        <v>0</v>
      </c>
      <c r="Q28" s="171">
        <v>20</v>
      </c>
      <c r="R28" s="171">
        <v>20</v>
      </c>
      <c r="S28" s="171">
        <v>0</v>
      </c>
      <c r="T28" s="171"/>
      <c r="U28" s="171"/>
      <c r="V28" s="19">
        <f t="shared" si="2"/>
        <v>40</v>
      </c>
      <c r="W28" s="116">
        <v>75</v>
      </c>
      <c r="X28" s="190"/>
      <c r="Y28" s="190"/>
      <c r="Z28" s="190"/>
      <c r="AA28" s="190"/>
      <c r="AB28" s="190"/>
      <c r="AC28" s="190"/>
      <c r="AD28" s="19" t="str">
        <f t="shared" si="0"/>
        <v/>
      </c>
      <c r="AE28" s="116"/>
      <c r="AJ28" s="2"/>
    </row>
    <row r="29" spans="1:36" ht="15" customHeight="1" x14ac:dyDescent="0.25">
      <c r="A29" s="161">
        <f>IF('Avaliação Períodos'!A30=0,"",'Avaliação Períodos'!A30)</f>
        <v>22</v>
      </c>
      <c r="B29" s="455" t="str">
        <f>IF('Avaliação Períodos'!B30=0,"",'Avaliação Períodos'!B30)</f>
        <v xml:space="preserve">Sara Gomes </v>
      </c>
      <c r="C29" s="456"/>
      <c r="D29" s="456"/>
      <c r="E29" s="456"/>
      <c r="F29" s="456"/>
      <c r="G29" s="457"/>
      <c r="H29" s="178">
        <v>60</v>
      </c>
      <c r="I29" s="179">
        <v>12</v>
      </c>
      <c r="J29" s="179">
        <v>8</v>
      </c>
      <c r="K29" s="179"/>
      <c r="L29" s="180"/>
      <c r="M29" s="180"/>
      <c r="N29" s="19">
        <f t="shared" si="1"/>
        <v>80</v>
      </c>
      <c r="O29" s="114">
        <v>80</v>
      </c>
      <c r="P29" s="178">
        <v>0</v>
      </c>
      <c r="Q29" s="179">
        <v>0</v>
      </c>
      <c r="R29" s="179">
        <v>0</v>
      </c>
      <c r="S29" s="179">
        <v>20</v>
      </c>
      <c r="T29" s="179"/>
      <c r="U29" s="179"/>
      <c r="V29" s="19">
        <f t="shared" si="2"/>
        <v>20</v>
      </c>
      <c r="W29" s="116">
        <v>60</v>
      </c>
      <c r="X29" s="191"/>
      <c r="Y29" s="191"/>
      <c r="Z29" s="191"/>
      <c r="AA29" s="191"/>
      <c r="AB29" s="191"/>
      <c r="AC29" s="191"/>
      <c r="AD29" s="19" t="str">
        <f t="shared" si="0"/>
        <v/>
      </c>
      <c r="AE29" s="116"/>
      <c r="AJ29" s="2"/>
    </row>
    <row r="30" spans="1:36" ht="15" customHeight="1" x14ac:dyDescent="0.25">
      <c r="A30" s="160">
        <f>IF('Avaliação Períodos'!A31=0,"",'Avaliação Períodos'!A31)</f>
        <v>23</v>
      </c>
      <c r="B30" s="458" t="str">
        <f>IF('Avaliação Períodos'!B31=0,"",'Avaliação Períodos'!B31)</f>
        <v>Simão Mendes</v>
      </c>
      <c r="C30" s="459"/>
      <c r="D30" s="459"/>
      <c r="E30" s="459"/>
      <c r="F30" s="459"/>
      <c r="G30" s="460"/>
      <c r="H30" s="177">
        <v>60</v>
      </c>
      <c r="I30" s="171">
        <v>12</v>
      </c>
      <c r="J30" s="171">
        <v>8</v>
      </c>
      <c r="K30" s="171"/>
      <c r="L30" s="172"/>
      <c r="M30" s="172"/>
      <c r="N30" s="19">
        <f t="shared" si="1"/>
        <v>80</v>
      </c>
      <c r="O30" s="114">
        <v>60</v>
      </c>
      <c r="P30" s="177">
        <v>0</v>
      </c>
      <c r="Q30" s="171">
        <v>20</v>
      </c>
      <c r="R30" s="171">
        <v>20</v>
      </c>
      <c r="S30" s="171">
        <v>0</v>
      </c>
      <c r="T30" s="171"/>
      <c r="U30" s="171"/>
      <c r="V30" s="19">
        <f t="shared" si="2"/>
        <v>40</v>
      </c>
      <c r="W30" s="116">
        <v>75</v>
      </c>
      <c r="X30" s="190"/>
      <c r="Y30" s="190"/>
      <c r="Z30" s="190"/>
      <c r="AA30" s="190"/>
      <c r="AB30" s="190"/>
      <c r="AC30" s="190"/>
      <c r="AD30" s="19" t="str">
        <f t="shared" si="0"/>
        <v/>
      </c>
      <c r="AE30" s="116"/>
      <c r="AJ30" s="2"/>
    </row>
    <row r="31" spans="1:36" ht="15" customHeight="1" x14ac:dyDescent="0.25">
      <c r="A31" s="161">
        <f>IF('Avaliação Períodos'!A32=0,"",'Avaliação Períodos'!A32)</f>
        <v>24</v>
      </c>
      <c r="B31" s="455" t="str">
        <f>IF('Avaliação Períodos'!B32=0,"",'Avaliação Períodos'!B32)</f>
        <v>Simão Pedosa</v>
      </c>
      <c r="C31" s="456"/>
      <c r="D31" s="456"/>
      <c r="E31" s="456"/>
      <c r="F31" s="456"/>
      <c r="G31" s="457"/>
      <c r="H31" s="173">
        <v>40</v>
      </c>
      <c r="I31" s="174">
        <v>0</v>
      </c>
      <c r="J31" s="174">
        <v>0</v>
      </c>
      <c r="K31" s="174"/>
      <c r="L31" s="175"/>
      <c r="M31" s="175"/>
      <c r="N31" s="19">
        <f t="shared" si="1"/>
        <v>40</v>
      </c>
      <c r="O31" s="114">
        <v>70</v>
      </c>
      <c r="P31" s="173">
        <v>0</v>
      </c>
      <c r="Q31" s="174">
        <v>20</v>
      </c>
      <c r="R31" s="174">
        <v>20</v>
      </c>
      <c r="S31" s="174">
        <v>20</v>
      </c>
      <c r="T31" s="174"/>
      <c r="U31" s="174"/>
      <c r="V31" s="19">
        <f t="shared" si="2"/>
        <v>60</v>
      </c>
      <c r="W31" s="116">
        <v>80</v>
      </c>
      <c r="X31" s="189"/>
      <c r="Y31" s="189"/>
      <c r="Z31" s="189"/>
      <c r="AA31" s="189"/>
      <c r="AB31" s="189"/>
      <c r="AC31" s="189"/>
      <c r="AD31" s="19" t="str">
        <f t="shared" si="0"/>
        <v/>
      </c>
      <c r="AE31" s="116"/>
      <c r="AJ31" s="2"/>
    </row>
    <row r="32" spans="1:36" ht="15" customHeight="1" x14ac:dyDescent="0.25">
      <c r="A32" s="160">
        <f>IF('Avaliação Períodos'!A33=0,"",'Avaliação Períodos'!A33)</f>
        <v>25</v>
      </c>
      <c r="B32" s="458" t="str">
        <f>IF('Avaliação Períodos'!B33=0,"",'Avaliação Períodos'!B33)</f>
        <v>Sofia</v>
      </c>
      <c r="C32" s="459"/>
      <c r="D32" s="459"/>
      <c r="E32" s="459"/>
      <c r="F32" s="459"/>
      <c r="G32" s="460"/>
      <c r="H32" s="177">
        <v>70</v>
      </c>
      <c r="I32" s="171">
        <v>12</v>
      </c>
      <c r="J32" s="171">
        <v>8</v>
      </c>
      <c r="K32" s="171"/>
      <c r="L32" s="172"/>
      <c r="M32" s="172"/>
      <c r="N32" s="19">
        <f t="shared" si="1"/>
        <v>90</v>
      </c>
      <c r="O32" s="114">
        <v>75</v>
      </c>
      <c r="P32" s="177">
        <v>40</v>
      </c>
      <c r="Q32" s="171">
        <v>0</v>
      </c>
      <c r="R32" s="171">
        <v>20</v>
      </c>
      <c r="S32" s="171">
        <v>0</v>
      </c>
      <c r="T32" s="171"/>
      <c r="U32" s="171"/>
      <c r="V32" s="19">
        <f t="shared" si="2"/>
        <v>60</v>
      </c>
      <c r="W32" s="116">
        <v>80</v>
      </c>
      <c r="X32" s="190"/>
      <c r="Y32" s="190"/>
      <c r="Z32" s="190"/>
      <c r="AA32" s="190"/>
      <c r="AB32" s="190"/>
      <c r="AC32" s="190"/>
      <c r="AD32" s="19" t="str">
        <f t="shared" si="0"/>
        <v/>
      </c>
      <c r="AE32" s="116"/>
      <c r="AF32" s="35"/>
      <c r="AG32" s="35"/>
      <c r="AH32" s="35"/>
      <c r="AI32" s="35"/>
      <c r="AJ32" s="2"/>
    </row>
    <row r="33" spans="1:36" ht="15" customHeight="1" x14ac:dyDescent="0.25">
      <c r="A33" s="161">
        <f>IF('Avaliação Períodos'!A34=0,"",'Avaliação Períodos'!A34)</f>
        <v>26</v>
      </c>
      <c r="B33" s="455" t="str">
        <f>IF('Avaliação Períodos'!B34=0,"",'Avaliação Períodos'!B34)</f>
        <v>Tomás</v>
      </c>
      <c r="C33" s="456"/>
      <c r="D33" s="456"/>
      <c r="E33" s="456"/>
      <c r="F33" s="456"/>
      <c r="G33" s="457"/>
      <c r="H33" s="173">
        <v>40</v>
      </c>
      <c r="I33" s="174">
        <v>12</v>
      </c>
      <c r="J33" s="174">
        <v>8</v>
      </c>
      <c r="K33" s="174"/>
      <c r="L33" s="175"/>
      <c r="M33" s="175"/>
      <c r="N33" s="19">
        <f t="shared" si="1"/>
        <v>60</v>
      </c>
      <c r="O33" s="114">
        <v>75</v>
      </c>
      <c r="P33" s="173">
        <v>40</v>
      </c>
      <c r="Q33" s="174">
        <v>0</v>
      </c>
      <c r="R33" s="174">
        <v>0</v>
      </c>
      <c r="S33" s="174">
        <v>0</v>
      </c>
      <c r="T33" s="174"/>
      <c r="U33" s="174"/>
      <c r="V33" s="19">
        <f t="shared" si="2"/>
        <v>40</v>
      </c>
      <c r="W33" s="116">
        <v>70</v>
      </c>
      <c r="X33" s="189"/>
      <c r="Y33" s="189"/>
      <c r="Z33" s="189"/>
      <c r="AA33" s="189"/>
      <c r="AB33" s="189"/>
      <c r="AC33" s="189"/>
      <c r="AD33" s="19" t="str">
        <f t="shared" si="0"/>
        <v/>
      </c>
      <c r="AE33" s="116"/>
      <c r="AF33" s="35"/>
      <c r="AG33" s="35"/>
      <c r="AH33" s="35"/>
      <c r="AI33" s="35"/>
      <c r="AJ33" s="2"/>
    </row>
    <row r="34" spans="1:36" ht="15" customHeight="1" x14ac:dyDescent="0.25">
      <c r="A34" s="160">
        <f>IF('Avaliação Períodos'!A35=0,"",'Avaliação Períodos'!A35)</f>
        <v>27</v>
      </c>
      <c r="B34" s="458" t="str">
        <f>IF('Avaliação Períodos'!B35=0,"",'Avaliação Períodos'!B35)</f>
        <v/>
      </c>
      <c r="C34" s="459"/>
      <c r="D34" s="459"/>
      <c r="E34" s="459"/>
      <c r="F34" s="459"/>
      <c r="G34" s="460"/>
      <c r="H34" s="177"/>
      <c r="I34" s="171"/>
      <c r="J34" s="171"/>
      <c r="K34" s="171"/>
      <c r="L34" s="172"/>
      <c r="M34" s="172"/>
      <c r="N34" s="19" t="str">
        <f t="shared" si="1"/>
        <v/>
      </c>
      <c r="O34" s="114"/>
      <c r="P34" s="177"/>
      <c r="Q34" s="171"/>
      <c r="R34" s="171"/>
      <c r="S34" s="171"/>
      <c r="T34" s="171"/>
      <c r="U34" s="171"/>
      <c r="V34" s="19" t="str">
        <f t="shared" si="2"/>
        <v/>
      </c>
      <c r="W34" s="116"/>
      <c r="X34" s="190"/>
      <c r="Y34" s="190"/>
      <c r="Z34" s="190"/>
      <c r="AA34" s="190"/>
      <c r="AB34" s="190"/>
      <c r="AC34" s="190"/>
      <c r="AD34" s="19" t="str">
        <f t="shared" si="0"/>
        <v/>
      </c>
      <c r="AE34" s="116"/>
      <c r="AF34" s="35"/>
      <c r="AG34" s="35"/>
      <c r="AH34" s="35"/>
      <c r="AI34" s="35"/>
      <c r="AJ34" s="2"/>
    </row>
    <row r="35" spans="1:36" ht="15" customHeight="1" x14ac:dyDescent="0.25">
      <c r="A35" s="161">
        <f>IF('Avaliação Períodos'!A36=0,"",'Avaliação Períodos'!A36)</f>
        <v>28</v>
      </c>
      <c r="B35" s="455" t="str">
        <f>IF('Avaliação Períodos'!B36=0,"",'Avaliação Períodos'!B36)</f>
        <v xml:space="preserve"> </v>
      </c>
      <c r="C35" s="456"/>
      <c r="D35" s="456"/>
      <c r="E35" s="456"/>
      <c r="F35" s="456"/>
      <c r="G35" s="457"/>
      <c r="H35" s="173"/>
      <c r="I35" s="174"/>
      <c r="J35" s="174"/>
      <c r="K35" s="174"/>
      <c r="L35" s="175"/>
      <c r="M35" s="175"/>
      <c r="N35" s="19" t="str">
        <f t="shared" si="1"/>
        <v/>
      </c>
      <c r="O35" s="114"/>
      <c r="P35" s="173"/>
      <c r="Q35" s="174"/>
      <c r="R35" s="174"/>
      <c r="S35" s="174"/>
      <c r="T35" s="174"/>
      <c r="U35" s="174"/>
      <c r="V35" s="19" t="str">
        <f t="shared" si="2"/>
        <v/>
      </c>
      <c r="W35" s="116"/>
      <c r="X35" s="189"/>
      <c r="Y35" s="189"/>
      <c r="Z35" s="189"/>
      <c r="AA35" s="189"/>
      <c r="AB35" s="189"/>
      <c r="AC35" s="189"/>
      <c r="AD35" s="19" t="str">
        <f t="shared" si="0"/>
        <v/>
      </c>
      <c r="AE35" s="116"/>
      <c r="AF35" s="35"/>
      <c r="AG35" s="35"/>
      <c r="AH35" s="35"/>
      <c r="AI35" s="35"/>
      <c r="AJ35" s="2"/>
    </row>
    <row r="36" spans="1:36" ht="15" customHeight="1" x14ac:dyDescent="0.25">
      <c r="A36" s="162">
        <f>IF('Avaliação Períodos'!A37=0,"",'Avaliação Períodos'!A37)</f>
        <v>29</v>
      </c>
      <c r="B36" s="458" t="str">
        <f>IF('Avaliação Períodos'!B37=0,"",'Avaliação Períodos'!B37)</f>
        <v/>
      </c>
      <c r="C36" s="459"/>
      <c r="D36" s="459"/>
      <c r="E36" s="459"/>
      <c r="F36" s="459"/>
      <c r="G36" s="460"/>
      <c r="H36" s="181"/>
      <c r="I36" s="182"/>
      <c r="J36" s="182"/>
      <c r="K36" s="182"/>
      <c r="L36" s="182"/>
      <c r="M36" s="183"/>
      <c r="N36" s="19" t="str">
        <f t="shared" si="1"/>
        <v/>
      </c>
      <c r="O36" s="114"/>
      <c r="P36" s="181"/>
      <c r="Q36" s="182"/>
      <c r="R36" s="182"/>
      <c r="S36" s="182"/>
      <c r="T36" s="182"/>
      <c r="U36" s="182"/>
      <c r="V36" s="19" t="str">
        <f t="shared" si="2"/>
        <v/>
      </c>
      <c r="W36" s="116"/>
      <c r="X36" s="192"/>
      <c r="Y36" s="192"/>
      <c r="Z36" s="192"/>
      <c r="AA36" s="192"/>
      <c r="AB36" s="192"/>
      <c r="AC36" s="192"/>
      <c r="AD36" s="19" t="str">
        <f t="shared" si="0"/>
        <v/>
      </c>
      <c r="AE36" s="116"/>
      <c r="AF36" s="35"/>
      <c r="AG36" s="35"/>
      <c r="AH36" s="35"/>
      <c r="AI36" s="35"/>
      <c r="AJ36" s="2"/>
    </row>
    <row r="37" spans="1:36" ht="15" customHeight="1" x14ac:dyDescent="0.25">
      <c r="A37" s="163">
        <f>IF('Avaliação Períodos'!A38=0,"",'Avaliação Períodos'!A38)</f>
        <v>30</v>
      </c>
      <c r="B37" s="455" t="str">
        <f>IF('Avaliação Períodos'!B38=0,"",'Avaliação Períodos'!B38)</f>
        <v xml:space="preserve"> </v>
      </c>
      <c r="C37" s="456"/>
      <c r="D37" s="456"/>
      <c r="E37" s="456"/>
      <c r="F37" s="456"/>
      <c r="G37" s="457"/>
      <c r="H37" s="199"/>
      <c r="I37" s="194"/>
      <c r="J37" s="194"/>
      <c r="K37" s="194"/>
      <c r="L37" s="194"/>
      <c r="M37" s="200"/>
      <c r="N37" s="42" t="str">
        <f t="shared" si="1"/>
        <v/>
      </c>
      <c r="O37" s="115"/>
      <c r="P37" s="199"/>
      <c r="Q37" s="194"/>
      <c r="R37" s="194"/>
      <c r="S37" s="194"/>
      <c r="T37" s="194"/>
      <c r="U37" s="194"/>
      <c r="V37" s="42" t="str">
        <f t="shared" si="2"/>
        <v/>
      </c>
      <c r="W37" s="116"/>
      <c r="X37" s="193"/>
      <c r="Y37" s="194"/>
      <c r="Z37" s="194"/>
      <c r="AA37" s="194"/>
      <c r="AB37" s="194"/>
      <c r="AC37" s="194"/>
      <c r="AD37" s="19" t="str">
        <f t="shared" si="0"/>
        <v/>
      </c>
      <c r="AE37" s="116"/>
      <c r="AF37" s="35"/>
      <c r="AG37" s="35"/>
      <c r="AH37" s="35"/>
      <c r="AI37" s="35"/>
      <c r="AJ37" s="2"/>
    </row>
    <row r="38" spans="1:36" x14ac:dyDescent="0.25">
      <c r="A38" s="2"/>
      <c r="B38" s="2"/>
      <c r="C38" s="2"/>
      <c r="D38" s="2"/>
      <c r="E38" s="2"/>
      <c r="F38" s="2"/>
      <c r="G38" s="2"/>
      <c r="I38" s="446" t="s">
        <v>65</v>
      </c>
      <c r="J38" s="447"/>
      <c r="K38" s="447"/>
      <c r="L38" s="447"/>
      <c r="M38" s="448"/>
      <c r="N38" s="195">
        <f>IF(COUNT(N8:N37)=0,"",AVERAGE(N8:N37))</f>
        <v>61.92307692307692</v>
      </c>
      <c r="O38" s="195">
        <f>IF(COUNT(O8:O37)=0,"",AVERAGE(O8:O37))</f>
        <v>59.42307692307692</v>
      </c>
      <c r="Q38" s="446" t="s">
        <v>65</v>
      </c>
      <c r="R38" s="447"/>
      <c r="S38" s="447"/>
      <c r="T38" s="447"/>
      <c r="U38" s="448"/>
      <c r="V38" s="195">
        <f>IF(COUNT(V8:V37)=0,"",AVERAGE(V8:V37))</f>
        <v>40.769230769230766</v>
      </c>
      <c r="W38" s="195">
        <f>IF(COUNT(W8:W37)=0,"",AVERAGE(W8:W37))</f>
        <v>66.15384615384616</v>
      </c>
      <c r="X38" s="109"/>
      <c r="Y38" s="53" t="s">
        <v>65</v>
      </c>
      <c r="Z38" s="54"/>
      <c r="AA38" s="54"/>
      <c r="AB38" s="54"/>
      <c r="AC38" s="55"/>
      <c r="AD38" s="195" t="str">
        <f>IF(COUNTBLANK(AD8:AD37)=30,"",AVERAGE(AD8:AD37))</f>
        <v/>
      </c>
      <c r="AE38" s="195" t="str">
        <f>IF(COUNTBLANK(AE8:AE37)=30,"",AVERAGE(AE8:AE37))</f>
        <v/>
      </c>
    </row>
    <row r="39" spans="1:36" x14ac:dyDescent="0.25">
      <c r="A39" s="2"/>
      <c r="B39" s="2"/>
      <c r="C39" s="2"/>
      <c r="D39" s="2"/>
      <c r="E39" s="2"/>
      <c r="F39" s="2"/>
      <c r="G39" s="2"/>
      <c r="I39" s="446" t="s">
        <v>66</v>
      </c>
      <c r="J39" s="447"/>
      <c r="K39" s="447"/>
      <c r="L39" s="447"/>
      <c r="M39" s="448"/>
      <c r="N39" s="196">
        <f>COUNTIF(N8:N37,"&lt;50")</f>
        <v>5</v>
      </c>
      <c r="O39" s="196">
        <f>COUNTIF(O8:O37,"&lt;50")</f>
        <v>4</v>
      </c>
      <c r="Q39" s="446" t="s">
        <v>66</v>
      </c>
      <c r="R39" s="447"/>
      <c r="S39" s="447"/>
      <c r="T39" s="447"/>
      <c r="U39" s="448"/>
      <c r="V39" s="196">
        <f>COUNTIF(V8:V37,"&lt;50")</f>
        <v>18</v>
      </c>
      <c r="W39" s="196">
        <f>COUNTIF(W8:W37,"&lt;50")</f>
        <v>2</v>
      </c>
      <c r="Y39" s="53" t="s">
        <v>66</v>
      </c>
      <c r="Z39" s="54"/>
      <c r="AA39" s="54"/>
      <c r="AB39" s="54"/>
      <c r="AC39" s="55"/>
      <c r="AD39" s="196">
        <f>COUNTIF(AD8:AD37,"&lt;50")</f>
        <v>0</v>
      </c>
      <c r="AE39" s="196">
        <f>COUNTIF(AE8:AE37,"&lt;50")</f>
        <v>0</v>
      </c>
    </row>
    <row r="40" spans="1:36" x14ac:dyDescent="0.25">
      <c r="A40" s="2"/>
      <c r="B40" s="2"/>
      <c r="C40" s="2"/>
      <c r="D40" s="2"/>
      <c r="E40" s="2"/>
      <c r="F40" s="2"/>
      <c r="G40" s="2"/>
      <c r="I40" s="446" t="s">
        <v>67</v>
      </c>
      <c r="J40" s="447"/>
      <c r="K40" s="447"/>
      <c r="L40" s="447"/>
      <c r="M40" s="448"/>
      <c r="N40" s="197">
        <f>IF(COUNT(N8:N37)=0,"",N39/(COUNT(N8:N37))*100)</f>
        <v>19.230769230769234</v>
      </c>
      <c r="O40" s="197">
        <f>IF(COUNT(O8:O37)=0,"",O39/(COUNT(O8:O37))*100)</f>
        <v>15.384615384615385</v>
      </c>
      <c r="Q40" s="446" t="s">
        <v>67</v>
      </c>
      <c r="R40" s="447"/>
      <c r="S40" s="447"/>
      <c r="T40" s="447"/>
      <c r="U40" s="448"/>
      <c r="V40" s="197">
        <f>IF(COUNT(V8:V37)=0,"",V39/(COUNT(V8:V37))*100)</f>
        <v>69.230769230769226</v>
      </c>
      <c r="W40" s="197">
        <f>IF(COUNT(W8:W37)=0,"",W39/(COUNT(W8:W37))*100)</f>
        <v>7.6923076923076925</v>
      </c>
      <c r="Y40" s="53" t="s">
        <v>67</v>
      </c>
      <c r="Z40" s="54"/>
      <c r="AA40" s="54"/>
      <c r="AB40" s="54"/>
      <c r="AC40" s="55"/>
      <c r="AD40" s="197" t="str">
        <f>IF(COUNT(AD8:AD37)=0,"",AD39/(COUNT(AD8:AD37))*100)</f>
        <v/>
      </c>
      <c r="AE40" s="197" t="str">
        <f>IF(COUNT(AE8:AE37)=0,"",AE39/(COUNT(AE8:AE37))*100)</f>
        <v/>
      </c>
    </row>
    <row r="41" spans="1:36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37"/>
      <c r="AD41" s="37"/>
    </row>
  </sheetData>
  <sheetProtection algorithmName="SHA-512" hashValue="Dg2l9kCkXm1R5GdO/Z4gvelxpEat9kS4ibKV0ztc/f3RUqMsHjdOZOiaNevSztAFs/ELYynlaPyLliU1ibkHIA==" saltValue="NmBIokIRvVsww/AdSeH8FQ==" spinCount="100000" sheet="1" objects="1" scenarios="1"/>
  <dataConsolidate link="1"/>
  <mergeCells count="45">
    <mergeCell ref="Q40:U40"/>
    <mergeCell ref="I38:M38"/>
    <mergeCell ref="I39:M39"/>
    <mergeCell ref="I40:M40"/>
    <mergeCell ref="Q38:U38"/>
    <mergeCell ref="Q39:U39"/>
    <mergeCell ref="B37:G37"/>
    <mergeCell ref="B35:G35"/>
    <mergeCell ref="B34:G34"/>
    <mergeCell ref="B33:G33"/>
    <mergeCell ref="B25:G25"/>
    <mergeCell ref="B26:G26"/>
    <mergeCell ref="B27:G27"/>
    <mergeCell ref="B28:G28"/>
    <mergeCell ref="B32:G32"/>
    <mergeCell ref="B31:G31"/>
    <mergeCell ref="B29:G29"/>
    <mergeCell ref="B30:G30"/>
    <mergeCell ref="B36:G36"/>
    <mergeCell ref="B22:G22"/>
    <mergeCell ref="B23:G23"/>
    <mergeCell ref="B24:G24"/>
    <mergeCell ref="B20:G20"/>
    <mergeCell ref="B21:G21"/>
    <mergeCell ref="AF6:AG6"/>
    <mergeCell ref="B7:G7"/>
    <mergeCell ref="D4:G5"/>
    <mergeCell ref="X4:AE5"/>
    <mergeCell ref="B19:G19"/>
    <mergeCell ref="B8:G8"/>
    <mergeCell ref="B9:G9"/>
    <mergeCell ref="B10:G10"/>
    <mergeCell ref="B11:G11"/>
    <mergeCell ref="B12:G12"/>
    <mergeCell ref="B13:G13"/>
    <mergeCell ref="B14:G14"/>
    <mergeCell ref="B15:G15"/>
    <mergeCell ref="B16:G16"/>
    <mergeCell ref="B17:G17"/>
    <mergeCell ref="B18:G18"/>
    <mergeCell ref="A3:G3"/>
    <mergeCell ref="H4:O5"/>
    <mergeCell ref="P4:W5"/>
    <mergeCell ref="H3:AE3"/>
    <mergeCell ref="D6:G6"/>
  </mergeCells>
  <dataValidations count="7">
    <dataValidation type="decimal" operator="lessThanOrEqual" allowBlank="1" showErrorMessage="1" errorTitle="Erro." error="Ultrapassou cotação máxima." sqref="H8:M37 X8:AC36 P8:U36" xr:uid="{00000000-0002-0000-0200-000000000000}">
      <formula1>H$7</formula1>
    </dataValidation>
    <dataValidation type="decimal" operator="lessThanOrEqual" allowBlank="1" showErrorMessage="1" errorTitle="ERRO!" error="A pergunta não vale tanto!" sqref="P37 X37" xr:uid="{00000000-0002-0000-0200-000001000000}">
      <formula1>P$7</formula1>
    </dataValidation>
    <dataValidation type="decimal" operator="lessThanOrEqual" allowBlank="1" showInputMessage="1" showErrorMessage="1" errorTitle="ERRO!" error="A pergunta não vale tanto!..." sqref="Q37:U37 Y37:AC37 N8:N37" xr:uid="{00000000-0002-0000-0200-000002000000}">
      <formula1>N$7</formula1>
    </dataValidation>
    <dataValidation type="decimal" operator="lessThanOrEqual" allowBlank="1" showInputMessage="1" showErrorMessage="1" sqref="AD8:AD37" xr:uid="{00000000-0002-0000-0200-000003000000}">
      <formula1>AD$7</formula1>
    </dataValidation>
    <dataValidation type="decimal" operator="lessThanOrEqual" showInputMessage="1" showErrorMessage="1" sqref="V8:V37" xr:uid="{00000000-0002-0000-0200-000004000000}">
      <formula1>V$7</formula1>
    </dataValidation>
    <dataValidation type="decimal" operator="lessThanOrEqual" allowBlank="1" showInputMessage="1" showErrorMessage="1" errorTitle="Erro." error="Ultrapassou cotação máxima." sqref="O8:O37" xr:uid="{00000000-0002-0000-0200-000005000000}">
      <formula1>O$7</formula1>
    </dataValidation>
    <dataValidation type="decimal" operator="lessThanOrEqual" showInputMessage="1" showErrorMessage="1" errorTitle="Erro" error="Ultrapassou cotação máxima." sqref="W8:W37 AE8:AE37" xr:uid="{00000000-0002-0000-0200-000006000000}">
      <formula1>W$7</formula1>
    </dataValidation>
  </dataValidations>
  <pageMargins left="0.7" right="0.7" top="0.75" bottom="0.75" header="0.3" footer="0.3"/>
  <pageSetup paperSize="9" orientation="portrait" horizontalDpi="4294967292" r:id="rId1"/>
  <ignoredErrors>
    <ignoredError sqref="B8" unlocked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olha4"/>
  <dimension ref="A1:BA57"/>
  <sheetViews>
    <sheetView zoomScale="110" zoomScaleNormal="110" workbookViewId="0">
      <pane xSplit="7" ySplit="7" topLeftCell="W8" activePane="bottomRight" state="frozen"/>
      <selection pane="topRight" activeCell="H1" sqref="H1"/>
      <selection pane="bottomLeft" activeCell="A8" sqref="A8"/>
      <selection pane="bottomRight" activeCell="AG6" sqref="AG6"/>
    </sheetView>
  </sheetViews>
  <sheetFormatPr defaultRowHeight="15" x14ac:dyDescent="0.25"/>
  <cols>
    <col min="1" max="1" width="5.7109375" style="102" customWidth="1"/>
    <col min="2" max="2" width="9.140625" style="102" hidden="1" customWidth="1"/>
    <col min="3" max="3" width="9.140625" style="102"/>
    <col min="4" max="4" width="8" style="102" customWidth="1"/>
    <col min="5" max="6" width="9.140625" style="102" hidden="1" customWidth="1"/>
    <col min="7" max="15" width="5.85546875" style="102" customWidth="1"/>
    <col min="16" max="17" width="5.5703125" style="102" customWidth="1"/>
    <col min="18" max="18" width="5.42578125" style="102" customWidth="1"/>
    <col min="19" max="19" width="6.140625" style="102" customWidth="1"/>
    <col min="20" max="20" width="5.5703125" style="102" customWidth="1"/>
    <col min="21" max="21" width="5.85546875" style="102" customWidth="1"/>
    <col min="22" max="16384" width="9.140625" style="102"/>
  </cols>
  <sheetData>
    <row r="1" spans="1:53" ht="27" x14ac:dyDescent="0.35">
      <c r="A1" s="1" t="s">
        <v>32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108" t="str">
        <f>IF([1]ENTRADA!B5=0,"",[1]ENTRADA!B5)</f>
        <v/>
      </c>
      <c r="AW1" s="3"/>
      <c r="AX1" s="2"/>
      <c r="AY1" s="2"/>
      <c r="AZ1" s="2"/>
      <c r="BA1" s="2"/>
    </row>
    <row r="2" spans="1:53" ht="27" x14ac:dyDescent="0.25">
      <c r="A2" s="75" t="s">
        <v>34</v>
      </c>
      <c r="B2" s="75"/>
      <c r="C2" s="75"/>
      <c r="D2" s="75"/>
      <c r="E2" s="75"/>
      <c r="F2" s="75"/>
      <c r="G2" s="75"/>
      <c r="H2" s="76"/>
      <c r="I2" s="76"/>
      <c r="J2" s="76" t="s">
        <v>83</v>
      </c>
      <c r="K2" s="76" t="s">
        <v>89</v>
      </c>
      <c r="L2" s="77"/>
      <c r="M2" s="77"/>
      <c r="N2" s="77"/>
      <c r="O2" s="77"/>
      <c r="P2" s="77"/>
      <c r="Q2" s="78"/>
      <c r="R2" s="78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 t="s">
        <v>83</v>
      </c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 t="s">
        <v>83</v>
      </c>
      <c r="AT2" s="7"/>
      <c r="AU2" s="8"/>
      <c r="AV2" s="9"/>
      <c r="AW2" s="4"/>
      <c r="AX2" s="4"/>
      <c r="AY2" s="4"/>
      <c r="AZ2" s="10"/>
      <c r="BA2" s="10"/>
    </row>
    <row r="3" spans="1:53" ht="20.25" x14ac:dyDescent="0.25">
      <c r="A3" s="43"/>
      <c r="B3" s="38"/>
      <c r="C3" s="38"/>
      <c r="D3" s="38"/>
      <c r="E3" s="38"/>
      <c r="F3" s="38"/>
      <c r="G3" s="57"/>
      <c r="H3" s="475" t="s">
        <v>74</v>
      </c>
      <c r="I3" s="476"/>
      <c r="J3" s="476"/>
      <c r="K3" s="476"/>
      <c r="L3" s="476"/>
      <c r="M3" s="476"/>
      <c r="N3" s="476"/>
      <c r="O3" s="476"/>
      <c r="P3" s="476"/>
      <c r="Q3" s="476"/>
      <c r="R3" s="476"/>
      <c r="S3" s="476"/>
      <c r="T3" s="476"/>
      <c r="U3" s="476"/>
      <c r="V3" s="476"/>
      <c r="W3" s="476"/>
      <c r="X3" s="476"/>
      <c r="Y3" s="476"/>
      <c r="Z3" s="476"/>
      <c r="AA3" s="476"/>
      <c r="AB3" s="476"/>
      <c r="AC3" s="476"/>
      <c r="AD3" s="476"/>
      <c r="AE3" s="476"/>
      <c r="AF3" s="476"/>
      <c r="AG3" s="476"/>
      <c r="AH3" s="476"/>
      <c r="AI3" s="476"/>
      <c r="AJ3" s="476"/>
      <c r="AK3" s="476"/>
      <c r="AL3" s="476"/>
      <c r="AM3" s="476"/>
      <c r="AN3" s="476"/>
      <c r="AO3" s="476"/>
      <c r="AP3" s="476"/>
      <c r="AQ3" s="476"/>
      <c r="AR3" s="476"/>
      <c r="AS3" s="476"/>
      <c r="AT3" s="476"/>
      <c r="AU3" s="476"/>
      <c r="AV3" s="476"/>
      <c r="AW3" s="476"/>
      <c r="AX3" s="476"/>
      <c r="AY3" s="476"/>
      <c r="AZ3" s="477"/>
    </row>
    <row r="4" spans="1:53" ht="15" customHeight="1" x14ac:dyDescent="0.25">
      <c r="A4" s="461"/>
      <c r="B4" s="478"/>
      <c r="C4" s="478"/>
      <c r="D4" s="478"/>
      <c r="E4" s="478"/>
      <c r="F4" s="478"/>
      <c r="G4" s="463"/>
      <c r="H4" s="449"/>
      <c r="I4" s="450"/>
      <c r="J4" s="450"/>
      <c r="K4" s="450"/>
      <c r="L4" s="450"/>
      <c r="M4" s="450"/>
      <c r="N4" s="450"/>
      <c r="O4" s="450"/>
      <c r="P4" s="450"/>
      <c r="Q4" s="450"/>
      <c r="R4" s="450"/>
      <c r="S4" s="450"/>
      <c r="T4" s="450"/>
      <c r="U4" s="451"/>
      <c r="V4" s="466" t="s">
        <v>33</v>
      </c>
      <c r="W4" s="449" t="s">
        <v>71</v>
      </c>
      <c r="X4" s="450"/>
      <c r="Y4" s="450"/>
      <c r="Z4" s="450"/>
      <c r="AA4" s="450"/>
      <c r="AB4" s="450"/>
      <c r="AC4" s="450"/>
      <c r="AD4" s="450"/>
      <c r="AE4" s="450"/>
      <c r="AF4" s="450"/>
      <c r="AG4" s="450"/>
      <c r="AH4" s="450"/>
      <c r="AI4" s="450"/>
      <c r="AJ4" s="451"/>
      <c r="AK4" s="466" t="s">
        <v>33</v>
      </c>
      <c r="AL4" s="449" t="s">
        <v>72</v>
      </c>
      <c r="AM4" s="450"/>
      <c r="AN4" s="450"/>
      <c r="AO4" s="450"/>
      <c r="AP4" s="450"/>
      <c r="AQ4" s="450"/>
      <c r="AR4" s="450"/>
      <c r="AS4" s="450"/>
      <c r="AT4" s="450"/>
      <c r="AU4" s="450"/>
      <c r="AV4" s="450"/>
      <c r="AW4" s="450"/>
      <c r="AX4" s="450"/>
      <c r="AY4" s="451"/>
      <c r="AZ4" s="466" t="s">
        <v>33</v>
      </c>
    </row>
    <row r="5" spans="1:53" ht="15" customHeight="1" x14ac:dyDescent="0.25">
      <c r="A5" s="461"/>
      <c r="B5" s="478"/>
      <c r="C5" s="478"/>
      <c r="D5" s="478"/>
      <c r="E5" s="478"/>
      <c r="F5" s="478"/>
      <c r="G5" s="463"/>
      <c r="H5" s="479"/>
      <c r="I5" s="480"/>
      <c r="J5" s="480"/>
      <c r="K5" s="480"/>
      <c r="L5" s="480"/>
      <c r="M5" s="480"/>
      <c r="N5" s="480"/>
      <c r="O5" s="480"/>
      <c r="P5" s="480"/>
      <c r="Q5" s="480"/>
      <c r="R5" s="480"/>
      <c r="S5" s="480"/>
      <c r="T5" s="480"/>
      <c r="U5" s="504"/>
      <c r="V5" s="467"/>
      <c r="W5" s="479"/>
      <c r="X5" s="480"/>
      <c r="Y5" s="480"/>
      <c r="Z5" s="480"/>
      <c r="AA5" s="480"/>
      <c r="AB5" s="480"/>
      <c r="AC5" s="480"/>
      <c r="AD5" s="480"/>
      <c r="AE5" s="480"/>
      <c r="AF5" s="480"/>
      <c r="AG5" s="480"/>
      <c r="AH5" s="480"/>
      <c r="AI5" s="480"/>
      <c r="AJ5" s="504"/>
      <c r="AK5" s="467"/>
      <c r="AL5" s="479"/>
      <c r="AM5" s="480"/>
      <c r="AN5" s="480"/>
      <c r="AO5" s="480"/>
      <c r="AP5" s="480"/>
      <c r="AQ5" s="480"/>
      <c r="AR5" s="480"/>
      <c r="AS5" s="480"/>
      <c r="AT5" s="480"/>
      <c r="AU5" s="480"/>
      <c r="AV5" s="480"/>
      <c r="AW5" s="480"/>
      <c r="AX5" s="480"/>
      <c r="AY5" s="504"/>
      <c r="AZ5" s="467"/>
    </row>
    <row r="6" spans="1:53" ht="18" x14ac:dyDescent="0.25">
      <c r="A6" s="464" t="s">
        <v>36</v>
      </c>
      <c r="B6" s="465"/>
      <c r="C6" s="465"/>
      <c r="D6" s="465"/>
      <c r="E6" s="465"/>
      <c r="F6" s="465"/>
      <c r="G6" s="465"/>
      <c r="H6" s="201" t="s">
        <v>37</v>
      </c>
      <c r="I6" s="202">
        <v>2</v>
      </c>
      <c r="J6" s="202"/>
      <c r="K6" s="202">
        <v>3</v>
      </c>
      <c r="L6" s="202">
        <v>4</v>
      </c>
      <c r="M6" s="202"/>
      <c r="N6" s="202" t="s">
        <v>38</v>
      </c>
      <c r="O6" s="202"/>
      <c r="P6" s="202" t="s">
        <v>39</v>
      </c>
      <c r="Q6" s="203"/>
      <c r="R6" s="203"/>
      <c r="S6" s="203"/>
      <c r="T6" s="203"/>
      <c r="U6" s="204"/>
      <c r="V6" s="468"/>
      <c r="W6" s="67"/>
      <c r="X6" s="66" t="s">
        <v>37</v>
      </c>
      <c r="Y6" s="66"/>
      <c r="Z6" s="66" t="s">
        <v>75</v>
      </c>
      <c r="AA6" s="66"/>
      <c r="AB6" s="66" t="s">
        <v>76</v>
      </c>
      <c r="AC6" s="66" t="s">
        <v>77</v>
      </c>
      <c r="AD6" s="66"/>
      <c r="AE6" s="66" t="s">
        <v>38</v>
      </c>
      <c r="AF6" s="66"/>
      <c r="AG6" s="66">
        <v>1</v>
      </c>
      <c r="AH6" s="66">
        <v>2</v>
      </c>
      <c r="AI6" s="66">
        <v>3</v>
      </c>
      <c r="AJ6" s="68">
        <v>4</v>
      </c>
      <c r="AK6" s="468"/>
      <c r="AL6" s="49"/>
      <c r="AM6" s="49"/>
      <c r="AN6" s="49"/>
      <c r="AO6" s="49"/>
      <c r="AP6" s="49"/>
      <c r="AQ6" s="49"/>
      <c r="AR6" s="49"/>
      <c r="AS6" s="49"/>
      <c r="AT6" s="49"/>
      <c r="AU6" s="49"/>
      <c r="AV6" s="49"/>
      <c r="AW6" s="49"/>
      <c r="AX6" s="49"/>
      <c r="AY6" s="49"/>
      <c r="AZ6" s="468"/>
    </row>
    <row r="7" spans="1:53" ht="37.5" customHeight="1" x14ac:dyDescent="0.25">
      <c r="A7" s="59" t="s">
        <v>9</v>
      </c>
      <c r="C7" s="469" t="s">
        <v>73</v>
      </c>
      <c r="D7" s="470"/>
      <c r="E7" s="470"/>
      <c r="F7" s="470"/>
      <c r="G7" s="470"/>
      <c r="H7" s="94">
        <v>4</v>
      </c>
      <c r="I7" s="96">
        <v>12</v>
      </c>
      <c r="J7" s="96">
        <v>8</v>
      </c>
      <c r="K7" s="96">
        <v>16</v>
      </c>
      <c r="L7" s="96">
        <v>12</v>
      </c>
      <c r="M7" s="96">
        <v>8</v>
      </c>
      <c r="N7" s="96">
        <v>12</v>
      </c>
      <c r="O7" s="96">
        <v>8</v>
      </c>
      <c r="P7" s="96">
        <v>12</v>
      </c>
      <c r="Q7" s="96">
        <v>8</v>
      </c>
      <c r="R7" s="95"/>
      <c r="S7" s="70"/>
      <c r="T7" s="70"/>
      <c r="U7" s="110"/>
      <c r="V7" s="117">
        <f>IF(OR(SUM(H7:U7)&gt;100,SUM(H7:U7)&lt;0),"",SUM(H7:U7))</f>
        <v>100</v>
      </c>
      <c r="W7" s="106"/>
      <c r="X7" s="107">
        <v>12</v>
      </c>
      <c r="Y7" s="107">
        <v>8</v>
      </c>
      <c r="Z7" s="107">
        <v>12</v>
      </c>
      <c r="AA7" s="107">
        <v>8</v>
      </c>
      <c r="AB7" s="107">
        <v>20</v>
      </c>
      <c r="AC7" s="107">
        <v>12</v>
      </c>
      <c r="AD7" s="107">
        <v>8</v>
      </c>
      <c r="AE7" s="81">
        <v>12</v>
      </c>
      <c r="AF7" s="81">
        <v>8</v>
      </c>
      <c r="AG7" s="71"/>
      <c r="AH7" s="71"/>
      <c r="AI7" s="71"/>
      <c r="AJ7" s="72"/>
      <c r="AK7" s="117">
        <f>IF(OR(SUM(W7:AJ7)&gt;100,SUM(W7:AJ7)&lt;0),"",SUM(W7:AJ7))</f>
        <v>100</v>
      </c>
      <c r="AL7" s="107"/>
      <c r="AM7" s="107"/>
      <c r="AN7" s="107"/>
      <c r="AO7" s="107"/>
      <c r="AP7" s="107"/>
      <c r="AQ7" s="107">
        <v>2</v>
      </c>
      <c r="AR7" s="107"/>
      <c r="AS7" s="107"/>
      <c r="AT7" s="73"/>
      <c r="AU7" s="73"/>
      <c r="AV7" s="73"/>
      <c r="AW7" s="73"/>
      <c r="AX7" s="73"/>
      <c r="AY7" s="73"/>
      <c r="AZ7" s="117">
        <f>IF(OR(SUM(AL7:AY7)&gt;100,SUM(AL7:AY7)&lt;0),"",SUM(AL7:AY7))</f>
        <v>2</v>
      </c>
    </row>
    <row r="8" spans="1:53" x14ac:dyDescent="0.25">
      <c r="A8" s="160">
        <f>IF('Avaliação Períodos'!A9=0,"",'Avaliação Períodos'!A9)</f>
        <v>1</v>
      </c>
      <c r="B8" s="471" t="str">
        <f>IF('Avaliação Períodos'!B9=0,"",'Avaliação Períodos'!B9)</f>
        <v>Afonso</v>
      </c>
      <c r="C8" s="472"/>
      <c r="D8" s="472"/>
      <c r="E8" s="472"/>
      <c r="F8" s="472"/>
      <c r="G8" s="472"/>
      <c r="H8" s="214">
        <v>0</v>
      </c>
      <c r="I8" s="225">
        <v>0</v>
      </c>
      <c r="J8" s="225">
        <v>0</v>
      </c>
      <c r="K8" s="225">
        <v>15</v>
      </c>
      <c r="L8" s="225">
        <v>5</v>
      </c>
      <c r="M8" s="225">
        <v>0</v>
      </c>
      <c r="N8" s="225">
        <v>0</v>
      </c>
      <c r="O8" s="225">
        <v>0</v>
      </c>
      <c r="P8" s="164">
        <v>0</v>
      </c>
      <c r="Q8" s="164">
        <v>0</v>
      </c>
      <c r="R8" s="164"/>
      <c r="S8" s="164"/>
      <c r="T8" s="164"/>
      <c r="U8" s="205"/>
      <c r="V8" s="62">
        <f>IF(COUNT(H8:U8)=0,"",SUM(H8:U8))</f>
        <v>20</v>
      </c>
      <c r="W8" s="184"/>
      <c r="X8" s="184"/>
      <c r="Y8" s="185"/>
      <c r="Z8" s="185"/>
      <c r="AA8" s="185"/>
      <c r="AB8" s="185"/>
      <c r="AC8" s="185"/>
      <c r="AD8" s="185"/>
      <c r="AE8" s="185"/>
      <c r="AF8" s="185"/>
      <c r="AG8" s="185">
        <v>25</v>
      </c>
      <c r="AH8" s="185">
        <v>10</v>
      </c>
      <c r="AI8" s="185">
        <v>26</v>
      </c>
      <c r="AJ8" s="185">
        <v>6</v>
      </c>
      <c r="AK8" s="52">
        <f>IF(COUNT(W8:AJ8)=0,"",SUM(W8:AJ8))</f>
        <v>67</v>
      </c>
      <c r="AL8" s="185"/>
      <c r="AM8" s="185"/>
      <c r="AN8" s="185"/>
      <c r="AO8" s="185"/>
      <c r="AP8" s="185"/>
      <c r="AQ8" s="185"/>
      <c r="AR8" s="185"/>
      <c r="AS8" s="185"/>
      <c r="AT8" s="185"/>
      <c r="AU8" s="185"/>
      <c r="AV8" s="185"/>
      <c r="AW8" s="185"/>
      <c r="AX8" s="185"/>
      <c r="AY8" s="185"/>
      <c r="AZ8" s="19" t="str">
        <f>IF(COUNT(AL8:AY8)=0,"",SUM(AL8:AY8))</f>
        <v/>
      </c>
    </row>
    <row r="9" spans="1:53" x14ac:dyDescent="0.25">
      <c r="A9" s="161">
        <f>IF('Avaliação Períodos'!A10=0,"",'Avaliação Períodos'!A10)</f>
        <v>2</v>
      </c>
      <c r="B9" s="455" t="str">
        <f>IF('Avaliação Períodos'!B10=0,"",'Avaliação Períodos'!B10)</f>
        <v>Afonso Cravo</v>
      </c>
      <c r="C9" s="456"/>
      <c r="D9" s="456"/>
      <c r="E9" s="456"/>
      <c r="F9" s="456"/>
      <c r="G9" s="457"/>
      <c r="H9" s="215">
        <v>4</v>
      </c>
      <c r="I9" s="216">
        <v>0</v>
      </c>
      <c r="J9" s="216">
        <v>0</v>
      </c>
      <c r="K9" s="216">
        <v>8</v>
      </c>
      <c r="L9" s="216">
        <v>8</v>
      </c>
      <c r="M9" s="216">
        <v>4</v>
      </c>
      <c r="N9" s="216">
        <v>12</v>
      </c>
      <c r="O9" s="216">
        <v>8</v>
      </c>
      <c r="P9" s="174">
        <v>0</v>
      </c>
      <c r="Q9" s="174">
        <v>0</v>
      </c>
      <c r="R9" s="174"/>
      <c r="S9" s="174"/>
      <c r="T9" s="174"/>
      <c r="U9" s="206"/>
      <c r="V9" s="62">
        <f t="shared" ref="V9:V37" si="0">IF(COUNT(H9:U9)=0,"",SUM(H9:U9))</f>
        <v>44</v>
      </c>
      <c r="W9" s="173"/>
      <c r="X9" s="173">
        <v>12</v>
      </c>
      <c r="Y9" s="174">
        <v>8</v>
      </c>
      <c r="Z9" s="174">
        <v>8</v>
      </c>
      <c r="AA9" s="174">
        <v>6</v>
      </c>
      <c r="AB9" s="174">
        <v>20</v>
      </c>
      <c r="AC9" s="174">
        <v>12</v>
      </c>
      <c r="AD9" s="174">
        <v>7</v>
      </c>
      <c r="AE9" s="174">
        <v>12</v>
      </c>
      <c r="AF9" s="174">
        <v>8</v>
      </c>
      <c r="AG9" s="174"/>
      <c r="AH9" s="174"/>
      <c r="AI9" s="174"/>
      <c r="AJ9" s="174"/>
      <c r="AK9" s="52">
        <f t="shared" ref="AK9:AK37" si="1">IF(COUNT(W9:AJ9)=0,"",SUM(W9:AJ9))</f>
        <v>93</v>
      </c>
      <c r="AL9" s="167"/>
      <c r="AM9" s="167"/>
      <c r="AN9" s="167"/>
      <c r="AO9" s="167"/>
      <c r="AP9" s="167"/>
      <c r="AQ9" s="167"/>
      <c r="AR9" s="167"/>
      <c r="AS9" s="167"/>
      <c r="AT9" s="167"/>
      <c r="AU9" s="167"/>
      <c r="AV9" s="167"/>
      <c r="AW9" s="167"/>
      <c r="AX9" s="167"/>
      <c r="AY9" s="167"/>
      <c r="AZ9" s="19" t="str">
        <f t="shared" ref="AZ9:AZ37" si="2">IF(COUNT(AL9:AY9)=0,"",SUM(AL9:AY9))</f>
        <v/>
      </c>
    </row>
    <row r="10" spans="1:53" x14ac:dyDescent="0.25">
      <c r="A10" s="160">
        <f>IF('Avaliação Períodos'!A11=0,"",'Avaliação Períodos'!A11)</f>
        <v>3</v>
      </c>
      <c r="B10" s="458" t="str">
        <f>IF('Avaliação Períodos'!B11=0,"",'Avaliação Períodos'!B11)</f>
        <v>Ândria</v>
      </c>
      <c r="C10" s="459"/>
      <c r="D10" s="459"/>
      <c r="E10" s="459"/>
      <c r="F10" s="459"/>
      <c r="G10" s="460"/>
      <c r="H10" s="214">
        <v>4</v>
      </c>
      <c r="I10" s="217">
        <v>6</v>
      </c>
      <c r="J10" s="217">
        <v>4</v>
      </c>
      <c r="K10" s="217">
        <v>16</v>
      </c>
      <c r="L10" s="217">
        <v>10</v>
      </c>
      <c r="M10" s="217">
        <v>6</v>
      </c>
      <c r="N10" s="217">
        <v>4</v>
      </c>
      <c r="O10" s="217">
        <v>4</v>
      </c>
      <c r="P10" s="207">
        <v>12</v>
      </c>
      <c r="Q10" s="171">
        <v>8</v>
      </c>
      <c r="R10" s="171"/>
      <c r="S10" s="171"/>
      <c r="T10" s="171"/>
      <c r="U10" s="208"/>
      <c r="V10" s="62">
        <f t="shared" si="0"/>
        <v>74</v>
      </c>
      <c r="W10" s="170"/>
      <c r="X10" s="170">
        <v>12</v>
      </c>
      <c r="Y10" s="171">
        <v>7</v>
      </c>
      <c r="Z10" s="171">
        <v>4</v>
      </c>
      <c r="AA10" s="171">
        <v>2</v>
      </c>
      <c r="AB10" s="171">
        <v>20</v>
      </c>
      <c r="AC10" s="171">
        <v>8</v>
      </c>
      <c r="AD10" s="171">
        <v>6</v>
      </c>
      <c r="AE10" s="171">
        <v>5</v>
      </c>
      <c r="AF10" s="207">
        <v>3</v>
      </c>
      <c r="AG10" s="171"/>
      <c r="AH10" s="171"/>
      <c r="AI10" s="171"/>
      <c r="AJ10" s="171"/>
      <c r="AK10" s="52">
        <f t="shared" si="1"/>
        <v>67</v>
      </c>
      <c r="AL10" s="171"/>
      <c r="AM10" s="171"/>
      <c r="AN10" s="171"/>
      <c r="AO10" s="171"/>
      <c r="AP10" s="171"/>
      <c r="AQ10" s="171"/>
      <c r="AR10" s="171"/>
      <c r="AS10" s="171"/>
      <c r="AT10" s="171"/>
      <c r="AU10" s="171"/>
      <c r="AV10" s="171"/>
      <c r="AW10" s="171"/>
      <c r="AX10" s="171"/>
      <c r="AY10" s="171"/>
      <c r="AZ10" s="19" t="str">
        <f t="shared" si="2"/>
        <v/>
      </c>
    </row>
    <row r="11" spans="1:53" x14ac:dyDescent="0.25">
      <c r="A11" s="161">
        <f>IF('Avaliação Períodos'!A12=0,"",'Avaliação Períodos'!A12)</f>
        <v>4</v>
      </c>
      <c r="B11" s="455" t="str">
        <f>IF('Avaliação Períodos'!B12=0,"",'Avaliação Períodos'!B12)</f>
        <v>Bernardo Gomes</v>
      </c>
      <c r="C11" s="456"/>
      <c r="D11" s="456"/>
      <c r="E11" s="456"/>
      <c r="F11" s="456"/>
      <c r="G11" s="457"/>
      <c r="H11" s="215">
        <v>4</v>
      </c>
      <c r="I11" s="216">
        <v>12</v>
      </c>
      <c r="J11" s="216">
        <v>8</v>
      </c>
      <c r="K11" s="216">
        <v>16</v>
      </c>
      <c r="L11" s="216">
        <v>12</v>
      </c>
      <c r="M11" s="216">
        <v>8</v>
      </c>
      <c r="N11" s="216">
        <v>12</v>
      </c>
      <c r="O11" s="216">
        <v>8</v>
      </c>
      <c r="P11" s="174">
        <v>6</v>
      </c>
      <c r="Q11" s="174">
        <v>4</v>
      </c>
      <c r="R11" s="174"/>
      <c r="S11" s="174"/>
      <c r="T11" s="174"/>
      <c r="U11" s="206"/>
      <c r="V11" s="62">
        <f t="shared" si="0"/>
        <v>90</v>
      </c>
      <c r="W11" s="173"/>
      <c r="X11" s="173">
        <v>12</v>
      </c>
      <c r="Y11" s="174">
        <v>8</v>
      </c>
      <c r="Z11" s="174">
        <v>12</v>
      </c>
      <c r="AA11" s="174">
        <v>8</v>
      </c>
      <c r="AB11" s="174">
        <v>20</v>
      </c>
      <c r="AC11" s="174">
        <v>12</v>
      </c>
      <c r="AD11" s="174">
        <v>8</v>
      </c>
      <c r="AE11" s="174">
        <v>6</v>
      </c>
      <c r="AF11" s="174">
        <v>4</v>
      </c>
      <c r="AG11" s="174"/>
      <c r="AH11" s="174"/>
      <c r="AI11" s="174"/>
      <c r="AJ11" s="174"/>
      <c r="AK11" s="52">
        <f t="shared" si="1"/>
        <v>90</v>
      </c>
      <c r="AL11" s="174"/>
      <c r="AM11" s="174"/>
      <c r="AN11" s="174"/>
      <c r="AO11" s="174"/>
      <c r="AP11" s="174"/>
      <c r="AQ11" s="174"/>
      <c r="AR11" s="174"/>
      <c r="AS11" s="174"/>
      <c r="AT11" s="174"/>
      <c r="AU11" s="174"/>
      <c r="AV11" s="174"/>
      <c r="AW11" s="174"/>
      <c r="AX11" s="174"/>
      <c r="AY11" s="174"/>
      <c r="AZ11" s="19" t="str">
        <f t="shared" si="2"/>
        <v/>
      </c>
    </row>
    <row r="12" spans="1:53" x14ac:dyDescent="0.25">
      <c r="A12" s="160">
        <f>IF('Avaliação Períodos'!A13=0,"",'Avaliação Períodos'!A13)</f>
        <v>5</v>
      </c>
      <c r="B12" s="458" t="str">
        <f>IF('Avaliação Períodos'!B13=0,"",'Avaliação Períodos'!B13)</f>
        <v xml:space="preserve"> Bernardo Gaspar</v>
      </c>
      <c r="C12" s="459"/>
      <c r="D12" s="459"/>
      <c r="E12" s="459"/>
      <c r="F12" s="459"/>
      <c r="G12" s="460"/>
      <c r="H12" s="214">
        <v>4</v>
      </c>
      <c r="I12" s="217">
        <v>6</v>
      </c>
      <c r="J12" s="217">
        <v>4</v>
      </c>
      <c r="K12" s="217">
        <v>4</v>
      </c>
      <c r="L12" s="217">
        <v>12</v>
      </c>
      <c r="M12" s="217">
        <v>4</v>
      </c>
      <c r="N12" s="217">
        <v>12</v>
      </c>
      <c r="O12" s="217">
        <v>8</v>
      </c>
      <c r="P12" s="207">
        <v>3</v>
      </c>
      <c r="Q12" s="171">
        <v>2</v>
      </c>
      <c r="R12" s="171"/>
      <c r="S12" s="171"/>
      <c r="T12" s="171"/>
      <c r="U12" s="208"/>
      <c r="V12" s="62">
        <f t="shared" si="0"/>
        <v>59</v>
      </c>
      <c r="W12" s="170"/>
      <c r="X12" s="170">
        <v>12</v>
      </c>
      <c r="Y12" s="171">
        <v>8</v>
      </c>
      <c r="Z12" s="171">
        <v>12</v>
      </c>
      <c r="AA12" s="171">
        <v>8</v>
      </c>
      <c r="AB12" s="171">
        <v>20</v>
      </c>
      <c r="AC12" s="171">
        <v>12</v>
      </c>
      <c r="AD12" s="171">
        <v>8</v>
      </c>
      <c r="AE12" s="171">
        <v>6</v>
      </c>
      <c r="AF12" s="207">
        <v>4</v>
      </c>
      <c r="AG12" s="171"/>
      <c r="AH12" s="171"/>
      <c r="AI12" s="171"/>
      <c r="AJ12" s="171"/>
      <c r="AK12" s="52">
        <f t="shared" si="1"/>
        <v>90</v>
      </c>
      <c r="AL12" s="171"/>
      <c r="AM12" s="171"/>
      <c r="AN12" s="171"/>
      <c r="AO12" s="171"/>
      <c r="AP12" s="171"/>
      <c r="AQ12" s="171"/>
      <c r="AR12" s="171"/>
      <c r="AS12" s="171"/>
      <c r="AT12" s="171"/>
      <c r="AU12" s="171"/>
      <c r="AV12" s="171"/>
      <c r="AW12" s="171"/>
      <c r="AX12" s="171"/>
      <c r="AY12" s="171"/>
      <c r="AZ12" s="19" t="str">
        <f t="shared" si="2"/>
        <v/>
      </c>
    </row>
    <row r="13" spans="1:53" x14ac:dyDescent="0.25">
      <c r="A13" s="161">
        <f>IF('Avaliação Períodos'!A14=0,"",'Avaliação Períodos'!A14)</f>
        <v>6</v>
      </c>
      <c r="B13" s="455" t="str">
        <f>IF('Avaliação Períodos'!B14=0,"",'Avaliação Períodos'!B14)</f>
        <v>David</v>
      </c>
      <c r="C13" s="456"/>
      <c r="D13" s="456"/>
      <c r="E13" s="456"/>
      <c r="F13" s="456"/>
      <c r="G13" s="457"/>
      <c r="H13" s="215">
        <v>0</v>
      </c>
      <c r="I13" s="216">
        <v>6</v>
      </c>
      <c r="J13" s="216">
        <v>2</v>
      </c>
      <c r="K13" s="216">
        <v>4</v>
      </c>
      <c r="L13" s="216">
        <v>6</v>
      </c>
      <c r="M13" s="216">
        <v>3</v>
      </c>
      <c r="N13" s="216">
        <v>0</v>
      </c>
      <c r="O13" s="216">
        <v>0</v>
      </c>
      <c r="P13" s="174">
        <v>6</v>
      </c>
      <c r="Q13" s="174">
        <v>4</v>
      </c>
      <c r="R13" s="174"/>
      <c r="S13" s="174"/>
      <c r="T13" s="174"/>
      <c r="U13" s="206"/>
      <c r="V13" s="62">
        <f t="shared" si="0"/>
        <v>31</v>
      </c>
      <c r="W13" s="173"/>
      <c r="X13" s="173">
        <v>6</v>
      </c>
      <c r="Y13" s="174">
        <v>4</v>
      </c>
      <c r="Z13" s="174">
        <v>0</v>
      </c>
      <c r="AA13" s="174">
        <v>0</v>
      </c>
      <c r="AB13" s="174">
        <v>10</v>
      </c>
      <c r="AC13" s="174">
        <v>8</v>
      </c>
      <c r="AD13" s="174">
        <v>6</v>
      </c>
      <c r="AE13" s="174">
        <v>8</v>
      </c>
      <c r="AF13" s="174">
        <v>6</v>
      </c>
      <c r="AG13" s="174"/>
      <c r="AH13" s="174"/>
      <c r="AI13" s="174"/>
      <c r="AJ13" s="174"/>
      <c r="AK13" s="52">
        <f t="shared" si="1"/>
        <v>48</v>
      </c>
      <c r="AL13" s="174"/>
      <c r="AM13" s="174"/>
      <c r="AN13" s="174"/>
      <c r="AO13" s="174"/>
      <c r="AP13" s="174"/>
      <c r="AQ13" s="174"/>
      <c r="AR13" s="174"/>
      <c r="AS13" s="174"/>
      <c r="AT13" s="174"/>
      <c r="AU13" s="174"/>
      <c r="AV13" s="174"/>
      <c r="AW13" s="174"/>
      <c r="AX13" s="174"/>
      <c r="AY13" s="174"/>
      <c r="AZ13" s="19" t="str">
        <f t="shared" si="2"/>
        <v/>
      </c>
    </row>
    <row r="14" spans="1:53" x14ac:dyDescent="0.25">
      <c r="A14" s="160">
        <f>IF('Avaliação Períodos'!A15=0,"",'Avaliação Períodos'!A15)</f>
        <v>7</v>
      </c>
      <c r="B14" s="458" t="str">
        <f>IF('Avaliação Períodos'!B15=0,"",'Avaliação Períodos'!B15)</f>
        <v>Fábio</v>
      </c>
      <c r="C14" s="459"/>
      <c r="D14" s="459"/>
      <c r="E14" s="459"/>
      <c r="F14" s="459"/>
      <c r="G14" s="460"/>
      <c r="H14" s="214">
        <v>4</v>
      </c>
      <c r="I14" s="217">
        <v>0</v>
      </c>
      <c r="J14" s="217">
        <v>0</v>
      </c>
      <c r="K14" s="217">
        <v>16</v>
      </c>
      <c r="L14" s="217">
        <v>12</v>
      </c>
      <c r="M14" s="217">
        <v>4</v>
      </c>
      <c r="N14" s="217">
        <v>12</v>
      </c>
      <c r="O14" s="217">
        <v>4</v>
      </c>
      <c r="P14" s="207">
        <v>6</v>
      </c>
      <c r="Q14" s="171">
        <v>3</v>
      </c>
      <c r="R14" s="171"/>
      <c r="S14" s="171"/>
      <c r="T14" s="171"/>
      <c r="U14" s="208"/>
      <c r="V14" s="62">
        <f t="shared" si="0"/>
        <v>61</v>
      </c>
      <c r="W14" s="170"/>
      <c r="X14" s="170">
        <v>6</v>
      </c>
      <c r="Y14" s="171">
        <v>3</v>
      </c>
      <c r="Z14" s="171">
        <v>0</v>
      </c>
      <c r="AA14" s="171">
        <v>0</v>
      </c>
      <c r="AB14" s="171">
        <v>20</v>
      </c>
      <c r="AC14" s="171">
        <v>12</v>
      </c>
      <c r="AD14" s="171">
        <v>7</v>
      </c>
      <c r="AE14" s="171">
        <v>6</v>
      </c>
      <c r="AF14" s="207">
        <v>4</v>
      </c>
      <c r="AG14" s="171"/>
      <c r="AH14" s="171"/>
      <c r="AI14" s="171"/>
      <c r="AJ14" s="171"/>
      <c r="AK14" s="52">
        <f t="shared" si="1"/>
        <v>58</v>
      </c>
      <c r="AL14" s="171"/>
      <c r="AM14" s="171"/>
      <c r="AN14" s="171"/>
      <c r="AO14" s="171"/>
      <c r="AP14" s="171"/>
      <c r="AQ14" s="171"/>
      <c r="AR14" s="171"/>
      <c r="AS14" s="171"/>
      <c r="AT14" s="171"/>
      <c r="AU14" s="171"/>
      <c r="AV14" s="171"/>
      <c r="AW14" s="171"/>
      <c r="AX14" s="171"/>
      <c r="AY14" s="171"/>
      <c r="AZ14" s="19" t="str">
        <f t="shared" si="2"/>
        <v/>
      </c>
    </row>
    <row r="15" spans="1:53" x14ac:dyDescent="0.25">
      <c r="A15" s="161">
        <f>IF('Avaliação Períodos'!A16=0,"",'Avaliação Períodos'!A16)</f>
        <v>8</v>
      </c>
      <c r="B15" s="455" t="str">
        <f>IF('Avaliação Períodos'!B16=0,"",'Avaliação Períodos'!B16)</f>
        <v>Francisco</v>
      </c>
      <c r="C15" s="456"/>
      <c r="D15" s="456"/>
      <c r="E15" s="456"/>
      <c r="F15" s="456"/>
      <c r="G15" s="457"/>
      <c r="H15" s="215">
        <v>0</v>
      </c>
      <c r="I15" s="216">
        <v>0</v>
      </c>
      <c r="J15" s="216">
        <v>0</v>
      </c>
      <c r="K15" s="216">
        <v>16</v>
      </c>
      <c r="L15" s="216">
        <v>12</v>
      </c>
      <c r="M15" s="216">
        <v>8</v>
      </c>
      <c r="N15" s="216">
        <v>12</v>
      </c>
      <c r="O15" s="216">
        <v>6</v>
      </c>
      <c r="P15" s="174">
        <v>0</v>
      </c>
      <c r="Q15" s="174">
        <v>0</v>
      </c>
      <c r="R15" s="176"/>
      <c r="S15" s="174"/>
      <c r="T15" s="174"/>
      <c r="U15" s="206"/>
      <c r="V15" s="62">
        <f t="shared" si="0"/>
        <v>54</v>
      </c>
      <c r="W15" s="173"/>
      <c r="X15" s="173">
        <v>12</v>
      </c>
      <c r="Y15" s="174">
        <v>8</v>
      </c>
      <c r="Z15" s="176">
        <v>8</v>
      </c>
      <c r="AA15" s="174">
        <v>6</v>
      </c>
      <c r="AB15" s="174">
        <v>10</v>
      </c>
      <c r="AC15" s="174">
        <v>4</v>
      </c>
      <c r="AD15" s="174">
        <v>2</v>
      </c>
      <c r="AE15" s="174">
        <v>2</v>
      </c>
      <c r="AF15" s="174">
        <v>1</v>
      </c>
      <c r="AG15" s="174"/>
      <c r="AH15" s="176"/>
      <c r="AI15" s="174"/>
      <c r="AJ15" s="174"/>
      <c r="AK15" s="52">
        <f t="shared" si="1"/>
        <v>53</v>
      </c>
      <c r="AL15" s="174"/>
      <c r="AM15" s="174"/>
      <c r="AN15" s="174"/>
      <c r="AO15" s="174"/>
      <c r="AP15" s="174"/>
      <c r="AQ15" s="174"/>
      <c r="AR15" s="174"/>
      <c r="AS15" s="174"/>
      <c r="AT15" s="174"/>
      <c r="AU15" s="174"/>
      <c r="AV15" s="174"/>
      <c r="AW15" s="174"/>
      <c r="AX15" s="174"/>
      <c r="AY15" s="174"/>
      <c r="AZ15" s="19" t="str">
        <f t="shared" si="2"/>
        <v/>
      </c>
    </row>
    <row r="16" spans="1:53" x14ac:dyDescent="0.25">
      <c r="A16" s="160">
        <f>IF('Avaliação Períodos'!A17=0,"",'Avaliação Períodos'!A17)</f>
        <v>9</v>
      </c>
      <c r="B16" s="458" t="str">
        <f>IF('Avaliação Períodos'!B17=0,"",'Avaliação Períodos'!B17)</f>
        <v>Gonçalo</v>
      </c>
      <c r="C16" s="459"/>
      <c r="D16" s="459"/>
      <c r="E16" s="459"/>
      <c r="F16" s="459"/>
      <c r="G16" s="460"/>
      <c r="H16" s="214">
        <v>4</v>
      </c>
      <c r="I16" s="217">
        <v>6</v>
      </c>
      <c r="J16" s="217">
        <v>4</v>
      </c>
      <c r="K16" s="217">
        <v>12</v>
      </c>
      <c r="L16" s="217">
        <v>12</v>
      </c>
      <c r="M16" s="217">
        <v>6</v>
      </c>
      <c r="N16" s="217">
        <v>0</v>
      </c>
      <c r="O16" s="217">
        <v>0</v>
      </c>
      <c r="P16" s="207">
        <v>6</v>
      </c>
      <c r="Q16" s="171">
        <v>4</v>
      </c>
      <c r="R16" s="171"/>
      <c r="S16" s="171"/>
      <c r="T16" s="171"/>
      <c r="U16" s="208"/>
      <c r="V16" s="62">
        <f t="shared" si="0"/>
        <v>54</v>
      </c>
      <c r="W16" s="170"/>
      <c r="X16" s="170">
        <v>12</v>
      </c>
      <c r="Y16" s="171">
        <v>7</v>
      </c>
      <c r="Z16" s="171">
        <v>8</v>
      </c>
      <c r="AA16" s="171">
        <v>6</v>
      </c>
      <c r="AB16" s="171">
        <v>10</v>
      </c>
      <c r="AC16" s="171">
        <v>6</v>
      </c>
      <c r="AD16" s="171">
        <v>4</v>
      </c>
      <c r="AE16" s="171">
        <v>6</v>
      </c>
      <c r="AF16" s="207">
        <v>4</v>
      </c>
      <c r="AG16" s="171"/>
      <c r="AH16" s="171"/>
      <c r="AI16" s="171"/>
      <c r="AJ16" s="171"/>
      <c r="AK16" s="52">
        <f t="shared" si="1"/>
        <v>63</v>
      </c>
      <c r="AL16" s="171"/>
      <c r="AM16" s="171"/>
      <c r="AN16" s="171"/>
      <c r="AO16" s="171"/>
      <c r="AP16" s="171"/>
      <c r="AQ16" s="171"/>
      <c r="AR16" s="171"/>
      <c r="AS16" s="171"/>
      <c r="AT16" s="171"/>
      <c r="AU16" s="171"/>
      <c r="AV16" s="171"/>
      <c r="AW16" s="171"/>
      <c r="AX16" s="171"/>
      <c r="AY16" s="171"/>
      <c r="AZ16" s="19" t="str">
        <f t="shared" si="2"/>
        <v/>
      </c>
    </row>
    <row r="17" spans="1:52" x14ac:dyDescent="0.25">
      <c r="A17" s="161">
        <f>IF('Avaliação Períodos'!A18=0,"",'Avaliação Períodos'!A18)</f>
        <v>10</v>
      </c>
      <c r="B17" s="455" t="str">
        <f>IF('Avaliação Períodos'!B18=0,"",'Avaliação Períodos'!B18)</f>
        <v>Gustavo</v>
      </c>
      <c r="C17" s="456"/>
      <c r="D17" s="456"/>
      <c r="E17" s="456"/>
      <c r="F17" s="456"/>
      <c r="G17" s="457"/>
      <c r="H17" s="215">
        <v>4</v>
      </c>
      <c r="I17" s="216">
        <v>3</v>
      </c>
      <c r="J17" s="216">
        <v>2</v>
      </c>
      <c r="K17" s="216">
        <v>12</v>
      </c>
      <c r="L17" s="216">
        <v>12</v>
      </c>
      <c r="M17" s="216">
        <v>8</v>
      </c>
      <c r="N17" s="216">
        <v>12</v>
      </c>
      <c r="O17" s="216">
        <v>7</v>
      </c>
      <c r="P17" s="174">
        <v>12</v>
      </c>
      <c r="Q17" s="174">
        <v>8</v>
      </c>
      <c r="R17" s="174"/>
      <c r="S17" s="174"/>
      <c r="T17" s="174"/>
      <c r="U17" s="206"/>
      <c r="V17" s="62">
        <f t="shared" si="0"/>
        <v>80</v>
      </c>
      <c r="W17" s="173"/>
      <c r="X17" s="173">
        <v>6</v>
      </c>
      <c r="Y17" s="174">
        <v>4</v>
      </c>
      <c r="Z17" s="174">
        <v>12</v>
      </c>
      <c r="AA17" s="174">
        <v>8</v>
      </c>
      <c r="AB17" s="174">
        <v>20</v>
      </c>
      <c r="AC17" s="174">
        <v>12</v>
      </c>
      <c r="AD17" s="174">
        <v>8</v>
      </c>
      <c r="AE17" s="174">
        <v>4</v>
      </c>
      <c r="AF17" s="174">
        <v>2</v>
      </c>
      <c r="AG17" s="174"/>
      <c r="AH17" s="174"/>
      <c r="AI17" s="174"/>
      <c r="AJ17" s="174"/>
      <c r="AK17" s="52">
        <f t="shared" si="1"/>
        <v>76</v>
      </c>
      <c r="AL17" s="174"/>
      <c r="AM17" s="174"/>
      <c r="AN17" s="174"/>
      <c r="AO17" s="174"/>
      <c r="AP17" s="174"/>
      <c r="AQ17" s="174"/>
      <c r="AR17" s="174"/>
      <c r="AS17" s="174"/>
      <c r="AT17" s="174"/>
      <c r="AU17" s="174"/>
      <c r="AV17" s="174"/>
      <c r="AW17" s="174"/>
      <c r="AX17" s="174"/>
      <c r="AY17" s="174"/>
      <c r="AZ17" s="19" t="str">
        <f t="shared" si="2"/>
        <v/>
      </c>
    </row>
    <row r="18" spans="1:52" x14ac:dyDescent="0.25">
      <c r="A18" s="160">
        <f>IF('Avaliação Períodos'!A19=0,"",'Avaliação Períodos'!A19)</f>
        <v>11</v>
      </c>
      <c r="B18" s="458" t="str">
        <f>IF('Avaliação Períodos'!B19=0,"",'Avaliação Períodos'!B19)</f>
        <v>João</v>
      </c>
      <c r="C18" s="459"/>
      <c r="D18" s="459"/>
      <c r="E18" s="459"/>
      <c r="F18" s="459"/>
      <c r="G18" s="460"/>
      <c r="H18" s="214">
        <v>4</v>
      </c>
      <c r="I18" s="217">
        <v>3</v>
      </c>
      <c r="J18" s="217">
        <v>2</v>
      </c>
      <c r="K18" s="217">
        <v>12</v>
      </c>
      <c r="L18" s="217">
        <v>12</v>
      </c>
      <c r="M18" s="217">
        <v>8</v>
      </c>
      <c r="N18" s="217">
        <v>12</v>
      </c>
      <c r="O18" s="217">
        <v>8</v>
      </c>
      <c r="P18" s="171">
        <v>0</v>
      </c>
      <c r="Q18" s="171">
        <v>0</v>
      </c>
      <c r="R18" s="171"/>
      <c r="S18" s="171"/>
      <c r="T18" s="171"/>
      <c r="U18" s="208"/>
      <c r="V18" s="62">
        <f t="shared" si="0"/>
        <v>61</v>
      </c>
      <c r="W18" s="177"/>
      <c r="X18" s="177">
        <v>12</v>
      </c>
      <c r="Y18" s="171">
        <v>8</v>
      </c>
      <c r="Z18" s="171">
        <v>4</v>
      </c>
      <c r="AA18" s="171">
        <v>2</v>
      </c>
      <c r="AB18" s="171">
        <v>20</v>
      </c>
      <c r="AC18" s="171">
        <v>6</v>
      </c>
      <c r="AD18" s="171">
        <v>4</v>
      </c>
      <c r="AE18" s="171">
        <v>6</v>
      </c>
      <c r="AF18" s="171">
        <v>4</v>
      </c>
      <c r="AG18" s="171"/>
      <c r="AH18" s="171"/>
      <c r="AI18" s="171"/>
      <c r="AJ18" s="171"/>
      <c r="AK18" s="52">
        <f t="shared" si="1"/>
        <v>66</v>
      </c>
      <c r="AL18" s="171"/>
      <c r="AM18" s="171"/>
      <c r="AN18" s="171"/>
      <c r="AO18" s="171"/>
      <c r="AP18" s="171"/>
      <c r="AQ18" s="171"/>
      <c r="AR18" s="171"/>
      <c r="AS18" s="171"/>
      <c r="AT18" s="171"/>
      <c r="AU18" s="171"/>
      <c r="AV18" s="171"/>
      <c r="AW18" s="171"/>
      <c r="AX18" s="171"/>
      <c r="AY18" s="171"/>
      <c r="AZ18" s="19" t="str">
        <f t="shared" si="2"/>
        <v/>
      </c>
    </row>
    <row r="19" spans="1:52" x14ac:dyDescent="0.25">
      <c r="A19" s="161">
        <f>IF('Avaliação Períodos'!A20=0,"",'Avaliação Períodos'!A20)</f>
        <v>12</v>
      </c>
      <c r="B19" s="455" t="str">
        <f>IF('Avaliação Períodos'!B20=0,"",'Avaliação Períodos'!B20)</f>
        <v>João Miguel</v>
      </c>
      <c r="C19" s="456"/>
      <c r="D19" s="456"/>
      <c r="E19" s="456"/>
      <c r="F19" s="456"/>
      <c r="G19" s="457"/>
      <c r="H19" s="215">
        <v>4</v>
      </c>
      <c r="I19" s="216">
        <v>0</v>
      </c>
      <c r="J19" s="216">
        <v>0</v>
      </c>
      <c r="K19" s="216">
        <v>16</v>
      </c>
      <c r="L19" s="216">
        <v>6</v>
      </c>
      <c r="M19" s="216">
        <v>4</v>
      </c>
      <c r="N19" s="216">
        <v>6</v>
      </c>
      <c r="O19" s="216">
        <v>4</v>
      </c>
      <c r="P19" s="174">
        <v>12</v>
      </c>
      <c r="Q19" s="174">
        <v>8</v>
      </c>
      <c r="R19" s="174"/>
      <c r="S19" s="174"/>
      <c r="T19" s="174"/>
      <c r="U19" s="206"/>
      <c r="V19" s="62">
        <f t="shared" si="0"/>
        <v>60</v>
      </c>
      <c r="W19" s="173"/>
      <c r="X19" s="173">
        <v>6</v>
      </c>
      <c r="Y19" s="174">
        <v>4</v>
      </c>
      <c r="Z19" s="174">
        <v>4</v>
      </c>
      <c r="AA19" s="174">
        <v>2</v>
      </c>
      <c r="AB19" s="174">
        <v>20</v>
      </c>
      <c r="AC19" s="174">
        <v>4</v>
      </c>
      <c r="AD19" s="174">
        <v>2</v>
      </c>
      <c r="AE19" s="174">
        <v>6</v>
      </c>
      <c r="AF19" s="174">
        <v>4</v>
      </c>
      <c r="AG19" s="174"/>
      <c r="AH19" s="174"/>
      <c r="AI19" s="174"/>
      <c r="AJ19" s="174"/>
      <c r="AK19" s="52">
        <f t="shared" si="1"/>
        <v>52</v>
      </c>
      <c r="AL19" s="174"/>
      <c r="AM19" s="174"/>
      <c r="AN19" s="174"/>
      <c r="AO19" s="174"/>
      <c r="AP19" s="174"/>
      <c r="AQ19" s="174"/>
      <c r="AR19" s="174"/>
      <c r="AS19" s="174"/>
      <c r="AT19" s="174"/>
      <c r="AU19" s="174"/>
      <c r="AV19" s="174"/>
      <c r="AW19" s="174"/>
      <c r="AX19" s="174"/>
      <c r="AY19" s="174"/>
      <c r="AZ19" s="19" t="str">
        <f t="shared" si="2"/>
        <v/>
      </c>
    </row>
    <row r="20" spans="1:52" x14ac:dyDescent="0.25">
      <c r="A20" s="160">
        <f>IF('Avaliação Períodos'!A21=0,"",'Avaliação Períodos'!A21)</f>
        <v>13</v>
      </c>
      <c r="B20" s="458" t="str">
        <f>IF('Avaliação Períodos'!B21=0,"",'Avaliação Períodos'!B21)</f>
        <v>Lara</v>
      </c>
      <c r="C20" s="459"/>
      <c r="D20" s="459"/>
      <c r="E20" s="459"/>
      <c r="F20" s="459"/>
      <c r="G20" s="460"/>
      <c r="H20" s="214">
        <v>0</v>
      </c>
      <c r="I20" s="217">
        <v>0</v>
      </c>
      <c r="J20" s="217">
        <v>0</v>
      </c>
      <c r="K20" s="217">
        <v>8</v>
      </c>
      <c r="L20" s="217">
        <v>12</v>
      </c>
      <c r="M20" s="217">
        <v>2</v>
      </c>
      <c r="N20" s="217">
        <v>0</v>
      </c>
      <c r="O20" s="217">
        <v>0</v>
      </c>
      <c r="P20" s="171">
        <v>12</v>
      </c>
      <c r="Q20" s="171">
        <v>8</v>
      </c>
      <c r="R20" s="171"/>
      <c r="S20" s="171"/>
      <c r="T20" s="171"/>
      <c r="U20" s="208"/>
      <c r="V20" s="62">
        <f t="shared" si="0"/>
        <v>42</v>
      </c>
      <c r="W20" s="177"/>
      <c r="X20" s="177">
        <v>12</v>
      </c>
      <c r="Y20" s="171">
        <v>8</v>
      </c>
      <c r="Z20" s="171">
        <v>8</v>
      </c>
      <c r="AA20" s="171">
        <v>6</v>
      </c>
      <c r="AB20" s="171">
        <v>20</v>
      </c>
      <c r="AC20" s="171">
        <v>6</v>
      </c>
      <c r="AD20" s="171">
        <v>3</v>
      </c>
      <c r="AE20" s="171">
        <v>2</v>
      </c>
      <c r="AF20" s="171">
        <v>1</v>
      </c>
      <c r="AG20" s="171"/>
      <c r="AH20" s="171"/>
      <c r="AI20" s="171"/>
      <c r="AJ20" s="171"/>
      <c r="AK20" s="52">
        <f t="shared" si="1"/>
        <v>66</v>
      </c>
      <c r="AL20" s="171"/>
      <c r="AM20" s="171"/>
      <c r="AN20" s="171"/>
      <c r="AO20" s="171"/>
      <c r="AP20" s="171"/>
      <c r="AQ20" s="171"/>
      <c r="AR20" s="171"/>
      <c r="AS20" s="171"/>
      <c r="AT20" s="171"/>
      <c r="AU20" s="171"/>
      <c r="AV20" s="171"/>
      <c r="AW20" s="171"/>
      <c r="AX20" s="171"/>
      <c r="AY20" s="171"/>
      <c r="AZ20" s="19" t="str">
        <f t="shared" si="2"/>
        <v/>
      </c>
    </row>
    <row r="21" spans="1:52" x14ac:dyDescent="0.25">
      <c r="A21" s="161">
        <f>IF('Avaliação Períodos'!A22=0,"",'Avaliação Períodos'!A22)</f>
        <v>14</v>
      </c>
      <c r="B21" s="455" t="str">
        <f>IF('Avaliação Períodos'!B22=0,"",'Avaliação Períodos'!B22)</f>
        <v>Luna</v>
      </c>
      <c r="C21" s="456"/>
      <c r="D21" s="456"/>
      <c r="E21" s="456"/>
      <c r="F21" s="456"/>
      <c r="G21" s="457"/>
      <c r="H21" s="215">
        <v>4</v>
      </c>
      <c r="I21" s="216">
        <v>8</v>
      </c>
      <c r="J21" s="216">
        <v>4</v>
      </c>
      <c r="K21" s="216">
        <v>16</v>
      </c>
      <c r="L21" s="216">
        <v>12</v>
      </c>
      <c r="M21" s="216">
        <v>7</v>
      </c>
      <c r="N21" s="216">
        <v>6</v>
      </c>
      <c r="O21" s="216">
        <v>4</v>
      </c>
      <c r="P21" s="174">
        <v>12</v>
      </c>
      <c r="Q21" s="174">
        <v>7</v>
      </c>
      <c r="R21" s="174"/>
      <c r="S21" s="174"/>
      <c r="T21" s="174"/>
      <c r="U21" s="206"/>
      <c r="V21" s="62">
        <f t="shared" si="0"/>
        <v>80</v>
      </c>
      <c r="W21" s="173"/>
      <c r="X21" s="173">
        <v>8</v>
      </c>
      <c r="Y21" s="174">
        <v>6</v>
      </c>
      <c r="Z21" s="174">
        <v>4</v>
      </c>
      <c r="AA21" s="174">
        <v>2</v>
      </c>
      <c r="AB21" s="174">
        <v>20</v>
      </c>
      <c r="AC21" s="174">
        <v>12</v>
      </c>
      <c r="AD21" s="174">
        <v>8</v>
      </c>
      <c r="AE21" s="174">
        <v>8</v>
      </c>
      <c r="AF21" s="174">
        <v>6</v>
      </c>
      <c r="AG21" s="174"/>
      <c r="AH21" s="174"/>
      <c r="AI21" s="174"/>
      <c r="AJ21" s="174"/>
      <c r="AK21" s="52">
        <f t="shared" si="1"/>
        <v>74</v>
      </c>
      <c r="AL21" s="174"/>
      <c r="AM21" s="174"/>
      <c r="AN21" s="174"/>
      <c r="AO21" s="174"/>
      <c r="AP21" s="174"/>
      <c r="AQ21" s="174"/>
      <c r="AR21" s="174"/>
      <c r="AS21" s="174"/>
      <c r="AT21" s="174"/>
      <c r="AU21" s="174"/>
      <c r="AV21" s="174"/>
      <c r="AW21" s="174"/>
      <c r="AX21" s="174"/>
      <c r="AY21" s="174"/>
      <c r="AZ21" s="19" t="str">
        <f t="shared" si="2"/>
        <v/>
      </c>
    </row>
    <row r="22" spans="1:52" x14ac:dyDescent="0.25">
      <c r="A22" s="160">
        <f>IF('Avaliação Períodos'!A23=0,"",'Avaliação Períodos'!A23)</f>
        <v>15</v>
      </c>
      <c r="B22" s="458" t="str">
        <f>IF('Avaliação Períodos'!B23=0,"",'Avaliação Períodos'!B23)</f>
        <v>Mariana</v>
      </c>
      <c r="C22" s="459"/>
      <c r="D22" s="459"/>
      <c r="E22" s="459"/>
      <c r="F22" s="459"/>
      <c r="G22" s="460"/>
      <c r="H22" s="214">
        <v>4</v>
      </c>
      <c r="I22" s="217">
        <v>6</v>
      </c>
      <c r="J22" s="217">
        <v>4</v>
      </c>
      <c r="K22" s="217">
        <v>8</v>
      </c>
      <c r="L22" s="217">
        <v>12</v>
      </c>
      <c r="M22" s="217">
        <v>7</v>
      </c>
      <c r="N22" s="217">
        <v>12</v>
      </c>
      <c r="O22" s="217">
        <v>5</v>
      </c>
      <c r="P22" s="171">
        <v>3</v>
      </c>
      <c r="Q22" s="171">
        <v>1</v>
      </c>
      <c r="R22" s="171"/>
      <c r="S22" s="171"/>
      <c r="T22" s="171"/>
      <c r="U22" s="208"/>
      <c r="V22" s="62">
        <f t="shared" si="0"/>
        <v>62</v>
      </c>
      <c r="W22" s="177"/>
      <c r="X22" s="177">
        <v>12</v>
      </c>
      <c r="Y22" s="171">
        <v>8</v>
      </c>
      <c r="Z22" s="171">
        <v>0</v>
      </c>
      <c r="AA22" s="171">
        <v>0</v>
      </c>
      <c r="AB22" s="171">
        <v>20</v>
      </c>
      <c r="AC22" s="171">
        <v>4</v>
      </c>
      <c r="AD22" s="171">
        <v>2</v>
      </c>
      <c r="AE22" s="171">
        <v>6</v>
      </c>
      <c r="AF22" s="171">
        <v>4</v>
      </c>
      <c r="AG22" s="171"/>
      <c r="AH22" s="171"/>
      <c r="AI22" s="171"/>
      <c r="AJ22" s="171"/>
      <c r="AK22" s="52">
        <f t="shared" si="1"/>
        <v>56</v>
      </c>
      <c r="AL22" s="171"/>
      <c r="AM22" s="171"/>
      <c r="AN22" s="171"/>
      <c r="AO22" s="171"/>
      <c r="AP22" s="171"/>
      <c r="AQ22" s="171"/>
      <c r="AR22" s="171"/>
      <c r="AS22" s="171"/>
      <c r="AT22" s="171"/>
      <c r="AU22" s="171"/>
      <c r="AV22" s="171"/>
      <c r="AW22" s="171"/>
      <c r="AX22" s="171"/>
      <c r="AY22" s="171"/>
      <c r="AZ22" s="19" t="str">
        <f t="shared" si="2"/>
        <v/>
      </c>
    </row>
    <row r="23" spans="1:52" x14ac:dyDescent="0.25">
      <c r="A23" s="161">
        <f>IF('Avaliação Períodos'!A24=0,"",'Avaliação Períodos'!A24)</f>
        <v>16</v>
      </c>
      <c r="B23" s="455" t="str">
        <f>IF('Avaliação Períodos'!B24=0,"",'Avaliação Períodos'!B24)</f>
        <v>Martim</v>
      </c>
      <c r="C23" s="456"/>
      <c r="D23" s="456"/>
      <c r="E23" s="456"/>
      <c r="F23" s="456"/>
      <c r="G23" s="457"/>
      <c r="H23" s="215">
        <v>4</v>
      </c>
      <c r="I23" s="216">
        <v>12</v>
      </c>
      <c r="J23" s="216">
        <v>7</v>
      </c>
      <c r="K23" s="216">
        <v>16</v>
      </c>
      <c r="L23" s="216">
        <v>12</v>
      </c>
      <c r="M23" s="216">
        <v>8</v>
      </c>
      <c r="N23" s="216">
        <v>12</v>
      </c>
      <c r="O23" s="216">
        <v>8</v>
      </c>
      <c r="P23" s="174">
        <v>12</v>
      </c>
      <c r="Q23" s="174">
        <v>7</v>
      </c>
      <c r="R23" s="174"/>
      <c r="S23" s="174"/>
      <c r="T23" s="174"/>
      <c r="U23" s="206"/>
      <c r="V23" s="62">
        <f t="shared" si="0"/>
        <v>98</v>
      </c>
      <c r="W23" s="173"/>
      <c r="X23" s="173">
        <v>12</v>
      </c>
      <c r="Y23" s="174">
        <v>7</v>
      </c>
      <c r="Z23" s="174">
        <v>12</v>
      </c>
      <c r="AA23" s="174">
        <v>8</v>
      </c>
      <c r="AB23" s="174">
        <v>20</v>
      </c>
      <c r="AC23" s="174">
        <v>12</v>
      </c>
      <c r="AD23" s="174">
        <v>8</v>
      </c>
      <c r="AE23" s="174">
        <v>6</v>
      </c>
      <c r="AF23" s="174">
        <v>3</v>
      </c>
      <c r="AG23" s="174"/>
      <c r="AH23" s="174"/>
      <c r="AI23" s="174"/>
      <c r="AJ23" s="174"/>
      <c r="AK23" s="52">
        <f t="shared" si="1"/>
        <v>88</v>
      </c>
      <c r="AL23" s="174"/>
      <c r="AM23" s="174"/>
      <c r="AN23" s="174"/>
      <c r="AO23" s="174"/>
      <c r="AP23" s="174"/>
      <c r="AQ23" s="174"/>
      <c r="AR23" s="174"/>
      <c r="AS23" s="174"/>
      <c r="AT23" s="174"/>
      <c r="AU23" s="174"/>
      <c r="AV23" s="174"/>
      <c r="AW23" s="174"/>
      <c r="AX23" s="174"/>
      <c r="AY23" s="174"/>
      <c r="AZ23" s="19" t="str">
        <f t="shared" si="2"/>
        <v/>
      </c>
    </row>
    <row r="24" spans="1:52" x14ac:dyDescent="0.25">
      <c r="A24" s="160">
        <f>IF('Avaliação Períodos'!A25=0,"",'Avaliação Períodos'!A25)</f>
        <v>17</v>
      </c>
      <c r="B24" s="458" t="str">
        <f>IF('Avaliação Períodos'!B25=0,"",'Avaliação Períodos'!B25)</f>
        <v>Matilde</v>
      </c>
      <c r="C24" s="459"/>
      <c r="D24" s="459"/>
      <c r="E24" s="459"/>
      <c r="F24" s="459"/>
      <c r="G24" s="460"/>
      <c r="H24" s="214">
        <v>0</v>
      </c>
      <c r="I24" s="217">
        <v>0</v>
      </c>
      <c r="J24" s="217">
        <v>0</v>
      </c>
      <c r="K24" s="217">
        <v>0</v>
      </c>
      <c r="L24" s="217">
        <v>12</v>
      </c>
      <c r="M24" s="217">
        <v>6</v>
      </c>
      <c r="N24" s="217">
        <v>0</v>
      </c>
      <c r="O24" s="217">
        <v>0</v>
      </c>
      <c r="P24" s="171">
        <v>10</v>
      </c>
      <c r="Q24" s="171"/>
      <c r="R24" s="171">
        <v>20</v>
      </c>
      <c r="S24" s="171"/>
      <c r="T24" s="171"/>
      <c r="U24" s="208"/>
      <c r="V24" s="62">
        <f t="shared" si="0"/>
        <v>48</v>
      </c>
      <c r="W24" s="177"/>
      <c r="X24" s="177"/>
      <c r="Y24" s="171"/>
      <c r="Z24" s="171"/>
      <c r="AA24" s="171"/>
      <c r="AB24" s="171"/>
      <c r="AC24" s="171">
        <v>0</v>
      </c>
      <c r="AD24" s="171">
        <v>0</v>
      </c>
      <c r="AE24" s="171"/>
      <c r="AF24" s="171"/>
      <c r="AG24" s="171">
        <v>13</v>
      </c>
      <c r="AH24" s="171">
        <v>23</v>
      </c>
      <c r="AI24" s="171">
        <v>26</v>
      </c>
      <c r="AJ24" s="171">
        <v>0</v>
      </c>
      <c r="AK24" s="52">
        <f t="shared" si="1"/>
        <v>62</v>
      </c>
      <c r="AL24" s="171"/>
      <c r="AM24" s="171"/>
      <c r="AN24" s="171"/>
      <c r="AO24" s="171"/>
      <c r="AP24" s="171"/>
      <c r="AQ24" s="171"/>
      <c r="AR24" s="171"/>
      <c r="AS24" s="171"/>
      <c r="AT24" s="171"/>
      <c r="AU24" s="171"/>
      <c r="AV24" s="171"/>
      <c r="AW24" s="171"/>
      <c r="AX24" s="171"/>
      <c r="AY24" s="171"/>
      <c r="AZ24" s="19" t="str">
        <f t="shared" si="2"/>
        <v/>
      </c>
    </row>
    <row r="25" spans="1:52" x14ac:dyDescent="0.25">
      <c r="A25" s="161">
        <f>IF('Avaliação Períodos'!A26=0,"",'Avaliação Períodos'!A26)</f>
        <v>18</v>
      </c>
      <c r="B25" s="455" t="str">
        <f>IF('Avaliação Períodos'!B26=0,"",'Avaliação Períodos'!B26)</f>
        <v>Rúben</v>
      </c>
      <c r="C25" s="456"/>
      <c r="D25" s="456"/>
      <c r="E25" s="456"/>
      <c r="F25" s="456"/>
      <c r="G25" s="457"/>
      <c r="H25" s="215">
        <v>0</v>
      </c>
      <c r="I25" s="216">
        <v>0</v>
      </c>
      <c r="J25" s="216">
        <v>0</v>
      </c>
      <c r="K25" s="216">
        <v>8</v>
      </c>
      <c r="L25" s="216">
        <v>0</v>
      </c>
      <c r="M25" s="216">
        <v>0</v>
      </c>
      <c r="N25" s="216">
        <v>0</v>
      </c>
      <c r="O25" s="216">
        <v>0</v>
      </c>
      <c r="P25" s="174">
        <v>3</v>
      </c>
      <c r="Q25" s="174">
        <v>2</v>
      </c>
      <c r="R25" s="174"/>
      <c r="S25" s="174"/>
      <c r="T25" s="174"/>
      <c r="U25" s="206"/>
      <c r="V25" s="62">
        <f t="shared" si="0"/>
        <v>13</v>
      </c>
      <c r="W25" s="173"/>
      <c r="X25" s="173">
        <v>12</v>
      </c>
      <c r="Y25" s="174">
        <v>7</v>
      </c>
      <c r="Z25" s="174">
        <v>8</v>
      </c>
      <c r="AA25" s="174">
        <v>6</v>
      </c>
      <c r="AB25" s="174">
        <v>10</v>
      </c>
      <c r="AC25" s="174">
        <v>0</v>
      </c>
      <c r="AD25" s="174">
        <v>0</v>
      </c>
      <c r="AE25" s="174">
        <v>6</v>
      </c>
      <c r="AF25" s="174">
        <v>4</v>
      </c>
      <c r="AG25" s="174"/>
      <c r="AH25" s="174"/>
      <c r="AI25" s="174"/>
      <c r="AJ25" s="174"/>
      <c r="AK25" s="52">
        <f t="shared" si="1"/>
        <v>53</v>
      </c>
      <c r="AL25" s="174"/>
      <c r="AM25" s="174"/>
      <c r="AN25" s="174"/>
      <c r="AO25" s="174"/>
      <c r="AP25" s="174"/>
      <c r="AQ25" s="174"/>
      <c r="AR25" s="174"/>
      <c r="AS25" s="174"/>
      <c r="AT25" s="174"/>
      <c r="AU25" s="174"/>
      <c r="AV25" s="174"/>
      <c r="AW25" s="174"/>
      <c r="AX25" s="174"/>
      <c r="AY25" s="174"/>
      <c r="AZ25" s="19" t="str">
        <f t="shared" si="2"/>
        <v/>
      </c>
    </row>
    <row r="26" spans="1:52" x14ac:dyDescent="0.25">
      <c r="A26" s="160">
        <f>IF('Avaliação Períodos'!A27=0,"",'Avaliação Períodos'!A27)</f>
        <v>19</v>
      </c>
      <c r="B26" s="458" t="str">
        <f>IF('Avaliação Períodos'!B27=0,"",'Avaliação Períodos'!B27)</f>
        <v>Samanta</v>
      </c>
      <c r="C26" s="459"/>
      <c r="D26" s="459"/>
      <c r="E26" s="459"/>
      <c r="F26" s="459"/>
      <c r="G26" s="460"/>
      <c r="H26" s="214">
        <v>4</v>
      </c>
      <c r="I26" s="217">
        <v>12</v>
      </c>
      <c r="J26" s="217">
        <v>2</v>
      </c>
      <c r="K26" s="217">
        <v>16</v>
      </c>
      <c r="L26" s="217">
        <v>12</v>
      </c>
      <c r="M26" s="217">
        <v>8</v>
      </c>
      <c r="N26" s="217">
        <v>12</v>
      </c>
      <c r="O26" s="217">
        <v>8</v>
      </c>
      <c r="P26" s="171">
        <v>12</v>
      </c>
      <c r="Q26" s="171">
        <v>7</v>
      </c>
      <c r="R26" s="171"/>
      <c r="S26" s="171"/>
      <c r="T26" s="171"/>
      <c r="U26" s="208"/>
      <c r="V26" s="62">
        <f t="shared" si="0"/>
        <v>93</v>
      </c>
      <c r="W26" s="177"/>
      <c r="X26" s="177">
        <v>12</v>
      </c>
      <c r="Y26" s="171">
        <v>8</v>
      </c>
      <c r="Z26" s="171">
        <v>12</v>
      </c>
      <c r="AA26" s="171">
        <v>8</v>
      </c>
      <c r="AB26" s="171">
        <v>20</v>
      </c>
      <c r="AC26" s="171">
        <v>12</v>
      </c>
      <c r="AD26" s="171">
        <v>8</v>
      </c>
      <c r="AE26" s="171">
        <v>6</v>
      </c>
      <c r="AF26" s="171">
        <v>4</v>
      </c>
      <c r="AG26" s="171"/>
      <c r="AH26" s="171"/>
      <c r="AI26" s="171"/>
      <c r="AJ26" s="171"/>
      <c r="AK26" s="52">
        <f t="shared" si="1"/>
        <v>90</v>
      </c>
      <c r="AL26" s="171"/>
      <c r="AM26" s="171"/>
      <c r="AN26" s="171"/>
      <c r="AO26" s="171"/>
      <c r="AP26" s="171"/>
      <c r="AQ26" s="171"/>
      <c r="AR26" s="171"/>
      <c r="AS26" s="171"/>
      <c r="AT26" s="171"/>
      <c r="AU26" s="171"/>
      <c r="AV26" s="171"/>
      <c r="AW26" s="171"/>
      <c r="AX26" s="171"/>
      <c r="AY26" s="171"/>
      <c r="AZ26" s="19" t="str">
        <f t="shared" si="2"/>
        <v/>
      </c>
    </row>
    <row r="27" spans="1:52" x14ac:dyDescent="0.25">
      <c r="A27" s="161">
        <f>IF('Avaliação Períodos'!A28=0,"",'Avaliação Períodos'!A28)</f>
        <v>20</v>
      </c>
      <c r="B27" s="455" t="str">
        <f>IF('Avaliação Períodos'!B28=0,"",'Avaliação Períodos'!B28)</f>
        <v>Samuel</v>
      </c>
      <c r="C27" s="456"/>
      <c r="D27" s="456"/>
      <c r="E27" s="456"/>
      <c r="F27" s="456"/>
      <c r="G27" s="457"/>
      <c r="H27" s="215">
        <v>4</v>
      </c>
      <c r="I27" s="216">
        <v>12</v>
      </c>
      <c r="J27" s="216">
        <v>7</v>
      </c>
      <c r="K27" s="216">
        <v>16</v>
      </c>
      <c r="L27" s="216">
        <v>12</v>
      </c>
      <c r="M27" s="216">
        <v>8</v>
      </c>
      <c r="N27" s="216">
        <v>6</v>
      </c>
      <c r="O27" s="216">
        <v>4</v>
      </c>
      <c r="P27" s="174">
        <v>12</v>
      </c>
      <c r="Q27" s="174">
        <v>7</v>
      </c>
      <c r="R27" s="174"/>
      <c r="S27" s="174"/>
      <c r="T27" s="174"/>
      <c r="U27" s="206"/>
      <c r="V27" s="62">
        <f t="shared" si="0"/>
        <v>88</v>
      </c>
      <c r="W27" s="173"/>
      <c r="X27" s="173">
        <v>6</v>
      </c>
      <c r="Y27" s="174">
        <v>4</v>
      </c>
      <c r="Z27" s="174">
        <v>12</v>
      </c>
      <c r="AA27" s="174">
        <v>8</v>
      </c>
      <c r="AB27" s="174">
        <v>20</v>
      </c>
      <c r="AC27" s="174">
        <v>12</v>
      </c>
      <c r="AD27" s="174">
        <v>7</v>
      </c>
      <c r="AE27" s="174">
        <v>6</v>
      </c>
      <c r="AF27" s="174">
        <v>4</v>
      </c>
      <c r="AG27" s="174"/>
      <c r="AH27" s="174"/>
      <c r="AI27" s="174"/>
      <c r="AJ27" s="174"/>
      <c r="AK27" s="52">
        <f t="shared" si="1"/>
        <v>79</v>
      </c>
      <c r="AL27" s="174"/>
      <c r="AM27" s="174"/>
      <c r="AN27" s="174"/>
      <c r="AO27" s="174"/>
      <c r="AP27" s="174"/>
      <c r="AQ27" s="174"/>
      <c r="AR27" s="174"/>
      <c r="AS27" s="174"/>
      <c r="AT27" s="174"/>
      <c r="AU27" s="174"/>
      <c r="AV27" s="174"/>
      <c r="AW27" s="174"/>
      <c r="AX27" s="174"/>
      <c r="AY27" s="174"/>
      <c r="AZ27" s="19" t="str">
        <f t="shared" si="2"/>
        <v/>
      </c>
    </row>
    <row r="28" spans="1:52" x14ac:dyDescent="0.25">
      <c r="A28" s="160">
        <f>IF('Avaliação Períodos'!A29=0,"",'Avaliação Períodos'!A29)</f>
        <v>21</v>
      </c>
      <c r="B28" s="458" t="str">
        <f>IF('Avaliação Períodos'!B29=0,"",'Avaliação Períodos'!B29)</f>
        <v xml:space="preserve"> Sara Ferreira Gonç</v>
      </c>
      <c r="C28" s="459"/>
      <c r="D28" s="459"/>
      <c r="E28" s="459"/>
      <c r="F28" s="459"/>
      <c r="G28" s="460"/>
      <c r="H28" s="214">
        <v>4</v>
      </c>
      <c r="I28" s="217">
        <v>12</v>
      </c>
      <c r="J28" s="217">
        <v>4</v>
      </c>
      <c r="K28" s="217">
        <v>16</v>
      </c>
      <c r="L28" s="217">
        <v>6</v>
      </c>
      <c r="M28" s="217">
        <v>4</v>
      </c>
      <c r="N28" s="217">
        <v>0</v>
      </c>
      <c r="O28" s="217">
        <v>0</v>
      </c>
      <c r="P28" s="171">
        <v>12</v>
      </c>
      <c r="Q28" s="171">
        <v>8</v>
      </c>
      <c r="R28" s="171"/>
      <c r="S28" s="171"/>
      <c r="T28" s="171"/>
      <c r="U28" s="208"/>
      <c r="V28" s="62">
        <f t="shared" si="0"/>
        <v>66</v>
      </c>
      <c r="W28" s="177"/>
      <c r="X28" s="177">
        <v>12</v>
      </c>
      <c r="Y28" s="171">
        <v>8</v>
      </c>
      <c r="Z28" s="171">
        <v>12</v>
      </c>
      <c r="AA28" s="171">
        <v>8</v>
      </c>
      <c r="AB28" s="171">
        <v>20</v>
      </c>
      <c r="AC28" s="171">
        <v>12</v>
      </c>
      <c r="AD28" s="171">
        <v>8</v>
      </c>
      <c r="AE28" s="171">
        <v>6</v>
      </c>
      <c r="AF28" s="171">
        <v>4</v>
      </c>
      <c r="AG28" s="171"/>
      <c r="AH28" s="171"/>
      <c r="AI28" s="171"/>
      <c r="AJ28" s="171"/>
      <c r="AK28" s="52">
        <f t="shared" si="1"/>
        <v>90</v>
      </c>
      <c r="AL28" s="171"/>
      <c r="AM28" s="171"/>
      <c r="AN28" s="171"/>
      <c r="AO28" s="171"/>
      <c r="AP28" s="171"/>
      <c r="AQ28" s="171"/>
      <c r="AR28" s="171"/>
      <c r="AS28" s="171"/>
      <c r="AT28" s="171"/>
      <c r="AU28" s="171"/>
      <c r="AV28" s="171"/>
      <c r="AW28" s="171"/>
      <c r="AX28" s="171"/>
      <c r="AY28" s="171"/>
      <c r="AZ28" s="19" t="str">
        <f t="shared" si="2"/>
        <v/>
      </c>
    </row>
    <row r="29" spans="1:52" x14ac:dyDescent="0.25">
      <c r="A29" s="161">
        <f>IF('Avaliação Períodos'!A30=0,"",'Avaliação Períodos'!A30)</f>
        <v>22</v>
      </c>
      <c r="B29" s="455" t="str">
        <f>IF('Avaliação Períodos'!B30=0,"",'Avaliação Períodos'!B30)</f>
        <v xml:space="preserve">Sara Gomes </v>
      </c>
      <c r="C29" s="456"/>
      <c r="D29" s="456"/>
      <c r="E29" s="456"/>
      <c r="F29" s="456"/>
      <c r="G29" s="457"/>
      <c r="H29" s="215">
        <v>4</v>
      </c>
      <c r="I29" s="216">
        <v>6</v>
      </c>
      <c r="J29" s="216">
        <v>4</v>
      </c>
      <c r="K29" s="216">
        <v>10</v>
      </c>
      <c r="L29" s="216">
        <v>12</v>
      </c>
      <c r="M29" s="216">
        <v>6</v>
      </c>
      <c r="N29" s="216">
        <v>6</v>
      </c>
      <c r="O29" s="216">
        <v>1</v>
      </c>
      <c r="P29" s="179">
        <v>6</v>
      </c>
      <c r="Q29" s="179">
        <v>3</v>
      </c>
      <c r="R29" s="179"/>
      <c r="S29" s="179"/>
      <c r="T29" s="179"/>
      <c r="U29" s="209"/>
      <c r="V29" s="62">
        <f t="shared" si="0"/>
        <v>58</v>
      </c>
      <c r="W29" s="178"/>
      <c r="X29" s="178">
        <v>8</v>
      </c>
      <c r="Y29" s="179">
        <v>6</v>
      </c>
      <c r="Z29" s="179">
        <v>8</v>
      </c>
      <c r="AA29" s="179">
        <v>4</v>
      </c>
      <c r="AB29" s="179">
        <v>20</v>
      </c>
      <c r="AC29" s="179">
        <v>6</v>
      </c>
      <c r="AD29" s="179">
        <v>3</v>
      </c>
      <c r="AE29" s="179">
        <v>8</v>
      </c>
      <c r="AF29" s="179">
        <v>4</v>
      </c>
      <c r="AG29" s="179"/>
      <c r="AH29" s="179"/>
      <c r="AI29" s="179"/>
      <c r="AJ29" s="179"/>
      <c r="AK29" s="52">
        <f t="shared" si="1"/>
        <v>67</v>
      </c>
      <c r="AL29" s="179"/>
      <c r="AM29" s="179"/>
      <c r="AN29" s="179"/>
      <c r="AO29" s="179"/>
      <c r="AP29" s="179"/>
      <c r="AQ29" s="179"/>
      <c r="AR29" s="179"/>
      <c r="AS29" s="179"/>
      <c r="AT29" s="179"/>
      <c r="AU29" s="179"/>
      <c r="AV29" s="179"/>
      <c r="AW29" s="179"/>
      <c r="AX29" s="179"/>
      <c r="AY29" s="179"/>
      <c r="AZ29" s="19" t="str">
        <f t="shared" si="2"/>
        <v/>
      </c>
    </row>
    <row r="30" spans="1:52" x14ac:dyDescent="0.25">
      <c r="A30" s="160">
        <f>IF('Avaliação Períodos'!A31=0,"",'Avaliação Períodos'!A31)</f>
        <v>23</v>
      </c>
      <c r="B30" s="458" t="str">
        <f>IF('Avaliação Períodos'!B31=0,"",'Avaliação Períodos'!B31)</f>
        <v>Simão Mendes</v>
      </c>
      <c r="C30" s="459"/>
      <c r="D30" s="459"/>
      <c r="E30" s="459"/>
      <c r="F30" s="459"/>
      <c r="G30" s="460"/>
      <c r="H30" s="214">
        <v>4</v>
      </c>
      <c r="I30" s="217">
        <v>3</v>
      </c>
      <c r="J30" s="217">
        <v>2</v>
      </c>
      <c r="K30" s="217">
        <v>16</v>
      </c>
      <c r="L30" s="217">
        <v>12</v>
      </c>
      <c r="M30" s="217">
        <v>8</v>
      </c>
      <c r="N30" s="217">
        <v>6</v>
      </c>
      <c r="O30" s="217">
        <v>0</v>
      </c>
      <c r="P30" s="171">
        <v>12</v>
      </c>
      <c r="Q30" s="171">
        <v>8</v>
      </c>
      <c r="R30" s="171"/>
      <c r="S30" s="171"/>
      <c r="T30" s="171"/>
      <c r="U30" s="208"/>
      <c r="V30" s="62">
        <f t="shared" si="0"/>
        <v>71</v>
      </c>
      <c r="W30" s="177"/>
      <c r="X30" s="177">
        <v>12</v>
      </c>
      <c r="Y30" s="171">
        <v>8</v>
      </c>
      <c r="Z30" s="171">
        <v>6</v>
      </c>
      <c r="AA30" s="171">
        <v>4</v>
      </c>
      <c r="AB30" s="171">
        <v>20</v>
      </c>
      <c r="AC30" s="171">
        <v>12</v>
      </c>
      <c r="AD30" s="171">
        <v>8</v>
      </c>
      <c r="AE30" s="171">
        <v>0</v>
      </c>
      <c r="AF30" s="171">
        <v>0</v>
      </c>
      <c r="AG30" s="171"/>
      <c r="AH30" s="171"/>
      <c r="AI30" s="171"/>
      <c r="AJ30" s="171"/>
      <c r="AK30" s="52">
        <f t="shared" si="1"/>
        <v>70</v>
      </c>
      <c r="AL30" s="171"/>
      <c r="AM30" s="171"/>
      <c r="AN30" s="171"/>
      <c r="AO30" s="171"/>
      <c r="AP30" s="171"/>
      <c r="AQ30" s="171"/>
      <c r="AR30" s="171"/>
      <c r="AS30" s="171"/>
      <c r="AT30" s="171"/>
      <c r="AU30" s="171"/>
      <c r="AV30" s="171"/>
      <c r="AW30" s="171"/>
      <c r="AX30" s="171"/>
      <c r="AY30" s="171"/>
      <c r="AZ30" s="19" t="str">
        <f t="shared" si="2"/>
        <v/>
      </c>
    </row>
    <row r="31" spans="1:52" x14ac:dyDescent="0.25">
      <c r="A31" s="161">
        <f>IF('Avaliação Períodos'!A32=0,"",'Avaliação Períodos'!A32)</f>
        <v>24</v>
      </c>
      <c r="B31" s="455" t="str">
        <f>IF('Avaliação Períodos'!B32=0,"",'Avaliação Períodos'!B32)</f>
        <v>Simão Pedosa</v>
      </c>
      <c r="C31" s="456"/>
      <c r="D31" s="456"/>
      <c r="E31" s="456"/>
      <c r="F31" s="456"/>
      <c r="G31" s="457"/>
      <c r="H31" s="215">
        <v>4</v>
      </c>
      <c r="I31" s="216">
        <v>12</v>
      </c>
      <c r="J31" s="216">
        <v>7</v>
      </c>
      <c r="K31" s="216">
        <v>8</v>
      </c>
      <c r="L31" s="216">
        <v>3</v>
      </c>
      <c r="M31" s="216">
        <v>2</v>
      </c>
      <c r="N31" s="216">
        <v>12</v>
      </c>
      <c r="O31" s="216">
        <v>8</v>
      </c>
      <c r="P31" s="174">
        <v>6</v>
      </c>
      <c r="Q31" s="174">
        <v>4</v>
      </c>
      <c r="R31" s="174"/>
      <c r="S31" s="174"/>
      <c r="T31" s="174"/>
      <c r="U31" s="206"/>
      <c r="V31" s="62">
        <f t="shared" si="0"/>
        <v>66</v>
      </c>
      <c r="W31" s="173"/>
      <c r="X31" s="173">
        <v>6</v>
      </c>
      <c r="Y31" s="174">
        <v>1</v>
      </c>
      <c r="Z31" s="174">
        <v>4</v>
      </c>
      <c r="AA31" s="174">
        <v>2</v>
      </c>
      <c r="AB31" s="174">
        <v>20</v>
      </c>
      <c r="AC31" s="174">
        <v>6</v>
      </c>
      <c r="AD31" s="174">
        <v>4</v>
      </c>
      <c r="AE31" s="174">
        <v>0</v>
      </c>
      <c r="AF31" s="174">
        <v>0</v>
      </c>
      <c r="AG31" s="174"/>
      <c r="AH31" s="174"/>
      <c r="AI31" s="174"/>
      <c r="AJ31" s="174"/>
      <c r="AK31" s="52">
        <f t="shared" si="1"/>
        <v>43</v>
      </c>
      <c r="AL31" s="174"/>
      <c r="AM31" s="174"/>
      <c r="AN31" s="174"/>
      <c r="AO31" s="174"/>
      <c r="AP31" s="174"/>
      <c r="AQ31" s="174"/>
      <c r="AR31" s="174"/>
      <c r="AS31" s="174"/>
      <c r="AT31" s="174"/>
      <c r="AU31" s="174"/>
      <c r="AV31" s="174"/>
      <c r="AW31" s="174"/>
      <c r="AX31" s="174"/>
      <c r="AY31" s="174"/>
      <c r="AZ31" s="19" t="str">
        <f t="shared" si="2"/>
        <v/>
      </c>
    </row>
    <row r="32" spans="1:52" x14ac:dyDescent="0.25">
      <c r="A32" s="160">
        <f>IF('Avaliação Períodos'!A33=0,"",'Avaliação Períodos'!A33)</f>
        <v>25</v>
      </c>
      <c r="B32" s="458" t="str">
        <f>IF('Avaliação Períodos'!B33=0,"",'Avaliação Períodos'!B33)</f>
        <v>Sofia</v>
      </c>
      <c r="C32" s="459"/>
      <c r="D32" s="459"/>
      <c r="E32" s="459"/>
      <c r="F32" s="459"/>
      <c r="G32" s="460"/>
      <c r="H32" s="214">
        <v>4</v>
      </c>
      <c r="I32" s="217">
        <v>12</v>
      </c>
      <c r="J32" s="217">
        <v>8</v>
      </c>
      <c r="K32" s="217">
        <v>16</v>
      </c>
      <c r="L32" s="217">
        <v>12</v>
      </c>
      <c r="M32" s="217">
        <v>7</v>
      </c>
      <c r="N32" s="217">
        <v>12</v>
      </c>
      <c r="O32" s="217">
        <v>8</v>
      </c>
      <c r="P32" s="171">
        <v>12</v>
      </c>
      <c r="Q32" s="171">
        <v>8</v>
      </c>
      <c r="R32" s="171"/>
      <c r="S32" s="171"/>
      <c r="T32" s="171"/>
      <c r="U32" s="208"/>
      <c r="V32" s="62">
        <f t="shared" si="0"/>
        <v>99</v>
      </c>
      <c r="W32" s="177"/>
      <c r="X32" s="177">
        <v>12</v>
      </c>
      <c r="Y32" s="171">
        <v>8</v>
      </c>
      <c r="Z32" s="171">
        <v>12</v>
      </c>
      <c r="AA32" s="171">
        <v>8</v>
      </c>
      <c r="AB32" s="171">
        <v>20</v>
      </c>
      <c r="AC32" s="171">
        <v>12</v>
      </c>
      <c r="AD32" s="171">
        <v>8</v>
      </c>
      <c r="AE32" s="171">
        <v>10</v>
      </c>
      <c r="AF32" s="171">
        <v>7</v>
      </c>
      <c r="AG32" s="171"/>
      <c r="AH32" s="171"/>
      <c r="AI32" s="171"/>
      <c r="AJ32" s="171"/>
      <c r="AK32" s="52">
        <f t="shared" si="1"/>
        <v>97</v>
      </c>
      <c r="AL32" s="171"/>
      <c r="AM32" s="171"/>
      <c r="AN32" s="171"/>
      <c r="AO32" s="171"/>
      <c r="AP32" s="171"/>
      <c r="AQ32" s="171"/>
      <c r="AR32" s="171"/>
      <c r="AS32" s="171"/>
      <c r="AT32" s="171"/>
      <c r="AU32" s="171"/>
      <c r="AV32" s="171"/>
      <c r="AW32" s="171"/>
      <c r="AX32" s="171"/>
      <c r="AY32" s="171"/>
      <c r="AZ32" s="19" t="str">
        <f t="shared" si="2"/>
        <v/>
      </c>
    </row>
    <row r="33" spans="1:52" x14ac:dyDescent="0.25">
      <c r="A33" s="161">
        <f>IF('Avaliação Períodos'!A34=0,"",'Avaliação Períodos'!A34)</f>
        <v>26</v>
      </c>
      <c r="B33" s="455" t="str">
        <f>IF('Avaliação Períodos'!B34=0,"",'Avaliação Períodos'!B34)</f>
        <v>Tomás</v>
      </c>
      <c r="C33" s="456"/>
      <c r="D33" s="456"/>
      <c r="E33" s="456"/>
      <c r="F33" s="456"/>
      <c r="G33" s="457"/>
      <c r="H33" s="215">
        <v>4</v>
      </c>
      <c r="I33" s="216">
        <v>12</v>
      </c>
      <c r="J33" s="216">
        <v>6</v>
      </c>
      <c r="K33" s="216">
        <v>12</v>
      </c>
      <c r="L33" s="216">
        <v>12</v>
      </c>
      <c r="M33" s="216">
        <v>8</v>
      </c>
      <c r="N33" s="216">
        <v>12</v>
      </c>
      <c r="O33" s="216">
        <v>7</v>
      </c>
      <c r="P33" s="174">
        <v>6</v>
      </c>
      <c r="Q33" s="174">
        <v>4</v>
      </c>
      <c r="R33" s="174"/>
      <c r="S33" s="174"/>
      <c r="T33" s="174"/>
      <c r="U33" s="206"/>
      <c r="V33" s="62">
        <f t="shared" si="0"/>
        <v>83</v>
      </c>
      <c r="W33" s="173"/>
      <c r="X33" s="173">
        <v>12</v>
      </c>
      <c r="Y33" s="174">
        <v>8</v>
      </c>
      <c r="Z33" s="174">
        <v>12</v>
      </c>
      <c r="AA33" s="174">
        <v>8</v>
      </c>
      <c r="AB33" s="174">
        <v>20</v>
      </c>
      <c r="AC33" s="174">
        <v>12</v>
      </c>
      <c r="AD33" s="174">
        <v>8</v>
      </c>
      <c r="AE33" s="174">
        <v>6</v>
      </c>
      <c r="AF33" s="174">
        <v>4</v>
      </c>
      <c r="AG33" s="174"/>
      <c r="AH33" s="174"/>
      <c r="AI33" s="174"/>
      <c r="AJ33" s="174"/>
      <c r="AK33" s="52">
        <f t="shared" si="1"/>
        <v>90</v>
      </c>
      <c r="AL33" s="174"/>
      <c r="AM33" s="174"/>
      <c r="AN33" s="174"/>
      <c r="AO33" s="174"/>
      <c r="AP33" s="174"/>
      <c r="AQ33" s="174"/>
      <c r="AR33" s="174"/>
      <c r="AS33" s="174"/>
      <c r="AT33" s="174"/>
      <c r="AU33" s="174"/>
      <c r="AV33" s="174"/>
      <c r="AW33" s="174"/>
      <c r="AX33" s="174"/>
      <c r="AY33" s="174"/>
      <c r="AZ33" s="19" t="str">
        <f t="shared" si="2"/>
        <v/>
      </c>
    </row>
    <row r="34" spans="1:52" x14ac:dyDescent="0.25">
      <c r="A34" s="160">
        <f>IF('Avaliação Períodos'!A35=0,"",'Avaliação Períodos'!A35)</f>
        <v>27</v>
      </c>
      <c r="B34" s="458" t="str">
        <f>IF('Avaliação Períodos'!B35=0,"",'Avaliação Períodos'!B35)</f>
        <v/>
      </c>
      <c r="C34" s="459"/>
      <c r="D34" s="459"/>
      <c r="E34" s="459"/>
      <c r="F34" s="459"/>
      <c r="G34" s="460"/>
      <c r="H34" s="214"/>
      <c r="I34" s="217"/>
      <c r="J34" s="217"/>
      <c r="K34" s="217"/>
      <c r="L34" s="217"/>
      <c r="M34" s="217"/>
      <c r="N34" s="217"/>
      <c r="O34" s="217"/>
      <c r="P34" s="171"/>
      <c r="Q34" s="171"/>
      <c r="R34" s="171"/>
      <c r="S34" s="171"/>
      <c r="T34" s="171"/>
      <c r="U34" s="208"/>
      <c r="V34" s="62" t="str">
        <f t="shared" si="0"/>
        <v/>
      </c>
      <c r="W34" s="177"/>
      <c r="X34" s="171"/>
      <c r="Y34" s="171"/>
      <c r="Z34" s="171"/>
      <c r="AA34" s="171"/>
      <c r="AB34" s="171"/>
      <c r="AC34" s="171"/>
      <c r="AD34" s="171"/>
      <c r="AE34" s="171"/>
      <c r="AF34" s="171"/>
      <c r="AG34" s="171"/>
      <c r="AH34" s="171"/>
      <c r="AI34" s="171"/>
      <c r="AJ34" s="208"/>
      <c r="AK34" s="52" t="str">
        <f t="shared" si="1"/>
        <v/>
      </c>
      <c r="AL34" s="171"/>
      <c r="AM34" s="171"/>
      <c r="AN34" s="171"/>
      <c r="AO34" s="171"/>
      <c r="AP34" s="171"/>
      <c r="AQ34" s="171"/>
      <c r="AR34" s="171"/>
      <c r="AS34" s="171"/>
      <c r="AT34" s="171"/>
      <c r="AU34" s="171"/>
      <c r="AV34" s="171"/>
      <c r="AW34" s="171"/>
      <c r="AX34" s="171"/>
      <c r="AY34" s="171"/>
      <c r="AZ34" s="19" t="str">
        <f t="shared" si="2"/>
        <v/>
      </c>
    </row>
    <row r="35" spans="1:52" x14ac:dyDescent="0.25">
      <c r="A35" s="161">
        <f>IF('Avaliação Períodos'!A36=0,"",'Avaliação Períodos'!A36)</f>
        <v>28</v>
      </c>
      <c r="B35" s="455" t="str">
        <f>IF('Avaliação Períodos'!B36=0,"",'Avaliação Períodos'!B36)</f>
        <v xml:space="preserve"> </v>
      </c>
      <c r="C35" s="456"/>
      <c r="D35" s="456"/>
      <c r="E35" s="456"/>
      <c r="F35" s="456"/>
      <c r="G35" s="457"/>
      <c r="H35" s="215"/>
      <c r="I35" s="216"/>
      <c r="J35" s="216"/>
      <c r="K35" s="216"/>
      <c r="L35" s="216"/>
      <c r="M35" s="216"/>
      <c r="N35" s="216"/>
      <c r="O35" s="216"/>
      <c r="P35" s="174"/>
      <c r="Q35" s="174"/>
      <c r="R35" s="174"/>
      <c r="S35" s="174"/>
      <c r="T35" s="174"/>
      <c r="U35" s="206"/>
      <c r="V35" s="62" t="str">
        <f t="shared" si="0"/>
        <v/>
      </c>
      <c r="W35" s="173"/>
      <c r="X35" s="174"/>
      <c r="Y35" s="174"/>
      <c r="Z35" s="174"/>
      <c r="AA35" s="174"/>
      <c r="AB35" s="174"/>
      <c r="AC35" s="174"/>
      <c r="AD35" s="174"/>
      <c r="AE35" s="174"/>
      <c r="AF35" s="174"/>
      <c r="AG35" s="174"/>
      <c r="AH35" s="174"/>
      <c r="AI35" s="174"/>
      <c r="AJ35" s="206"/>
      <c r="AK35" s="52" t="str">
        <f t="shared" si="1"/>
        <v/>
      </c>
      <c r="AL35" s="174"/>
      <c r="AM35" s="174"/>
      <c r="AN35" s="174"/>
      <c r="AO35" s="174"/>
      <c r="AP35" s="174"/>
      <c r="AQ35" s="174"/>
      <c r="AR35" s="174"/>
      <c r="AS35" s="174"/>
      <c r="AT35" s="174"/>
      <c r="AU35" s="174"/>
      <c r="AV35" s="174"/>
      <c r="AW35" s="174"/>
      <c r="AX35" s="174"/>
      <c r="AY35" s="174"/>
      <c r="AZ35" s="19" t="str">
        <f t="shared" si="2"/>
        <v/>
      </c>
    </row>
    <row r="36" spans="1:52" x14ac:dyDescent="0.25">
      <c r="A36" s="162">
        <f>IF('Avaliação Períodos'!A37=0,"",'Avaliação Períodos'!A37)</f>
        <v>29</v>
      </c>
      <c r="B36" s="458" t="str">
        <f>IF('Avaliação Períodos'!B37=0,"",'Avaliação Períodos'!B37)</f>
        <v/>
      </c>
      <c r="C36" s="459"/>
      <c r="D36" s="459"/>
      <c r="E36" s="459"/>
      <c r="F36" s="459"/>
      <c r="G36" s="460"/>
      <c r="H36" s="214"/>
      <c r="I36" s="217"/>
      <c r="J36" s="217"/>
      <c r="K36" s="217"/>
      <c r="L36" s="217"/>
      <c r="M36" s="217"/>
      <c r="N36" s="217"/>
      <c r="O36" s="217"/>
      <c r="P36" s="171"/>
      <c r="Q36" s="171"/>
      <c r="R36" s="171"/>
      <c r="S36" s="171"/>
      <c r="T36" s="171"/>
      <c r="U36" s="210"/>
      <c r="V36" s="62" t="str">
        <f t="shared" si="0"/>
        <v/>
      </c>
      <c r="W36" s="177"/>
      <c r="X36" s="171"/>
      <c r="Y36" s="171"/>
      <c r="Z36" s="171"/>
      <c r="AA36" s="171"/>
      <c r="AB36" s="171"/>
      <c r="AC36" s="171"/>
      <c r="AD36" s="171"/>
      <c r="AE36" s="171"/>
      <c r="AF36" s="171"/>
      <c r="AG36" s="171"/>
      <c r="AH36" s="171"/>
      <c r="AI36" s="171"/>
      <c r="AJ36" s="208"/>
      <c r="AK36" s="52" t="str">
        <f t="shared" si="1"/>
        <v/>
      </c>
      <c r="AL36" s="182"/>
      <c r="AM36" s="182"/>
      <c r="AN36" s="182"/>
      <c r="AO36" s="182"/>
      <c r="AP36" s="182"/>
      <c r="AQ36" s="182"/>
      <c r="AR36" s="182"/>
      <c r="AS36" s="182"/>
      <c r="AT36" s="182"/>
      <c r="AU36" s="182"/>
      <c r="AV36" s="182"/>
      <c r="AW36" s="182"/>
      <c r="AX36" s="182"/>
      <c r="AY36" s="182"/>
      <c r="AZ36" s="19" t="str">
        <f t="shared" si="2"/>
        <v/>
      </c>
    </row>
    <row r="37" spans="1:52" x14ac:dyDescent="0.25">
      <c r="A37" s="163">
        <f>IF('Avaliação Períodos'!A38=0,"",'Avaliação Períodos'!A38)</f>
        <v>30</v>
      </c>
      <c r="B37" s="455" t="str">
        <f>IF('Avaliação Períodos'!B38=0,"",'Avaliação Períodos'!B38)</f>
        <v xml:space="preserve"> </v>
      </c>
      <c r="C37" s="456"/>
      <c r="D37" s="456"/>
      <c r="E37" s="456"/>
      <c r="F37" s="456"/>
      <c r="G37" s="457"/>
      <c r="H37" s="218"/>
      <c r="I37" s="219"/>
      <c r="J37" s="219"/>
      <c r="K37" s="219"/>
      <c r="L37" s="219"/>
      <c r="M37" s="219"/>
      <c r="N37" s="219"/>
      <c r="O37" s="219"/>
      <c r="P37" s="211"/>
      <c r="Q37" s="211"/>
      <c r="R37" s="211"/>
      <c r="S37" s="211"/>
      <c r="T37" s="211"/>
      <c r="U37" s="212"/>
      <c r="V37" s="62" t="str">
        <f t="shared" si="0"/>
        <v/>
      </c>
      <c r="W37" s="213"/>
      <c r="X37" s="211"/>
      <c r="Y37" s="211"/>
      <c r="Z37" s="211"/>
      <c r="AA37" s="211"/>
      <c r="AB37" s="211"/>
      <c r="AC37" s="211"/>
      <c r="AD37" s="211"/>
      <c r="AE37" s="211"/>
      <c r="AF37" s="211"/>
      <c r="AG37" s="211"/>
      <c r="AH37" s="211"/>
      <c r="AI37" s="211"/>
      <c r="AJ37" s="212"/>
      <c r="AK37" s="52" t="str">
        <f t="shared" si="1"/>
        <v/>
      </c>
      <c r="AL37" s="193"/>
      <c r="AM37" s="193"/>
      <c r="AN37" s="193"/>
      <c r="AO37" s="193"/>
      <c r="AP37" s="193"/>
      <c r="AQ37" s="193"/>
      <c r="AR37" s="193"/>
      <c r="AS37" s="193"/>
      <c r="AT37" s="193"/>
      <c r="AU37" s="193"/>
      <c r="AV37" s="193"/>
      <c r="AW37" s="193"/>
      <c r="AX37" s="193"/>
      <c r="AY37" s="193"/>
      <c r="AZ37" s="42" t="str">
        <f t="shared" si="2"/>
        <v/>
      </c>
    </row>
    <row r="38" spans="1:52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Q38" s="505" t="s">
        <v>65</v>
      </c>
      <c r="R38" s="506"/>
      <c r="S38" s="506"/>
      <c r="T38" s="506"/>
      <c r="U38" s="507"/>
      <c r="V38" s="195">
        <f>IF(COUNT(V8:V37)=0,"",AVERAGE(V8:V37))</f>
        <v>63.653846153846153</v>
      </c>
      <c r="W38" s="63"/>
      <c r="X38" s="63"/>
      <c r="Y38" s="74"/>
      <c r="Z38" s="63"/>
      <c r="AA38" s="63"/>
      <c r="AB38" s="63"/>
      <c r="AC38" s="63"/>
      <c r="AD38" s="63"/>
      <c r="AF38" s="505" t="s">
        <v>65</v>
      </c>
      <c r="AG38" s="506"/>
      <c r="AH38" s="506"/>
      <c r="AI38" s="506"/>
      <c r="AJ38" s="507"/>
      <c r="AK38" s="195">
        <f>IF(COUNT(AK8:AK37)=0,"",AVERAGE(AK8:AK37))</f>
        <v>71.07692307692308</v>
      </c>
      <c r="AL38" s="63"/>
      <c r="AM38" s="63"/>
      <c r="AN38" s="63"/>
      <c r="AO38" s="63"/>
      <c r="AP38" s="63"/>
      <c r="AQ38" s="63"/>
      <c r="AR38" s="63"/>
      <c r="AS38" s="63"/>
      <c r="AT38" s="109"/>
      <c r="AU38" s="53" t="s">
        <v>65</v>
      </c>
      <c r="AV38" s="54"/>
      <c r="AW38" s="54"/>
      <c r="AX38" s="54"/>
      <c r="AY38" s="55"/>
      <c r="AZ38" s="195" t="str">
        <f>IF(COUNTBLANK(AZ8:AZ37)=30,"",AVERAGE(AZ8:AZ37))</f>
        <v/>
      </c>
    </row>
    <row r="39" spans="1:52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Q39" s="446" t="s">
        <v>66</v>
      </c>
      <c r="R39" s="447"/>
      <c r="S39" s="447"/>
      <c r="T39" s="447"/>
      <c r="U39" s="448"/>
      <c r="V39" s="196">
        <f>COUNTIF(V8:V37,"&lt;50")</f>
        <v>6</v>
      </c>
      <c r="W39" s="64"/>
      <c r="X39" s="64"/>
      <c r="Y39" s="64"/>
      <c r="Z39" s="64"/>
      <c r="AA39" s="64"/>
      <c r="AB39" s="64"/>
      <c r="AC39" s="64"/>
      <c r="AD39" s="64"/>
      <c r="AF39" s="446" t="s">
        <v>66</v>
      </c>
      <c r="AG39" s="447"/>
      <c r="AH39" s="447"/>
      <c r="AI39" s="447"/>
      <c r="AJ39" s="448"/>
      <c r="AK39" s="196">
        <f>COUNTIF(AK8:AK37,"&lt;50")</f>
        <v>2</v>
      </c>
      <c r="AL39" s="64"/>
      <c r="AM39" s="64"/>
      <c r="AN39" s="64"/>
      <c r="AO39" s="64"/>
      <c r="AP39" s="64"/>
      <c r="AQ39" s="64"/>
      <c r="AR39" s="64"/>
      <c r="AS39" s="64"/>
      <c r="AU39" s="53" t="s">
        <v>66</v>
      </c>
      <c r="AV39" s="54"/>
      <c r="AW39" s="54"/>
      <c r="AX39" s="54"/>
      <c r="AY39" s="55"/>
      <c r="AZ39" s="196">
        <f>COUNTIF(AZ8:AZ37,"&lt;50")</f>
        <v>0</v>
      </c>
    </row>
    <row r="40" spans="1:52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Q40" s="446" t="s">
        <v>67</v>
      </c>
      <c r="R40" s="447"/>
      <c r="S40" s="447"/>
      <c r="T40" s="447"/>
      <c r="U40" s="448"/>
      <c r="V40" s="197">
        <f>IF(COUNT(V8:V37)=0,"",V39/(COUNT(V8:V37))*100)</f>
        <v>23.076923076923077</v>
      </c>
      <c r="W40" s="65"/>
      <c r="X40" s="65"/>
      <c r="Y40" s="65"/>
      <c r="Z40" s="65"/>
      <c r="AA40" s="65"/>
      <c r="AB40" s="65"/>
      <c r="AC40" s="65"/>
      <c r="AD40" s="65"/>
      <c r="AF40" s="446" t="s">
        <v>67</v>
      </c>
      <c r="AG40" s="447"/>
      <c r="AH40" s="447"/>
      <c r="AI40" s="447"/>
      <c r="AJ40" s="448"/>
      <c r="AK40" s="197">
        <f>IF(COUNT(AK8:AK37)=0,"",AK39/(COUNT(AK8:AK37))*100)</f>
        <v>7.6923076923076925</v>
      </c>
      <c r="AL40" s="65"/>
      <c r="AM40" s="65"/>
      <c r="AN40" s="65"/>
      <c r="AO40" s="65"/>
      <c r="AP40" s="65"/>
      <c r="AQ40" s="65"/>
      <c r="AR40" s="65"/>
      <c r="AS40" s="65"/>
      <c r="AU40" s="53" t="s">
        <v>67</v>
      </c>
      <c r="AV40" s="54"/>
      <c r="AW40" s="54"/>
      <c r="AX40" s="54"/>
      <c r="AY40" s="55"/>
      <c r="AZ40" s="197" t="str">
        <f>IF(COUNT(AZ8:AZ37)=0,"",AZ39/(COUNT(AZ8:AZ37))*100)</f>
        <v/>
      </c>
    </row>
    <row r="44" spans="1:52" x14ac:dyDescent="0.25">
      <c r="AC44" s="499" t="s">
        <v>53</v>
      </c>
      <c r="AD44" s="499"/>
      <c r="AE44" s="499"/>
      <c r="AF44" s="499"/>
    </row>
    <row r="45" spans="1:52" ht="27.75" customHeight="1" x14ac:dyDescent="0.25">
      <c r="AC45" s="499"/>
      <c r="AD45" s="499"/>
      <c r="AE45" s="499"/>
      <c r="AF45" s="499"/>
    </row>
    <row r="46" spans="1:52" x14ac:dyDescent="0.25">
      <c r="AC46" s="30"/>
      <c r="AD46" s="30"/>
      <c r="AE46" s="100" t="s">
        <v>54</v>
      </c>
      <c r="AF46" s="31" t="s">
        <v>55</v>
      </c>
    </row>
    <row r="47" spans="1:52" x14ac:dyDescent="0.25">
      <c r="AC47" s="495" t="s">
        <v>29</v>
      </c>
      <c r="AD47" s="500" t="s">
        <v>56</v>
      </c>
      <c r="AE47" s="501">
        <v>2</v>
      </c>
      <c r="AF47" s="498">
        <v>3</v>
      </c>
    </row>
    <row r="48" spans="1:52" x14ac:dyDescent="0.25">
      <c r="AC48" s="496"/>
      <c r="AD48" s="500"/>
      <c r="AE48" s="501"/>
      <c r="AF48" s="498"/>
    </row>
    <row r="49" spans="29:32" x14ac:dyDescent="0.25">
      <c r="AC49" s="496"/>
      <c r="AD49" s="500"/>
      <c r="AE49" s="501"/>
      <c r="AF49" s="498"/>
    </row>
    <row r="50" spans="29:32" ht="36.75" x14ac:dyDescent="0.25">
      <c r="AC50" s="496"/>
      <c r="AD50" s="33" t="s">
        <v>57</v>
      </c>
      <c r="AE50" s="501" t="s">
        <v>58</v>
      </c>
      <c r="AF50" s="498">
        <v>6</v>
      </c>
    </row>
    <row r="51" spans="29:32" x14ac:dyDescent="0.25">
      <c r="AC51" s="496"/>
      <c r="AD51" s="502" t="s">
        <v>59</v>
      </c>
      <c r="AE51" s="501"/>
      <c r="AF51" s="498"/>
    </row>
    <row r="52" spans="29:32" x14ac:dyDescent="0.25">
      <c r="AC52" s="496"/>
      <c r="AD52" s="503"/>
      <c r="AE52" s="501"/>
      <c r="AF52" s="498"/>
    </row>
    <row r="53" spans="29:32" x14ac:dyDescent="0.25">
      <c r="AC53" s="497"/>
      <c r="AD53" s="503"/>
      <c r="AE53" s="501"/>
      <c r="AF53" s="498"/>
    </row>
    <row r="54" spans="29:32" x14ac:dyDescent="0.25">
      <c r="AC54" s="495" t="s">
        <v>60</v>
      </c>
      <c r="AD54" s="34" t="s">
        <v>61</v>
      </c>
      <c r="AE54" s="99" t="s">
        <v>62</v>
      </c>
      <c r="AF54" s="98">
        <v>6</v>
      </c>
    </row>
    <row r="55" spans="29:32" x14ac:dyDescent="0.25">
      <c r="AC55" s="496"/>
      <c r="AD55" s="34"/>
      <c r="AE55" s="99"/>
      <c r="AF55" s="98"/>
    </row>
    <row r="56" spans="29:32" x14ac:dyDescent="0.25">
      <c r="AC56" s="496"/>
      <c r="AD56" s="34"/>
      <c r="AE56" s="99"/>
      <c r="AF56" s="98"/>
    </row>
    <row r="57" spans="29:32" x14ac:dyDescent="0.25">
      <c r="AC57" s="497"/>
      <c r="AD57" s="34" t="s">
        <v>63</v>
      </c>
      <c r="AE57" s="99" t="s">
        <v>64</v>
      </c>
      <c r="AF57" s="98">
        <v>8</v>
      </c>
    </row>
  </sheetData>
  <sheetProtection algorithmName="SHA-512" hashValue="PGtSohFAuIC2Ylev/8fVyfDrbcayy1Q4mmT89WKyk1InMT8bf3Tkq2AASeKwdnwtlGbpP8fa7+MPoXls43GCyA==" saltValue="HDnZx3bZV78UzH7nLhoubg==" spinCount="100000" sheet="1" objects="1" scenarios="1"/>
  <mergeCells count="55">
    <mergeCell ref="Q39:U39"/>
    <mergeCell ref="AF39:AJ39"/>
    <mergeCell ref="B29:G29"/>
    <mergeCell ref="B18:G18"/>
    <mergeCell ref="B19:G19"/>
    <mergeCell ref="B20:G20"/>
    <mergeCell ref="B21:G21"/>
    <mergeCell ref="B22:G22"/>
    <mergeCell ref="B23:G23"/>
    <mergeCell ref="B36:G36"/>
    <mergeCell ref="B37:G37"/>
    <mergeCell ref="Q38:U38"/>
    <mergeCell ref="AF38:AJ38"/>
    <mergeCell ref="B30:G30"/>
    <mergeCell ref="B31:G31"/>
    <mergeCell ref="B32:G32"/>
    <mergeCell ref="B12:G12"/>
    <mergeCell ref="B13:G13"/>
    <mergeCell ref="W4:AJ5"/>
    <mergeCell ref="V4:V6"/>
    <mergeCell ref="H3:AZ3"/>
    <mergeCell ref="AK4:AK6"/>
    <mergeCell ref="AZ4:AZ6"/>
    <mergeCell ref="AL4:AY5"/>
    <mergeCell ref="A4:G5"/>
    <mergeCell ref="A6:G6"/>
    <mergeCell ref="H4:U5"/>
    <mergeCell ref="C7:G7"/>
    <mergeCell ref="B8:G8"/>
    <mergeCell ref="B9:G9"/>
    <mergeCell ref="B10:G10"/>
    <mergeCell ref="B11:G11"/>
    <mergeCell ref="B34:G34"/>
    <mergeCell ref="B35:G35"/>
    <mergeCell ref="B24:G24"/>
    <mergeCell ref="B25:G25"/>
    <mergeCell ref="B26:G26"/>
    <mergeCell ref="B27:G27"/>
    <mergeCell ref="B28:G28"/>
    <mergeCell ref="AC54:AC57"/>
    <mergeCell ref="AF47:AF49"/>
    <mergeCell ref="B14:G14"/>
    <mergeCell ref="B15:G15"/>
    <mergeCell ref="B16:G16"/>
    <mergeCell ref="B17:G17"/>
    <mergeCell ref="Q40:U40"/>
    <mergeCell ref="AF40:AJ40"/>
    <mergeCell ref="AC44:AF45"/>
    <mergeCell ref="AC47:AC53"/>
    <mergeCell ref="AD47:AD49"/>
    <mergeCell ref="B33:G33"/>
    <mergeCell ref="AE47:AE49"/>
    <mergeCell ref="AE50:AE53"/>
    <mergeCell ref="AF50:AF53"/>
    <mergeCell ref="AD51:AD53"/>
  </mergeCells>
  <phoneticPr fontId="37" type="noConversion"/>
  <dataValidations count="6">
    <dataValidation type="decimal" operator="lessThanOrEqual" allowBlank="1" showInputMessage="1" showErrorMessage="1" errorTitle="ERRO!" error="A pergunta não vale tanto!..." sqref="V8:V37" xr:uid="{00000000-0002-0000-0300-000000000000}">
      <formula1>V$7</formula1>
    </dataValidation>
    <dataValidation type="decimal" operator="lessThanOrEqual" allowBlank="1" showErrorMessage="1" errorTitle="ERRO!" error="A pergunta não vale tanto!" sqref="Q6:U6" xr:uid="{00000000-0002-0000-0300-000001000000}">
      <formula1>Q$7</formula1>
    </dataValidation>
    <dataValidation type="decimal" operator="lessThan" allowBlank="1" showInputMessage="1" showErrorMessage="1" sqref="H7" xr:uid="{00000000-0002-0000-0300-000002000000}">
      <formula1>H6</formula1>
    </dataValidation>
    <dataValidation type="decimal" operator="lessThan" allowBlank="1" showInputMessage="1" showErrorMessage="1" sqref="AK8:AK37" xr:uid="{00000000-0002-0000-0300-000003000000}">
      <formula1>AK$7</formula1>
    </dataValidation>
    <dataValidation type="decimal" operator="lessThanOrEqual" allowBlank="1" showErrorMessage="1" errorTitle="Erro." error="Ultrapassou cotação máxima." sqref="W8:AJ37 AL8:AY37" xr:uid="{00000000-0002-0000-0300-000004000000}">
      <formula1>W$7</formula1>
    </dataValidation>
    <dataValidation type="decimal" operator="lessThanOrEqual" allowBlank="1" showInputMessage="1" showErrorMessage="1" errorTitle="Erro." error="Ultrapassou cotação máxima." sqref="H8:U37" xr:uid="{00000000-0002-0000-0300-000005000000}">
      <formula1>H$7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olha5"/>
  <dimension ref="A1:AJ40"/>
  <sheetViews>
    <sheetView zoomScaleNormal="100" workbookViewId="0">
      <pane xSplit="7" ySplit="7" topLeftCell="H8" activePane="bottomRight" state="frozen"/>
      <selection pane="topRight" activeCell="H1" sqref="H1"/>
      <selection pane="bottomLeft" activeCell="A8" sqref="A8"/>
      <selection pane="bottomRight" activeCell="AD15" sqref="AD15"/>
    </sheetView>
  </sheetViews>
  <sheetFormatPr defaultRowHeight="15" x14ac:dyDescent="0.25"/>
  <cols>
    <col min="1" max="2" width="9.140625" style="102"/>
    <col min="3" max="3" width="7.5703125" style="102" customWidth="1"/>
    <col min="4" max="4" width="5.28515625" style="102" hidden="1" customWidth="1"/>
    <col min="5" max="5" width="3.28515625" style="102" hidden="1" customWidth="1"/>
    <col min="6" max="6" width="4.28515625" style="102" hidden="1" customWidth="1"/>
    <col min="7" max="7" width="7.140625" style="102" customWidth="1"/>
    <col min="8" max="14" width="9.140625" style="102"/>
    <col min="15" max="15" width="12" style="102" customWidth="1"/>
    <col min="16" max="22" width="9.140625" style="102"/>
    <col min="23" max="23" width="10.7109375" style="102" customWidth="1"/>
    <col min="24" max="30" width="9.140625" style="102"/>
    <col min="31" max="31" width="11.140625" style="102" customWidth="1"/>
    <col min="32" max="32" width="9.140625" style="102"/>
    <col min="33" max="33" width="11.42578125" style="102" bestFit="1" customWidth="1"/>
    <col min="34" max="16384" width="9.140625" style="102"/>
  </cols>
  <sheetData>
    <row r="1" spans="1:31" ht="27" x14ac:dyDescent="0.35">
      <c r="A1" s="1" t="s">
        <v>32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108" t="str">
        <f>IF([1]ENTRADA!B5=0,"",[1]ENTRADA!B5)</f>
        <v/>
      </c>
      <c r="AA1" s="3"/>
      <c r="AB1" s="2"/>
      <c r="AC1" s="2"/>
      <c r="AD1" s="2"/>
      <c r="AE1" s="2"/>
    </row>
    <row r="2" spans="1:31" ht="27" x14ac:dyDescent="0.25">
      <c r="A2" s="6" t="s">
        <v>5</v>
      </c>
      <c r="B2" s="1"/>
      <c r="C2" s="1"/>
      <c r="D2" s="1"/>
      <c r="E2" s="1"/>
      <c r="F2" s="1"/>
      <c r="G2" s="1" t="s">
        <v>82</v>
      </c>
      <c r="H2" s="1" t="s">
        <v>89</v>
      </c>
      <c r="I2" s="1"/>
      <c r="J2" s="1"/>
      <c r="K2" s="1"/>
      <c r="L2" s="1"/>
      <c r="M2" s="1"/>
      <c r="N2" s="1"/>
      <c r="O2" s="1"/>
      <c r="P2" s="1"/>
      <c r="Q2" s="1"/>
      <c r="R2" s="1"/>
      <c r="S2" s="1" t="s">
        <v>83</v>
      </c>
      <c r="T2" s="1"/>
      <c r="U2" s="1"/>
      <c r="V2" s="1"/>
      <c r="W2" s="1"/>
      <c r="X2" s="7"/>
      <c r="Y2" s="8"/>
      <c r="Z2" s="9"/>
      <c r="AA2" s="4" t="s">
        <v>83</v>
      </c>
      <c r="AB2" s="4"/>
      <c r="AC2" s="4"/>
      <c r="AD2" s="4"/>
      <c r="AE2" s="10"/>
    </row>
    <row r="3" spans="1:31" ht="20.25" x14ac:dyDescent="0.25">
      <c r="A3" s="481"/>
      <c r="B3" s="482"/>
      <c r="C3" s="482"/>
      <c r="D3" s="482"/>
      <c r="E3" s="482"/>
      <c r="F3" s="482"/>
      <c r="G3" s="511"/>
      <c r="H3" s="512" t="s">
        <v>79</v>
      </c>
      <c r="I3" s="513"/>
      <c r="J3" s="513"/>
      <c r="K3" s="513"/>
      <c r="L3" s="513"/>
      <c r="M3" s="513"/>
      <c r="N3" s="513"/>
      <c r="O3" s="513"/>
      <c r="P3" s="513"/>
      <c r="Q3" s="513"/>
      <c r="R3" s="513"/>
      <c r="S3" s="513"/>
      <c r="T3" s="513"/>
      <c r="U3" s="513"/>
      <c r="V3" s="513"/>
      <c r="W3" s="513"/>
      <c r="X3" s="513"/>
      <c r="Y3" s="513"/>
      <c r="Z3" s="513"/>
      <c r="AA3" s="513"/>
      <c r="AB3" s="513"/>
      <c r="AC3" s="513"/>
      <c r="AD3" s="513"/>
      <c r="AE3" s="513"/>
    </row>
    <row r="4" spans="1:31" x14ac:dyDescent="0.25">
      <c r="A4" s="12"/>
      <c r="B4" s="13"/>
      <c r="C4" s="13"/>
      <c r="D4" s="478"/>
      <c r="E4" s="478"/>
      <c r="F4" s="478"/>
      <c r="G4" s="463"/>
      <c r="H4" s="449" t="s">
        <v>69</v>
      </c>
      <c r="I4" s="450"/>
      <c r="J4" s="450"/>
      <c r="K4" s="450"/>
      <c r="L4" s="450"/>
      <c r="M4" s="450"/>
      <c r="N4" s="451"/>
      <c r="O4" s="466" t="s">
        <v>33</v>
      </c>
      <c r="P4" s="449" t="s">
        <v>71</v>
      </c>
      <c r="Q4" s="450"/>
      <c r="R4" s="450"/>
      <c r="S4" s="450"/>
      <c r="T4" s="450"/>
      <c r="U4" s="450"/>
      <c r="V4" s="451"/>
      <c r="W4" s="466" t="s">
        <v>33</v>
      </c>
      <c r="X4" s="449" t="s">
        <v>72</v>
      </c>
      <c r="Y4" s="450"/>
      <c r="Z4" s="450"/>
      <c r="AA4" s="450"/>
      <c r="AB4" s="450"/>
      <c r="AC4" s="450"/>
      <c r="AD4" s="451"/>
      <c r="AE4" s="466" t="s">
        <v>33</v>
      </c>
    </row>
    <row r="5" spans="1:31" x14ac:dyDescent="0.25">
      <c r="A5" s="12"/>
      <c r="B5" s="13"/>
      <c r="C5" s="13"/>
      <c r="D5" s="478"/>
      <c r="E5" s="478"/>
      <c r="F5" s="478"/>
      <c r="G5" s="463"/>
      <c r="H5" s="452"/>
      <c r="I5" s="453"/>
      <c r="J5" s="453"/>
      <c r="K5" s="453"/>
      <c r="L5" s="453"/>
      <c r="M5" s="453"/>
      <c r="N5" s="454"/>
      <c r="O5" s="468"/>
      <c r="P5" s="452"/>
      <c r="Q5" s="453"/>
      <c r="R5" s="453"/>
      <c r="S5" s="453"/>
      <c r="T5" s="453"/>
      <c r="U5" s="453"/>
      <c r="V5" s="454"/>
      <c r="W5" s="468"/>
      <c r="X5" s="452"/>
      <c r="Y5" s="453"/>
      <c r="Z5" s="453"/>
      <c r="AA5" s="453"/>
      <c r="AB5" s="453"/>
      <c r="AC5" s="453"/>
      <c r="AD5" s="454"/>
      <c r="AE5" s="468"/>
    </row>
    <row r="6" spans="1:31" ht="18" customHeight="1" x14ac:dyDescent="0.25">
      <c r="A6" s="14"/>
      <c r="B6" s="508" t="s">
        <v>36</v>
      </c>
      <c r="C6" s="509"/>
      <c r="D6" s="509"/>
      <c r="E6" s="509"/>
      <c r="F6" s="509"/>
      <c r="G6" s="510"/>
      <c r="H6" s="84" t="s">
        <v>37</v>
      </c>
      <c r="I6" s="85" t="s">
        <v>75</v>
      </c>
      <c r="J6" s="85" t="s">
        <v>76</v>
      </c>
      <c r="K6" s="85" t="s">
        <v>77</v>
      </c>
      <c r="L6" s="51"/>
      <c r="M6" s="79"/>
      <c r="N6" s="50"/>
      <c r="O6" s="48"/>
      <c r="P6" s="45">
        <v>1</v>
      </c>
      <c r="Q6" s="46">
        <v>2</v>
      </c>
      <c r="R6" s="46">
        <v>3</v>
      </c>
      <c r="S6" s="46">
        <v>4</v>
      </c>
      <c r="T6" s="46">
        <v>5</v>
      </c>
      <c r="U6" s="49"/>
      <c r="V6" s="49"/>
      <c r="W6" s="56"/>
      <c r="X6" s="47"/>
      <c r="Y6" s="46"/>
      <c r="Z6" s="46"/>
      <c r="AA6" s="46"/>
      <c r="AB6" s="46"/>
      <c r="AC6" s="49"/>
      <c r="AD6" s="49"/>
      <c r="AE6" s="111"/>
    </row>
    <row r="7" spans="1:31" ht="34.5" customHeight="1" x14ac:dyDescent="0.25">
      <c r="A7" s="44" t="s">
        <v>9</v>
      </c>
      <c r="B7" s="473" t="s">
        <v>73</v>
      </c>
      <c r="C7" s="474"/>
      <c r="D7" s="474"/>
      <c r="E7" s="474"/>
      <c r="F7" s="474"/>
      <c r="G7" s="485"/>
      <c r="H7" s="80">
        <v>12</v>
      </c>
      <c r="I7" s="81">
        <v>40</v>
      </c>
      <c r="J7" s="81">
        <v>24</v>
      </c>
      <c r="K7" s="81">
        <v>24</v>
      </c>
      <c r="L7" s="81"/>
      <c r="M7" s="81"/>
      <c r="N7" s="112"/>
      <c r="O7" s="117">
        <f>IF(OR(SUM(H7:N7)&gt;100,SUM(H7:N7)&lt;0),"",SUM(H7:N7))</f>
        <v>100</v>
      </c>
      <c r="P7" s="80">
        <v>20</v>
      </c>
      <c r="Q7" s="81">
        <v>20</v>
      </c>
      <c r="R7" s="81">
        <v>20</v>
      </c>
      <c r="S7" s="81">
        <v>20</v>
      </c>
      <c r="T7" s="81">
        <v>20</v>
      </c>
      <c r="U7" s="81"/>
      <c r="V7" s="81"/>
      <c r="W7" s="120">
        <f>IF(OR(SUM(P7:V7)&gt;100,SUM(P7:V7)&lt;0),"",SUM(P7:V7))</f>
        <v>100</v>
      </c>
      <c r="X7" s="82"/>
      <c r="Y7" s="82"/>
      <c r="Z7" s="82"/>
      <c r="AA7" s="82"/>
      <c r="AB7" s="82"/>
      <c r="AC7" s="82"/>
      <c r="AD7" s="82"/>
      <c r="AE7" s="119">
        <f>IF(OR(SUM(X7:AD7)&gt;100,SUM(X7:AD7)&lt;0),"",SUM(X7:AD7))</f>
        <v>0</v>
      </c>
    </row>
    <row r="8" spans="1:31" x14ac:dyDescent="0.25">
      <c r="A8" s="160">
        <f>IF('Avaliação Períodos'!A9=0,"",'Avaliação Períodos'!A9)</f>
        <v>1</v>
      </c>
      <c r="B8" s="458" t="str">
        <f>IF('Avaliação Períodos'!B9=0,"",'Avaliação Períodos'!B9)</f>
        <v>Afonso</v>
      </c>
      <c r="C8" s="459"/>
      <c r="D8" s="459"/>
      <c r="E8" s="459"/>
      <c r="F8" s="459"/>
      <c r="G8" s="460"/>
      <c r="H8" s="224">
        <v>0</v>
      </c>
      <c r="I8" s="164">
        <v>8</v>
      </c>
      <c r="J8" s="164">
        <v>12</v>
      </c>
      <c r="K8" s="164">
        <v>24</v>
      </c>
      <c r="L8" s="165"/>
      <c r="M8" s="165"/>
      <c r="N8" s="165"/>
      <c r="O8" s="19">
        <f>IF(COUNT(H8:N8)=0,"",SUM(H8:N8))</f>
        <v>44</v>
      </c>
      <c r="P8" s="184">
        <v>0</v>
      </c>
      <c r="Q8" s="185">
        <v>10</v>
      </c>
      <c r="R8" s="185">
        <v>0</v>
      </c>
      <c r="S8" s="185">
        <v>10</v>
      </c>
      <c r="T8" s="185">
        <v>0</v>
      </c>
      <c r="U8" s="185"/>
      <c r="V8" s="185"/>
      <c r="W8" s="19">
        <f>IF(COUNT(P8:V8)=0,"",SUM(P8:V8))</f>
        <v>20</v>
      </c>
      <c r="X8" s="186"/>
      <c r="Y8" s="186"/>
      <c r="Z8" s="186"/>
      <c r="AA8" s="186"/>
      <c r="AB8" s="186"/>
      <c r="AC8" s="186"/>
      <c r="AD8" s="186"/>
      <c r="AE8" s="19" t="str">
        <f>IF(COUNT(X8:AD8)=0,"",SUM(X8:AD8))</f>
        <v/>
      </c>
    </row>
    <row r="9" spans="1:31" x14ac:dyDescent="0.25">
      <c r="A9" s="161">
        <f>IF('Avaliação Períodos'!A10=0,"",'Avaliação Períodos'!A10)</f>
        <v>2</v>
      </c>
      <c r="B9" s="455" t="str">
        <f>IF('Avaliação Períodos'!B10=0,"",'Avaliação Períodos'!B10)</f>
        <v>Afonso Cravo</v>
      </c>
      <c r="C9" s="456"/>
      <c r="D9" s="456"/>
      <c r="E9" s="456"/>
      <c r="F9" s="456"/>
      <c r="G9" s="457"/>
      <c r="H9" s="166">
        <v>12</v>
      </c>
      <c r="I9" s="167">
        <v>16</v>
      </c>
      <c r="J9" s="167">
        <v>16</v>
      </c>
      <c r="K9" s="167">
        <v>24</v>
      </c>
      <c r="L9" s="168"/>
      <c r="M9" s="169"/>
      <c r="N9" s="169"/>
      <c r="O9" s="19">
        <f t="shared" ref="O9:O37" si="0">IF(COUNT(H9:N9)=0,"",SUM(H9:N9))</f>
        <v>68</v>
      </c>
      <c r="P9" s="166">
        <v>5</v>
      </c>
      <c r="Q9" s="167">
        <v>20</v>
      </c>
      <c r="R9" s="167">
        <v>20</v>
      </c>
      <c r="S9" s="167">
        <v>5</v>
      </c>
      <c r="T9" s="167">
        <v>5</v>
      </c>
      <c r="U9" s="167"/>
      <c r="V9" s="167"/>
      <c r="W9" s="19">
        <f t="shared" ref="W9:W37" si="1">IF(COUNT(P9:V9)=0,"",SUM(P9:V9))</f>
        <v>55</v>
      </c>
      <c r="X9" s="187"/>
      <c r="Y9" s="187"/>
      <c r="Z9" s="187"/>
      <c r="AA9" s="187"/>
      <c r="AB9" s="187"/>
      <c r="AC9" s="187"/>
      <c r="AD9" s="187"/>
      <c r="AE9" s="19" t="str">
        <f t="shared" ref="AE9:AE37" si="2">IF(COUNT(X9:AD9)=0,"",SUM(X9:AD9))</f>
        <v/>
      </c>
    </row>
    <row r="10" spans="1:31" x14ac:dyDescent="0.25">
      <c r="A10" s="160">
        <f>IF('Avaliação Períodos'!A11=0,"",'Avaliação Períodos'!A11)</f>
        <v>3</v>
      </c>
      <c r="B10" s="458" t="str">
        <f>IF('Avaliação Períodos'!B11=0,"",'Avaliação Períodos'!B11)</f>
        <v>Ândria</v>
      </c>
      <c r="C10" s="459"/>
      <c r="D10" s="459"/>
      <c r="E10" s="459"/>
      <c r="F10" s="459"/>
      <c r="G10" s="460"/>
      <c r="H10" s="170">
        <v>12</v>
      </c>
      <c r="I10" s="171">
        <v>40</v>
      </c>
      <c r="J10" s="171">
        <v>16</v>
      </c>
      <c r="K10" s="171">
        <v>24</v>
      </c>
      <c r="L10" s="172"/>
      <c r="M10" s="172"/>
      <c r="N10" s="172"/>
      <c r="O10" s="19">
        <f t="shared" si="0"/>
        <v>92</v>
      </c>
      <c r="P10" s="170">
        <v>5</v>
      </c>
      <c r="Q10" s="171">
        <v>10</v>
      </c>
      <c r="R10" s="171">
        <v>20</v>
      </c>
      <c r="S10" s="171">
        <v>15</v>
      </c>
      <c r="T10" s="171">
        <v>5</v>
      </c>
      <c r="U10" s="171"/>
      <c r="V10" s="171"/>
      <c r="W10" s="19">
        <f t="shared" si="1"/>
        <v>55</v>
      </c>
      <c r="X10" s="188"/>
      <c r="Y10" s="188"/>
      <c r="Z10" s="188"/>
      <c r="AA10" s="188"/>
      <c r="AB10" s="188"/>
      <c r="AC10" s="188"/>
      <c r="AD10" s="188"/>
      <c r="AE10" s="19" t="str">
        <f t="shared" si="2"/>
        <v/>
      </c>
    </row>
    <row r="11" spans="1:31" x14ac:dyDescent="0.25">
      <c r="A11" s="161">
        <f>IF('Avaliação Períodos'!A12=0,"",'Avaliação Períodos'!A12)</f>
        <v>4</v>
      </c>
      <c r="B11" s="455" t="str">
        <f>IF('Avaliação Períodos'!B12=0,"",'Avaliação Períodos'!B12)</f>
        <v>Bernardo Gomes</v>
      </c>
      <c r="C11" s="456"/>
      <c r="D11" s="456"/>
      <c r="E11" s="456"/>
      <c r="F11" s="456"/>
      <c r="G11" s="457"/>
      <c r="H11" s="173">
        <v>12</v>
      </c>
      <c r="I11" s="174">
        <v>40</v>
      </c>
      <c r="J11" s="174">
        <v>24</v>
      </c>
      <c r="K11" s="174">
        <v>24</v>
      </c>
      <c r="L11" s="175"/>
      <c r="M11" s="175"/>
      <c r="N11" s="175"/>
      <c r="O11" s="19">
        <f t="shared" si="0"/>
        <v>100</v>
      </c>
      <c r="P11" s="173">
        <v>20</v>
      </c>
      <c r="Q11" s="174">
        <v>20</v>
      </c>
      <c r="R11" s="174">
        <v>20</v>
      </c>
      <c r="S11" s="174">
        <v>20</v>
      </c>
      <c r="T11" s="174">
        <v>20</v>
      </c>
      <c r="U11" s="174"/>
      <c r="V11" s="174"/>
      <c r="W11" s="19">
        <f t="shared" si="1"/>
        <v>100</v>
      </c>
      <c r="X11" s="189"/>
      <c r="Y11" s="189"/>
      <c r="Z11" s="189"/>
      <c r="AA11" s="189"/>
      <c r="AB11" s="189"/>
      <c r="AC11" s="189"/>
      <c r="AD11" s="189"/>
      <c r="AE11" s="19" t="str">
        <f t="shared" si="2"/>
        <v/>
      </c>
    </row>
    <row r="12" spans="1:31" x14ac:dyDescent="0.25">
      <c r="A12" s="160">
        <f>IF('Avaliação Períodos'!A13=0,"",'Avaliação Períodos'!A13)</f>
        <v>5</v>
      </c>
      <c r="B12" s="458" t="str">
        <f>IF('Avaliação Períodos'!B13=0,"",'Avaliação Períodos'!B13)</f>
        <v xml:space="preserve"> Bernardo Gaspar</v>
      </c>
      <c r="C12" s="459"/>
      <c r="D12" s="459"/>
      <c r="E12" s="459"/>
      <c r="F12" s="459"/>
      <c r="G12" s="460"/>
      <c r="H12" s="170">
        <v>12</v>
      </c>
      <c r="I12" s="171">
        <v>16</v>
      </c>
      <c r="J12" s="171">
        <v>16</v>
      </c>
      <c r="K12" s="171">
        <v>24</v>
      </c>
      <c r="L12" s="172"/>
      <c r="M12" s="172"/>
      <c r="N12" s="172"/>
      <c r="O12" s="19">
        <f t="shared" si="0"/>
        <v>68</v>
      </c>
      <c r="P12" s="170">
        <v>0</v>
      </c>
      <c r="Q12" s="171">
        <v>0</v>
      </c>
      <c r="R12" s="171">
        <v>15</v>
      </c>
      <c r="S12" s="171">
        <v>10</v>
      </c>
      <c r="T12" s="171">
        <v>0</v>
      </c>
      <c r="U12" s="171"/>
      <c r="V12" s="171"/>
      <c r="W12" s="19">
        <f t="shared" si="1"/>
        <v>25</v>
      </c>
      <c r="X12" s="188"/>
      <c r="Y12" s="188"/>
      <c r="Z12" s="188"/>
      <c r="AA12" s="188"/>
      <c r="AB12" s="188"/>
      <c r="AC12" s="188"/>
      <c r="AD12" s="188"/>
      <c r="AE12" s="19" t="str">
        <f t="shared" si="2"/>
        <v/>
      </c>
    </row>
    <row r="13" spans="1:31" x14ac:dyDescent="0.25">
      <c r="A13" s="161">
        <f>IF('Avaliação Períodos'!A14=0,"",'Avaliação Períodos'!A14)</f>
        <v>6</v>
      </c>
      <c r="B13" s="455" t="str">
        <f>IF('Avaliação Períodos'!B14=0,"",'Avaliação Períodos'!B14)</f>
        <v>David</v>
      </c>
      <c r="C13" s="456"/>
      <c r="D13" s="456"/>
      <c r="E13" s="456"/>
      <c r="F13" s="456"/>
      <c r="G13" s="457"/>
      <c r="H13" s="173">
        <v>0</v>
      </c>
      <c r="I13" s="174">
        <v>16</v>
      </c>
      <c r="J13" s="174">
        <v>24</v>
      </c>
      <c r="K13" s="174">
        <v>24</v>
      </c>
      <c r="L13" s="175"/>
      <c r="M13" s="175"/>
      <c r="N13" s="175"/>
      <c r="O13" s="19">
        <f t="shared" si="0"/>
        <v>64</v>
      </c>
      <c r="P13" s="173">
        <v>5</v>
      </c>
      <c r="Q13" s="174">
        <v>15</v>
      </c>
      <c r="R13" s="174">
        <v>0</v>
      </c>
      <c r="S13" s="174">
        <v>5</v>
      </c>
      <c r="T13" s="174">
        <v>5</v>
      </c>
      <c r="U13" s="174"/>
      <c r="V13" s="174"/>
      <c r="W13" s="19">
        <f t="shared" si="1"/>
        <v>30</v>
      </c>
      <c r="X13" s="189"/>
      <c r="Y13" s="189"/>
      <c r="Z13" s="189"/>
      <c r="AA13" s="189"/>
      <c r="AB13" s="189"/>
      <c r="AC13" s="189"/>
      <c r="AD13" s="189"/>
      <c r="AE13" s="19" t="str">
        <f t="shared" si="2"/>
        <v/>
      </c>
    </row>
    <row r="14" spans="1:31" x14ac:dyDescent="0.25">
      <c r="A14" s="160">
        <f>IF('Avaliação Períodos'!A15=0,"",'Avaliação Períodos'!A15)</f>
        <v>7</v>
      </c>
      <c r="B14" s="458" t="str">
        <f>IF('Avaliação Períodos'!B15=0,"",'Avaliação Períodos'!B15)</f>
        <v>Fábio</v>
      </c>
      <c r="C14" s="459"/>
      <c r="D14" s="459"/>
      <c r="E14" s="459"/>
      <c r="F14" s="459"/>
      <c r="G14" s="460"/>
      <c r="H14" s="170">
        <v>12</v>
      </c>
      <c r="I14" s="171">
        <v>8</v>
      </c>
      <c r="J14" s="171">
        <v>16</v>
      </c>
      <c r="K14" s="171">
        <v>16</v>
      </c>
      <c r="L14" s="172"/>
      <c r="M14" s="172"/>
      <c r="N14" s="172"/>
      <c r="O14" s="19">
        <f t="shared" si="0"/>
        <v>52</v>
      </c>
      <c r="P14" s="170">
        <v>5</v>
      </c>
      <c r="Q14" s="171">
        <v>0</v>
      </c>
      <c r="R14" s="171">
        <v>15</v>
      </c>
      <c r="S14" s="171">
        <v>0</v>
      </c>
      <c r="T14" s="171">
        <v>0</v>
      </c>
      <c r="U14" s="171"/>
      <c r="V14" s="171"/>
      <c r="W14" s="19">
        <f t="shared" si="1"/>
        <v>20</v>
      </c>
      <c r="X14" s="188"/>
      <c r="Y14" s="188"/>
      <c r="Z14" s="188"/>
      <c r="AA14" s="188"/>
      <c r="AB14" s="188"/>
      <c r="AC14" s="188"/>
      <c r="AD14" s="188"/>
      <c r="AE14" s="19" t="str">
        <f t="shared" si="2"/>
        <v/>
      </c>
    </row>
    <row r="15" spans="1:31" x14ac:dyDescent="0.25">
      <c r="A15" s="161">
        <f>IF('Avaliação Períodos'!A16=0,"",'Avaliação Períodos'!A16)</f>
        <v>8</v>
      </c>
      <c r="B15" s="455" t="str">
        <f>IF('Avaliação Períodos'!B16=0,"",'Avaliação Períodos'!B16)</f>
        <v>Francisco</v>
      </c>
      <c r="C15" s="456"/>
      <c r="D15" s="456"/>
      <c r="E15" s="456"/>
      <c r="F15" s="456"/>
      <c r="G15" s="457"/>
      <c r="H15" s="173">
        <v>12</v>
      </c>
      <c r="I15" s="174">
        <v>8</v>
      </c>
      <c r="J15" s="176">
        <v>16</v>
      </c>
      <c r="K15" s="174">
        <v>16</v>
      </c>
      <c r="L15" s="175"/>
      <c r="M15" s="175"/>
      <c r="N15" s="175"/>
      <c r="O15" s="19">
        <f t="shared" si="0"/>
        <v>52</v>
      </c>
      <c r="P15" s="173">
        <v>15</v>
      </c>
      <c r="Q15" s="174">
        <v>0</v>
      </c>
      <c r="R15" s="176">
        <v>15</v>
      </c>
      <c r="S15" s="174">
        <v>10</v>
      </c>
      <c r="T15" s="174">
        <v>5</v>
      </c>
      <c r="U15" s="174"/>
      <c r="V15" s="174"/>
      <c r="W15" s="19">
        <f t="shared" si="1"/>
        <v>45</v>
      </c>
      <c r="X15" s="189"/>
      <c r="Y15" s="189"/>
      <c r="Z15" s="189"/>
      <c r="AA15" s="189"/>
      <c r="AB15" s="189"/>
      <c r="AC15" s="189"/>
      <c r="AD15" s="189"/>
      <c r="AE15" s="19" t="str">
        <f t="shared" si="2"/>
        <v/>
      </c>
    </row>
    <row r="16" spans="1:31" x14ac:dyDescent="0.25">
      <c r="A16" s="160">
        <f>IF('Avaliação Períodos'!A17=0,"",'Avaliação Períodos'!A17)</f>
        <v>9</v>
      </c>
      <c r="B16" s="458" t="str">
        <f>IF('Avaliação Períodos'!B17=0,"",'Avaliação Períodos'!B17)</f>
        <v>Gonçalo</v>
      </c>
      <c r="C16" s="459"/>
      <c r="D16" s="459"/>
      <c r="E16" s="459"/>
      <c r="F16" s="459"/>
      <c r="G16" s="460"/>
      <c r="H16" s="170">
        <v>0</v>
      </c>
      <c r="I16" s="171">
        <v>16</v>
      </c>
      <c r="J16" s="171">
        <v>24</v>
      </c>
      <c r="K16" s="171">
        <v>24</v>
      </c>
      <c r="L16" s="172"/>
      <c r="M16" s="172"/>
      <c r="N16" s="172"/>
      <c r="O16" s="19">
        <f t="shared" si="0"/>
        <v>64</v>
      </c>
      <c r="P16" s="170">
        <v>10</v>
      </c>
      <c r="Q16" s="171">
        <v>5</v>
      </c>
      <c r="R16" s="171">
        <v>10</v>
      </c>
      <c r="S16" s="171">
        <v>5</v>
      </c>
      <c r="T16" s="171">
        <v>5</v>
      </c>
      <c r="U16" s="171"/>
      <c r="V16" s="171"/>
      <c r="W16" s="19">
        <f t="shared" si="1"/>
        <v>35</v>
      </c>
      <c r="X16" s="188"/>
      <c r="Y16" s="188"/>
      <c r="Z16" s="188"/>
      <c r="AA16" s="188"/>
      <c r="AB16" s="188"/>
      <c r="AC16" s="188"/>
      <c r="AD16" s="188"/>
      <c r="AE16" s="19" t="str">
        <f t="shared" si="2"/>
        <v/>
      </c>
    </row>
    <row r="17" spans="1:36" x14ac:dyDescent="0.25">
      <c r="A17" s="161">
        <f>IF('Avaliação Períodos'!A18=0,"",'Avaliação Períodos'!A18)</f>
        <v>10</v>
      </c>
      <c r="B17" s="455" t="str">
        <f>IF('Avaliação Períodos'!B18=0,"",'Avaliação Períodos'!B18)</f>
        <v>Gustavo</v>
      </c>
      <c r="C17" s="456"/>
      <c r="D17" s="456"/>
      <c r="E17" s="456"/>
      <c r="F17" s="456"/>
      <c r="G17" s="457"/>
      <c r="H17" s="173">
        <v>12</v>
      </c>
      <c r="I17" s="174">
        <v>16</v>
      </c>
      <c r="J17" s="174">
        <v>8</v>
      </c>
      <c r="K17" s="174">
        <v>24</v>
      </c>
      <c r="L17" s="175"/>
      <c r="M17" s="175"/>
      <c r="N17" s="175"/>
      <c r="O17" s="19">
        <f t="shared" si="0"/>
        <v>60</v>
      </c>
      <c r="P17" s="173">
        <v>20</v>
      </c>
      <c r="Q17" s="174">
        <v>20</v>
      </c>
      <c r="R17" s="174">
        <v>5</v>
      </c>
      <c r="S17" s="174">
        <v>15</v>
      </c>
      <c r="T17" s="174">
        <v>10</v>
      </c>
      <c r="U17" s="174"/>
      <c r="V17" s="174"/>
      <c r="W17" s="19">
        <f t="shared" si="1"/>
        <v>70</v>
      </c>
      <c r="X17" s="189"/>
      <c r="Y17" s="189"/>
      <c r="Z17" s="189"/>
      <c r="AA17" s="189"/>
      <c r="AB17" s="189"/>
      <c r="AC17" s="189"/>
      <c r="AD17" s="189"/>
      <c r="AE17" s="19" t="str">
        <f t="shared" si="2"/>
        <v/>
      </c>
    </row>
    <row r="18" spans="1:36" x14ac:dyDescent="0.25">
      <c r="A18" s="160">
        <f>IF('Avaliação Períodos'!A19=0,"",'Avaliação Períodos'!A19)</f>
        <v>11</v>
      </c>
      <c r="B18" s="458" t="str">
        <f>IF('Avaliação Períodos'!B19=0,"",'Avaliação Períodos'!B19)</f>
        <v>João</v>
      </c>
      <c r="C18" s="459"/>
      <c r="D18" s="459"/>
      <c r="E18" s="459"/>
      <c r="F18" s="459"/>
      <c r="G18" s="460"/>
      <c r="H18" s="177">
        <v>12</v>
      </c>
      <c r="I18" s="171">
        <v>16</v>
      </c>
      <c r="J18" s="171">
        <v>24</v>
      </c>
      <c r="K18" s="171">
        <v>8</v>
      </c>
      <c r="L18" s="172"/>
      <c r="M18" s="172"/>
      <c r="N18" s="172"/>
      <c r="O18" s="19">
        <f t="shared" si="0"/>
        <v>60</v>
      </c>
      <c r="P18" s="177">
        <v>10</v>
      </c>
      <c r="Q18" s="171">
        <v>15</v>
      </c>
      <c r="R18" s="171">
        <v>5</v>
      </c>
      <c r="S18" s="171">
        <v>0</v>
      </c>
      <c r="T18" s="171">
        <v>5</v>
      </c>
      <c r="U18" s="171"/>
      <c r="V18" s="171"/>
      <c r="W18" s="19">
        <f t="shared" si="1"/>
        <v>35</v>
      </c>
      <c r="X18" s="190"/>
      <c r="Y18" s="190"/>
      <c r="Z18" s="190"/>
      <c r="AA18" s="190"/>
      <c r="AB18" s="190"/>
      <c r="AC18" s="190"/>
      <c r="AD18" s="190"/>
      <c r="AE18" s="19" t="str">
        <f t="shared" si="2"/>
        <v/>
      </c>
    </row>
    <row r="19" spans="1:36" x14ac:dyDescent="0.25">
      <c r="A19" s="161">
        <f>IF('Avaliação Períodos'!A20=0,"",'Avaliação Períodos'!A20)</f>
        <v>12</v>
      </c>
      <c r="B19" s="455" t="str">
        <f>IF('Avaliação Períodos'!B20=0,"",'Avaliação Períodos'!B20)</f>
        <v>João Miguel</v>
      </c>
      <c r="C19" s="456"/>
      <c r="D19" s="456"/>
      <c r="E19" s="456"/>
      <c r="F19" s="456"/>
      <c r="G19" s="457"/>
      <c r="H19" s="173">
        <v>12</v>
      </c>
      <c r="I19" s="174">
        <v>16</v>
      </c>
      <c r="J19" s="174">
        <v>24</v>
      </c>
      <c r="K19" s="174">
        <v>24</v>
      </c>
      <c r="L19" s="175"/>
      <c r="M19" s="175"/>
      <c r="N19" s="175"/>
      <c r="O19" s="19">
        <f t="shared" si="0"/>
        <v>76</v>
      </c>
      <c r="P19" s="173">
        <v>5</v>
      </c>
      <c r="Q19" s="174">
        <v>15</v>
      </c>
      <c r="R19" s="174">
        <v>5</v>
      </c>
      <c r="S19" s="174">
        <v>5</v>
      </c>
      <c r="T19" s="174">
        <v>0</v>
      </c>
      <c r="U19" s="174"/>
      <c r="V19" s="174"/>
      <c r="W19" s="19">
        <f t="shared" si="1"/>
        <v>30</v>
      </c>
      <c r="X19" s="189"/>
      <c r="Y19" s="189"/>
      <c r="Z19" s="189"/>
      <c r="AA19" s="189"/>
      <c r="AB19" s="189"/>
      <c r="AC19" s="189"/>
      <c r="AD19" s="189"/>
      <c r="AE19" s="19" t="str">
        <f t="shared" si="2"/>
        <v/>
      </c>
    </row>
    <row r="20" spans="1:36" x14ac:dyDescent="0.25">
      <c r="A20" s="160">
        <f>IF('Avaliação Períodos'!A21=0,"",'Avaliação Períodos'!A21)</f>
        <v>13</v>
      </c>
      <c r="B20" s="458" t="str">
        <f>IF('Avaliação Períodos'!B21=0,"",'Avaliação Períodos'!B21)</f>
        <v>Lara</v>
      </c>
      <c r="C20" s="459"/>
      <c r="D20" s="459"/>
      <c r="E20" s="459"/>
      <c r="F20" s="459"/>
      <c r="G20" s="460"/>
      <c r="H20" s="177">
        <v>12</v>
      </c>
      <c r="I20" s="171">
        <v>24</v>
      </c>
      <c r="J20" s="171">
        <v>16</v>
      </c>
      <c r="K20" s="171">
        <v>16</v>
      </c>
      <c r="L20" s="172"/>
      <c r="M20" s="172"/>
      <c r="N20" s="172"/>
      <c r="O20" s="19">
        <f t="shared" si="0"/>
        <v>68</v>
      </c>
      <c r="P20" s="177">
        <v>0</v>
      </c>
      <c r="Q20" s="171">
        <v>15</v>
      </c>
      <c r="R20" s="171">
        <v>20</v>
      </c>
      <c r="S20" s="171">
        <v>5</v>
      </c>
      <c r="T20" s="171">
        <v>15</v>
      </c>
      <c r="U20" s="171"/>
      <c r="V20" s="171"/>
      <c r="W20" s="19">
        <f t="shared" si="1"/>
        <v>55</v>
      </c>
      <c r="X20" s="190"/>
      <c r="Y20" s="190"/>
      <c r="Z20" s="190"/>
      <c r="AA20" s="190"/>
      <c r="AB20" s="190"/>
      <c r="AC20" s="190"/>
      <c r="AD20" s="190"/>
      <c r="AE20" s="19" t="str">
        <f t="shared" si="2"/>
        <v/>
      </c>
    </row>
    <row r="21" spans="1:36" x14ac:dyDescent="0.25">
      <c r="A21" s="161">
        <f>IF('Avaliação Períodos'!A22=0,"",'Avaliação Períodos'!A22)</f>
        <v>14</v>
      </c>
      <c r="B21" s="455" t="str">
        <f>IF('Avaliação Períodos'!B22=0,"",'Avaliação Períodos'!B22)</f>
        <v>Luna</v>
      </c>
      <c r="C21" s="456"/>
      <c r="D21" s="456"/>
      <c r="E21" s="456"/>
      <c r="F21" s="456"/>
      <c r="G21" s="457"/>
      <c r="H21" s="173">
        <v>8</v>
      </c>
      <c r="I21" s="174">
        <v>24</v>
      </c>
      <c r="J21" s="174">
        <v>24</v>
      </c>
      <c r="K21" s="174">
        <v>16</v>
      </c>
      <c r="L21" s="175"/>
      <c r="M21" s="175"/>
      <c r="N21" s="175"/>
      <c r="O21" s="19">
        <f t="shared" si="0"/>
        <v>72</v>
      </c>
      <c r="P21" s="173">
        <v>10</v>
      </c>
      <c r="Q21" s="174">
        <v>20</v>
      </c>
      <c r="R21" s="174">
        <v>0</v>
      </c>
      <c r="S21" s="174">
        <v>5</v>
      </c>
      <c r="T21" s="174">
        <v>5</v>
      </c>
      <c r="U21" s="174"/>
      <c r="V21" s="174"/>
      <c r="W21" s="19">
        <f t="shared" si="1"/>
        <v>40</v>
      </c>
      <c r="X21" s="189"/>
      <c r="Y21" s="189"/>
      <c r="Z21" s="189"/>
      <c r="AA21" s="189"/>
      <c r="AB21" s="189"/>
      <c r="AC21" s="189"/>
      <c r="AD21" s="189"/>
      <c r="AE21" s="19" t="str">
        <f t="shared" si="2"/>
        <v/>
      </c>
    </row>
    <row r="22" spans="1:36" x14ac:dyDescent="0.25">
      <c r="A22" s="160">
        <f>IF('Avaliação Períodos'!A23=0,"",'Avaliação Períodos'!A23)</f>
        <v>15</v>
      </c>
      <c r="B22" s="458" t="str">
        <f>IF('Avaliação Períodos'!B23=0,"",'Avaliação Períodos'!B23)</f>
        <v>Mariana</v>
      </c>
      <c r="C22" s="459"/>
      <c r="D22" s="459"/>
      <c r="E22" s="459"/>
      <c r="F22" s="459"/>
      <c r="G22" s="460"/>
      <c r="H22" s="177">
        <v>12</v>
      </c>
      <c r="I22" s="171">
        <v>16</v>
      </c>
      <c r="J22" s="171">
        <v>16</v>
      </c>
      <c r="K22" s="171">
        <v>24</v>
      </c>
      <c r="L22" s="172"/>
      <c r="M22" s="172"/>
      <c r="N22" s="172"/>
      <c r="O22" s="19">
        <f t="shared" si="0"/>
        <v>68</v>
      </c>
      <c r="P22" s="177">
        <v>0</v>
      </c>
      <c r="Q22" s="171">
        <v>15</v>
      </c>
      <c r="R22" s="171">
        <v>15</v>
      </c>
      <c r="S22" s="171">
        <v>10</v>
      </c>
      <c r="T22" s="171">
        <v>0</v>
      </c>
      <c r="U22" s="171"/>
      <c r="V22" s="171"/>
      <c r="W22" s="19">
        <f t="shared" si="1"/>
        <v>40</v>
      </c>
      <c r="X22" s="190"/>
      <c r="Y22" s="190"/>
      <c r="Z22" s="190"/>
      <c r="AA22" s="190"/>
      <c r="AB22" s="190"/>
      <c r="AC22" s="190"/>
      <c r="AD22" s="190"/>
      <c r="AE22" s="19" t="str">
        <f t="shared" si="2"/>
        <v/>
      </c>
    </row>
    <row r="23" spans="1:36" x14ac:dyDescent="0.25">
      <c r="A23" s="161">
        <f>IF('Avaliação Períodos'!A24=0,"",'Avaliação Períodos'!A24)</f>
        <v>16</v>
      </c>
      <c r="B23" s="455" t="str">
        <f>IF('Avaliação Períodos'!B24=0,"",'Avaliação Períodos'!B24)</f>
        <v>Martim</v>
      </c>
      <c r="C23" s="456"/>
      <c r="D23" s="456"/>
      <c r="E23" s="456"/>
      <c r="F23" s="456"/>
      <c r="G23" s="457"/>
      <c r="H23" s="173">
        <v>12</v>
      </c>
      <c r="I23" s="174">
        <v>32</v>
      </c>
      <c r="J23" s="174">
        <v>16</v>
      </c>
      <c r="K23" s="174">
        <v>24</v>
      </c>
      <c r="L23" s="175"/>
      <c r="M23" s="175"/>
      <c r="N23" s="175"/>
      <c r="O23" s="19">
        <f t="shared" si="0"/>
        <v>84</v>
      </c>
      <c r="P23" s="173">
        <v>20</v>
      </c>
      <c r="Q23" s="174">
        <v>15</v>
      </c>
      <c r="R23" s="174">
        <v>15</v>
      </c>
      <c r="S23" s="174">
        <v>15</v>
      </c>
      <c r="T23" s="174">
        <v>20</v>
      </c>
      <c r="U23" s="174"/>
      <c r="V23" s="174"/>
      <c r="W23" s="19">
        <f t="shared" si="1"/>
        <v>85</v>
      </c>
      <c r="X23" s="189"/>
      <c r="Y23" s="189"/>
      <c r="Z23" s="189"/>
      <c r="AA23" s="189"/>
      <c r="AB23" s="189"/>
      <c r="AC23" s="189"/>
      <c r="AD23" s="189"/>
      <c r="AE23" s="19" t="str">
        <f t="shared" si="2"/>
        <v/>
      </c>
    </row>
    <row r="24" spans="1:36" x14ac:dyDescent="0.25">
      <c r="A24" s="160">
        <f>IF('Avaliação Períodos'!A25=0,"",'Avaliação Períodos'!A25)</f>
        <v>17</v>
      </c>
      <c r="B24" s="458" t="str">
        <f>IF('Avaliação Períodos'!B25=0,"",'Avaliação Períodos'!B25)</f>
        <v>Matilde</v>
      </c>
      <c r="C24" s="459"/>
      <c r="D24" s="459"/>
      <c r="E24" s="459"/>
      <c r="F24" s="459"/>
      <c r="G24" s="460"/>
      <c r="H24" s="177">
        <v>8</v>
      </c>
      <c r="I24" s="171">
        <v>24</v>
      </c>
      <c r="J24" s="171">
        <v>0</v>
      </c>
      <c r="K24" s="171">
        <v>0</v>
      </c>
      <c r="L24" s="172"/>
      <c r="M24" s="172"/>
      <c r="N24" s="172"/>
      <c r="O24" s="19">
        <f t="shared" si="0"/>
        <v>32</v>
      </c>
      <c r="P24" s="177">
        <v>10</v>
      </c>
      <c r="Q24" s="171">
        <v>0</v>
      </c>
      <c r="R24" s="171">
        <v>0</v>
      </c>
      <c r="S24" s="171">
        <v>0</v>
      </c>
      <c r="T24" s="171">
        <v>0</v>
      </c>
      <c r="U24" s="171"/>
      <c r="V24" s="171"/>
      <c r="W24" s="19">
        <f t="shared" si="1"/>
        <v>10</v>
      </c>
      <c r="X24" s="190"/>
      <c r="Y24" s="190"/>
      <c r="Z24" s="190"/>
      <c r="AA24" s="190"/>
      <c r="AB24" s="190"/>
      <c r="AC24" s="190"/>
      <c r="AD24" s="190"/>
      <c r="AE24" s="19" t="str">
        <f t="shared" si="2"/>
        <v/>
      </c>
    </row>
    <row r="25" spans="1:36" x14ac:dyDescent="0.25">
      <c r="A25" s="161">
        <f>IF('Avaliação Períodos'!A26=0,"",'Avaliação Períodos'!A26)</f>
        <v>18</v>
      </c>
      <c r="B25" s="455" t="str">
        <f>IF('Avaliação Períodos'!B26=0,"",'Avaliação Períodos'!B26)</f>
        <v>Rúben</v>
      </c>
      <c r="C25" s="456"/>
      <c r="D25" s="456"/>
      <c r="E25" s="456"/>
      <c r="F25" s="456"/>
      <c r="G25" s="457"/>
      <c r="H25" s="173">
        <v>12</v>
      </c>
      <c r="I25" s="174">
        <v>16</v>
      </c>
      <c r="J25" s="174">
        <v>16</v>
      </c>
      <c r="K25" s="174">
        <v>24</v>
      </c>
      <c r="L25" s="175"/>
      <c r="M25" s="175"/>
      <c r="N25" s="175"/>
      <c r="O25" s="19">
        <f t="shared" si="0"/>
        <v>68</v>
      </c>
      <c r="P25" s="173">
        <v>10</v>
      </c>
      <c r="Q25" s="174">
        <v>15</v>
      </c>
      <c r="R25" s="174">
        <v>0</v>
      </c>
      <c r="S25" s="174">
        <v>0</v>
      </c>
      <c r="T25" s="174">
        <v>0</v>
      </c>
      <c r="U25" s="174"/>
      <c r="V25" s="174"/>
      <c r="W25" s="19">
        <f t="shared" si="1"/>
        <v>25</v>
      </c>
      <c r="X25" s="189"/>
      <c r="Y25" s="189"/>
      <c r="Z25" s="189"/>
      <c r="AA25" s="189"/>
      <c r="AB25" s="189"/>
      <c r="AC25" s="189"/>
      <c r="AD25" s="189"/>
      <c r="AE25" s="19" t="str">
        <f t="shared" si="2"/>
        <v/>
      </c>
    </row>
    <row r="26" spans="1:36" x14ac:dyDescent="0.25">
      <c r="A26" s="160">
        <f>IF('Avaliação Períodos'!A27=0,"",'Avaliação Períodos'!A27)</f>
        <v>19</v>
      </c>
      <c r="B26" s="458" t="str">
        <f>IF('Avaliação Períodos'!B27=0,"",'Avaliação Períodos'!B27)</f>
        <v>Samanta</v>
      </c>
      <c r="C26" s="459"/>
      <c r="D26" s="459"/>
      <c r="E26" s="459"/>
      <c r="F26" s="459"/>
      <c r="G26" s="460"/>
      <c r="H26" s="177">
        <v>12</v>
      </c>
      <c r="I26" s="171">
        <v>32</v>
      </c>
      <c r="J26" s="171">
        <v>16</v>
      </c>
      <c r="K26" s="171">
        <v>24</v>
      </c>
      <c r="L26" s="172"/>
      <c r="M26" s="172"/>
      <c r="N26" s="172"/>
      <c r="O26" s="19">
        <f t="shared" si="0"/>
        <v>84</v>
      </c>
      <c r="P26" s="177">
        <v>10</v>
      </c>
      <c r="Q26" s="171">
        <v>15</v>
      </c>
      <c r="R26" s="171">
        <v>15</v>
      </c>
      <c r="S26" s="171">
        <v>15</v>
      </c>
      <c r="T26" s="171">
        <v>0</v>
      </c>
      <c r="U26" s="171"/>
      <c r="V26" s="171"/>
      <c r="W26" s="19">
        <f t="shared" si="1"/>
        <v>55</v>
      </c>
      <c r="X26" s="190"/>
      <c r="Y26" s="190"/>
      <c r="Z26" s="190"/>
      <c r="AA26" s="190"/>
      <c r="AB26" s="190"/>
      <c r="AC26" s="190"/>
      <c r="AD26" s="190"/>
      <c r="AE26" s="19" t="str">
        <f t="shared" si="2"/>
        <v/>
      </c>
    </row>
    <row r="27" spans="1:36" x14ac:dyDescent="0.25">
      <c r="A27" s="161">
        <f>IF('Avaliação Períodos'!A28=0,"",'Avaliação Períodos'!A28)</f>
        <v>20</v>
      </c>
      <c r="B27" s="455" t="str">
        <f>IF('Avaliação Períodos'!B28=0,"",'Avaliação Períodos'!B28)</f>
        <v>Samuel</v>
      </c>
      <c r="C27" s="456"/>
      <c r="D27" s="456"/>
      <c r="E27" s="456"/>
      <c r="F27" s="456"/>
      <c r="G27" s="457"/>
      <c r="H27" s="173">
        <v>12</v>
      </c>
      <c r="I27" s="174">
        <v>32</v>
      </c>
      <c r="J27" s="174">
        <v>16</v>
      </c>
      <c r="K27" s="174">
        <v>24</v>
      </c>
      <c r="L27" s="175"/>
      <c r="M27" s="175"/>
      <c r="N27" s="175"/>
      <c r="O27" s="19">
        <f t="shared" si="0"/>
        <v>84</v>
      </c>
      <c r="P27" s="173">
        <v>10</v>
      </c>
      <c r="Q27" s="174">
        <v>5</v>
      </c>
      <c r="R27" s="174">
        <v>15</v>
      </c>
      <c r="S27" s="174">
        <v>5</v>
      </c>
      <c r="T27" s="174">
        <v>10</v>
      </c>
      <c r="U27" s="174"/>
      <c r="V27" s="174"/>
      <c r="W27" s="19">
        <f t="shared" si="1"/>
        <v>45</v>
      </c>
      <c r="X27" s="189"/>
      <c r="Y27" s="189"/>
      <c r="Z27" s="189"/>
      <c r="AA27" s="189"/>
      <c r="AB27" s="189"/>
      <c r="AC27" s="189"/>
      <c r="AD27" s="189"/>
      <c r="AE27" s="19" t="str">
        <f t="shared" si="2"/>
        <v/>
      </c>
    </row>
    <row r="28" spans="1:36" x14ac:dyDescent="0.25">
      <c r="A28" s="160">
        <f>IF('Avaliação Períodos'!A29=0,"",'Avaliação Períodos'!A29)</f>
        <v>21</v>
      </c>
      <c r="B28" s="458" t="str">
        <f>IF('Avaliação Períodos'!B29=0,"",'Avaliação Períodos'!B29)</f>
        <v xml:space="preserve"> Sara Ferreira Gonç</v>
      </c>
      <c r="C28" s="459"/>
      <c r="D28" s="459"/>
      <c r="E28" s="459"/>
      <c r="F28" s="459"/>
      <c r="G28" s="460"/>
      <c r="H28" s="177">
        <v>12</v>
      </c>
      <c r="I28" s="171">
        <v>40</v>
      </c>
      <c r="J28" s="171">
        <v>24</v>
      </c>
      <c r="K28" s="171">
        <v>24</v>
      </c>
      <c r="L28" s="172"/>
      <c r="M28" s="172"/>
      <c r="N28" s="172"/>
      <c r="O28" s="19">
        <f t="shared" si="0"/>
        <v>100</v>
      </c>
      <c r="P28" s="177">
        <v>15</v>
      </c>
      <c r="Q28" s="171">
        <v>15</v>
      </c>
      <c r="R28" s="171">
        <v>20</v>
      </c>
      <c r="S28" s="171">
        <v>10</v>
      </c>
      <c r="T28" s="171">
        <v>10</v>
      </c>
      <c r="U28" s="171"/>
      <c r="V28" s="171"/>
      <c r="W28" s="19">
        <f t="shared" si="1"/>
        <v>70</v>
      </c>
      <c r="X28" s="190"/>
      <c r="Y28" s="190"/>
      <c r="Z28" s="190"/>
      <c r="AA28" s="190"/>
      <c r="AB28" s="190"/>
      <c r="AC28" s="190"/>
      <c r="AD28" s="190"/>
      <c r="AE28" s="19" t="str">
        <f t="shared" si="2"/>
        <v/>
      </c>
    </row>
    <row r="29" spans="1:36" x14ac:dyDescent="0.25">
      <c r="A29" s="161">
        <f>IF('Avaliação Períodos'!A30=0,"",'Avaliação Períodos'!A30)</f>
        <v>22</v>
      </c>
      <c r="B29" s="455" t="str">
        <f>IF('Avaliação Períodos'!B30=0,"",'Avaliação Períodos'!B30)</f>
        <v xml:space="preserve">Sara Gomes </v>
      </c>
      <c r="C29" s="456"/>
      <c r="D29" s="456"/>
      <c r="E29" s="456"/>
      <c r="F29" s="456"/>
      <c r="G29" s="457"/>
      <c r="H29" s="178">
        <v>12</v>
      </c>
      <c r="I29" s="179">
        <v>32</v>
      </c>
      <c r="J29" s="179">
        <v>24</v>
      </c>
      <c r="K29" s="179">
        <v>0</v>
      </c>
      <c r="L29" s="180"/>
      <c r="M29" s="180"/>
      <c r="N29" s="180"/>
      <c r="O29" s="19">
        <f t="shared" si="0"/>
        <v>68</v>
      </c>
      <c r="P29" s="178">
        <v>5</v>
      </c>
      <c r="Q29" s="179">
        <v>0</v>
      </c>
      <c r="R29" s="179">
        <v>20</v>
      </c>
      <c r="S29" s="179">
        <v>5</v>
      </c>
      <c r="T29" s="179">
        <v>0</v>
      </c>
      <c r="U29" s="179"/>
      <c r="V29" s="179"/>
      <c r="W29" s="19">
        <f t="shared" si="1"/>
        <v>30</v>
      </c>
      <c r="X29" s="191"/>
      <c r="Y29" s="191"/>
      <c r="Z29" s="191"/>
      <c r="AA29" s="191"/>
      <c r="AB29" s="191"/>
      <c r="AC29" s="191"/>
      <c r="AD29" s="191"/>
      <c r="AE29" s="19" t="str">
        <f t="shared" si="2"/>
        <v/>
      </c>
      <c r="AJ29" s="113"/>
    </row>
    <row r="30" spans="1:36" x14ac:dyDescent="0.25">
      <c r="A30" s="160">
        <f>IF('Avaliação Períodos'!A31=0,"",'Avaliação Períodos'!A31)</f>
        <v>23</v>
      </c>
      <c r="B30" s="458" t="str">
        <f>IF('Avaliação Períodos'!B31=0,"",'Avaliação Períodos'!B31)</f>
        <v>Simão Mendes</v>
      </c>
      <c r="C30" s="459"/>
      <c r="D30" s="459"/>
      <c r="E30" s="459"/>
      <c r="F30" s="459"/>
      <c r="G30" s="460"/>
      <c r="H30" s="177">
        <v>4</v>
      </c>
      <c r="I30" s="171">
        <v>24</v>
      </c>
      <c r="J30" s="171">
        <v>24</v>
      </c>
      <c r="K30" s="171">
        <v>8</v>
      </c>
      <c r="L30" s="172"/>
      <c r="M30" s="172"/>
      <c r="N30" s="172"/>
      <c r="O30" s="19">
        <f t="shared" si="0"/>
        <v>60</v>
      </c>
      <c r="P30" s="177">
        <v>10</v>
      </c>
      <c r="Q30" s="171">
        <v>10</v>
      </c>
      <c r="R30" s="171">
        <v>15</v>
      </c>
      <c r="S30" s="171">
        <v>5</v>
      </c>
      <c r="T30" s="171">
        <v>0</v>
      </c>
      <c r="U30" s="171"/>
      <c r="V30" s="171"/>
      <c r="W30" s="19">
        <f t="shared" si="1"/>
        <v>40</v>
      </c>
      <c r="X30" s="190"/>
      <c r="Y30" s="190"/>
      <c r="Z30" s="190"/>
      <c r="AA30" s="190"/>
      <c r="AB30" s="190"/>
      <c r="AC30" s="190"/>
      <c r="AD30" s="190"/>
      <c r="AE30" s="19" t="str">
        <f t="shared" si="2"/>
        <v/>
      </c>
    </row>
    <row r="31" spans="1:36" x14ac:dyDescent="0.25">
      <c r="A31" s="161">
        <f>IF('Avaliação Períodos'!A32=0,"",'Avaliação Períodos'!A32)</f>
        <v>24</v>
      </c>
      <c r="B31" s="455" t="str">
        <f>IF('Avaliação Períodos'!B32=0,"",'Avaliação Períodos'!B32)</f>
        <v>Simão Pedosa</v>
      </c>
      <c r="C31" s="456"/>
      <c r="D31" s="456"/>
      <c r="E31" s="456"/>
      <c r="F31" s="456"/>
      <c r="G31" s="457"/>
      <c r="H31" s="173">
        <v>12</v>
      </c>
      <c r="I31" s="174">
        <v>8</v>
      </c>
      <c r="J31" s="174">
        <v>8</v>
      </c>
      <c r="K31" s="174">
        <v>8</v>
      </c>
      <c r="L31" s="175"/>
      <c r="M31" s="175"/>
      <c r="N31" s="175"/>
      <c r="O31" s="19">
        <f t="shared" si="0"/>
        <v>36</v>
      </c>
      <c r="P31" s="173">
        <v>0</v>
      </c>
      <c r="Q31" s="174">
        <v>15</v>
      </c>
      <c r="R31" s="174">
        <v>10</v>
      </c>
      <c r="S31" s="174">
        <v>10</v>
      </c>
      <c r="T31" s="174">
        <v>0</v>
      </c>
      <c r="U31" s="174"/>
      <c r="V31" s="174"/>
      <c r="W31" s="19">
        <f t="shared" si="1"/>
        <v>35</v>
      </c>
      <c r="X31" s="189"/>
      <c r="Y31" s="189"/>
      <c r="Z31" s="189"/>
      <c r="AA31" s="189"/>
      <c r="AB31" s="189"/>
      <c r="AC31" s="189"/>
      <c r="AD31" s="189"/>
      <c r="AE31" s="19" t="str">
        <f t="shared" si="2"/>
        <v/>
      </c>
    </row>
    <row r="32" spans="1:36" x14ac:dyDescent="0.25">
      <c r="A32" s="160">
        <f>IF('Avaliação Períodos'!A33=0,"",'Avaliação Períodos'!A33)</f>
        <v>25</v>
      </c>
      <c r="B32" s="458" t="str">
        <f>IF('Avaliação Períodos'!B33=0,"",'Avaliação Períodos'!B33)</f>
        <v>Sofia</v>
      </c>
      <c r="C32" s="459"/>
      <c r="D32" s="459"/>
      <c r="E32" s="459"/>
      <c r="F32" s="459"/>
      <c r="G32" s="460"/>
      <c r="H32" s="177">
        <v>12</v>
      </c>
      <c r="I32" s="171">
        <v>40</v>
      </c>
      <c r="J32" s="171">
        <v>16</v>
      </c>
      <c r="K32" s="171">
        <v>24</v>
      </c>
      <c r="L32" s="172"/>
      <c r="M32" s="172"/>
      <c r="N32" s="172"/>
      <c r="O32" s="19">
        <f t="shared" si="0"/>
        <v>92</v>
      </c>
      <c r="P32" s="177">
        <v>20</v>
      </c>
      <c r="Q32" s="171">
        <v>20</v>
      </c>
      <c r="R32" s="171">
        <v>20</v>
      </c>
      <c r="S32" s="171">
        <v>20</v>
      </c>
      <c r="T32" s="171">
        <v>5</v>
      </c>
      <c r="U32" s="171"/>
      <c r="V32" s="171"/>
      <c r="W32" s="19">
        <f t="shared" si="1"/>
        <v>85</v>
      </c>
      <c r="X32" s="190"/>
      <c r="Y32" s="190"/>
      <c r="Z32" s="190"/>
      <c r="AA32" s="190"/>
      <c r="AB32" s="190"/>
      <c r="AC32" s="190"/>
      <c r="AD32" s="190"/>
      <c r="AE32" s="19" t="str">
        <f t="shared" si="2"/>
        <v/>
      </c>
    </row>
    <row r="33" spans="1:31" x14ac:dyDescent="0.25">
      <c r="A33" s="161">
        <f>IF('Avaliação Períodos'!A34=0,"",'Avaliação Períodos'!A34)</f>
        <v>26</v>
      </c>
      <c r="B33" s="455" t="str">
        <f>IF('Avaliação Períodos'!B34=0,"",'Avaliação Períodos'!B34)</f>
        <v>Tomás</v>
      </c>
      <c r="C33" s="456"/>
      <c r="D33" s="456"/>
      <c r="E33" s="456"/>
      <c r="F33" s="456"/>
      <c r="G33" s="457"/>
      <c r="H33" s="173">
        <v>12</v>
      </c>
      <c r="I33" s="174">
        <v>32</v>
      </c>
      <c r="J33" s="174">
        <v>24</v>
      </c>
      <c r="K33" s="174">
        <v>24</v>
      </c>
      <c r="L33" s="175"/>
      <c r="M33" s="175"/>
      <c r="N33" s="175"/>
      <c r="O33" s="19">
        <f t="shared" si="0"/>
        <v>92</v>
      </c>
      <c r="P33" s="173">
        <v>10</v>
      </c>
      <c r="Q33" s="174">
        <v>15</v>
      </c>
      <c r="R33" s="174">
        <v>15</v>
      </c>
      <c r="S33" s="174">
        <v>20</v>
      </c>
      <c r="T33" s="174">
        <v>5</v>
      </c>
      <c r="U33" s="174"/>
      <c r="V33" s="174"/>
      <c r="W33" s="19">
        <f t="shared" si="1"/>
        <v>65</v>
      </c>
      <c r="X33" s="189"/>
      <c r="Y33" s="189"/>
      <c r="Z33" s="189"/>
      <c r="AA33" s="189"/>
      <c r="AB33" s="189"/>
      <c r="AC33" s="189"/>
      <c r="AD33" s="189"/>
      <c r="AE33" s="19" t="str">
        <f t="shared" si="2"/>
        <v/>
      </c>
    </row>
    <row r="34" spans="1:31" x14ac:dyDescent="0.25">
      <c r="A34" s="160">
        <f>IF('Avaliação Períodos'!A35=0,"",'Avaliação Períodos'!A35)</f>
        <v>27</v>
      </c>
      <c r="B34" s="458" t="str">
        <f>IF('Avaliação Períodos'!B35=0,"",'Avaliação Períodos'!B35)</f>
        <v/>
      </c>
      <c r="C34" s="459"/>
      <c r="D34" s="459"/>
      <c r="E34" s="459"/>
      <c r="F34" s="459"/>
      <c r="G34" s="460"/>
      <c r="H34" s="177"/>
      <c r="I34" s="171"/>
      <c r="J34" s="171"/>
      <c r="K34" s="171"/>
      <c r="L34" s="172"/>
      <c r="M34" s="172"/>
      <c r="N34" s="172"/>
      <c r="O34" s="19" t="str">
        <f t="shared" si="0"/>
        <v/>
      </c>
      <c r="P34" s="177"/>
      <c r="Q34" s="171"/>
      <c r="R34" s="171"/>
      <c r="S34" s="171"/>
      <c r="T34" s="171"/>
      <c r="U34" s="171"/>
      <c r="V34" s="171"/>
      <c r="W34" s="19" t="str">
        <f t="shared" si="1"/>
        <v/>
      </c>
      <c r="X34" s="190"/>
      <c r="Y34" s="190"/>
      <c r="Z34" s="190"/>
      <c r="AA34" s="190"/>
      <c r="AB34" s="190"/>
      <c r="AC34" s="190"/>
      <c r="AD34" s="190"/>
      <c r="AE34" s="19" t="str">
        <f t="shared" si="2"/>
        <v/>
      </c>
    </row>
    <row r="35" spans="1:31" x14ac:dyDescent="0.25">
      <c r="A35" s="161">
        <f>IF('Avaliação Períodos'!A36=0,"",'Avaliação Períodos'!A36)</f>
        <v>28</v>
      </c>
      <c r="B35" s="455" t="str">
        <f>IF('Avaliação Períodos'!B36=0,"",'Avaliação Períodos'!B36)</f>
        <v xml:space="preserve"> </v>
      </c>
      <c r="C35" s="456"/>
      <c r="D35" s="456"/>
      <c r="E35" s="456"/>
      <c r="F35" s="456"/>
      <c r="G35" s="457"/>
      <c r="H35" s="173"/>
      <c r="I35" s="174"/>
      <c r="J35" s="174"/>
      <c r="K35" s="174"/>
      <c r="L35" s="175"/>
      <c r="M35" s="175"/>
      <c r="N35" s="175"/>
      <c r="O35" s="19" t="str">
        <f t="shared" si="0"/>
        <v/>
      </c>
      <c r="P35" s="173"/>
      <c r="Q35" s="174"/>
      <c r="R35" s="174"/>
      <c r="S35" s="174"/>
      <c r="T35" s="174"/>
      <c r="U35" s="174"/>
      <c r="V35" s="174"/>
      <c r="W35" s="19" t="str">
        <f t="shared" si="1"/>
        <v/>
      </c>
      <c r="X35" s="189"/>
      <c r="Y35" s="189"/>
      <c r="Z35" s="189"/>
      <c r="AA35" s="189"/>
      <c r="AB35" s="189"/>
      <c r="AC35" s="189"/>
      <c r="AD35" s="189"/>
      <c r="AE35" s="19" t="str">
        <f t="shared" si="2"/>
        <v/>
      </c>
    </row>
    <row r="36" spans="1:31" x14ac:dyDescent="0.25">
      <c r="A36" s="162">
        <f>IF('Avaliação Períodos'!A37=0,"",'Avaliação Períodos'!A37)</f>
        <v>29</v>
      </c>
      <c r="B36" s="458" t="str">
        <f>IF('Avaliação Períodos'!B37=0,"",'Avaliação Períodos'!B37)</f>
        <v/>
      </c>
      <c r="C36" s="459"/>
      <c r="D36" s="459"/>
      <c r="E36" s="459"/>
      <c r="F36" s="459"/>
      <c r="G36" s="460"/>
      <c r="H36" s="181"/>
      <c r="I36" s="182"/>
      <c r="J36" s="182"/>
      <c r="K36" s="182"/>
      <c r="L36" s="182"/>
      <c r="M36" s="198"/>
      <c r="N36" s="183"/>
      <c r="O36" s="19" t="str">
        <f t="shared" si="0"/>
        <v/>
      </c>
      <c r="P36" s="181"/>
      <c r="Q36" s="182"/>
      <c r="R36" s="182"/>
      <c r="S36" s="182"/>
      <c r="T36" s="182"/>
      <c r="U36" s="182"/>
      <c r="V36" s="182"/>
      <c r="W36" s="19" t="str">
        <f t="shared" si="1"/>
        <v/>
      </c>
      <c r="X36" s="192"/>
      <c r="Y36" s="192"/>
      <c r="Z36" s="192"/>
      <c r="AA36" s="192"/>
      <c r="AB36" s="192"/>
      <c r="AC36" s="192"/>
      <c r="AD36" s="192"/>
      <c r="AE36" s="19" t="str">
        <f t="shared" si="2"/>
        <v/>
      </c>
    </row>
    <row r="37" spans="1:31" x14ac:dyDescent="0.25">
      <c r="A37" s="163">
        <f>IF('Avaliação Períodos'!A38=0,"",'Avaliação Períodos'!A38)</f>
        <v>30</v>
      </c>
      <c r="B37" s="455" t="str">
        <f>IF('Avaliação Períodos'!B38=0,"",'Avaliação Períodos'!B38)</f>
        <v xml:space="preserve"> </v>
      </c>
      <c r="C37" s="456"/>
      <c r="D37" s="456"/>
      <c r="E37" s="456"/>
      <c r="F37" s="456"/>
      <c r="G37" s="457"/>
      <c r="H37" s="199"/>
      <c r="I37" s="194"/>
      <c r="J37" s="194"/>
      <c r="K37" s="194"/>
      <c r="L37" s="194"/>
      <c r="M37" s="200"/>
      <c r="N37" s="200"/>
      <c r="O37" s="19" t="str">
        <f t="shared" si="0"/>
        <v/>
      </c>
      <c r="P37" s="199"/>
      <c r="Q37" s="194"/>
      <c r="R37" s="194"/>
      <c r="S37" s="194"/>
      <c r="T37" s="194"/>
      <c r="U37" s="194"/>
      <c r="V37" s="194"/>
      <c r="W37" s="19" t="str">
        <f t="shared" si="1"/>
        <v/>
      </c>
      <c r="X37" s="193"/>
      <c r="Y37" s="193"/>
      <c r="Z37" s="193"/>
      <c r="AA37" s="193"/>
      <c r="AB37" s="193"/>
      <c r="AC37" s="193"/>
      <c r="AD37" s="193"/>
      <c r="AE37" s="19" t="str">
        <f t="shared" si="2"/>
        <v/>
      </c>
    </row>
    <row r="38" spans="1:31" x14ac:dyDescent="0.25">
      <c r="A38" s="2"/>
      <c r="B38" s="2"/>
      <c r="C38" s="2"/>
      <c r="D38" s="2"/>
      <c r="E38" s="2"/>
      <c r="F38" s="2"/>
      <c r="G38" s="2"/>
      <c r="I38" s="446" t="s">
        <v>65</v>
      </c>
      <c r="J38" s="447"/>
      <c r="K38" s="447"/>
      <c r="L38" s="447"/>
      <c r="M38" s="447"/>
      <c r="N38" s="448"/>
      <c r="O38" s="195">
        <f>IF(COUNT(O8:O37)=0,"",AVERAGE(O8:O37))</f>
        <v>69.538461538461533</v>
      </c>
      <c r="Q38" s="446" t="s">
        <v>65</v>
      </c>
      <c r="R38" s="447"/>
      <c r="S38" s="447"/>
      <c r="T38" s="447"/>
      <c r="U38" s="447"/>
      <c r="V38" s="448"/>
      <c r="W38" s="195">
        <f>IF(COUNT(W8:W37)=0,"",AVERAGE(W8:W37))</f>
        <v>46.153846153846153</v>
      </c>
      <c r="X38" s="109"/>
      <c r="Y38" s="53" t="s">
        <v>65</v>
      </c>
      <c r="Z38" s="54"/>
      <c r="AA38" s="54"/>
      <c r="AB38" s="54"/>
      <c r="AC38" s="54"/>
      <c r="AD38" s="55"/>
      <c r="AE38" s="195" t="str">
        <f>IF(COUNTBLANK(AE8:AE37)=30,"",AVERAGE(AE8:AE37))</f>
        <v/>
      </c>
    </row>
    <row r="39" spans="1:31" x14ac:dyDescent="0.25">
      <c r="A39" s="2"/>
      <c r="B39" s="2"/>
      <c r="C39" s="2"/>
      <c r="D39" s="2"/>
      <c r="E39" s="2"/>
      <c r="F39" s="2"/>
      <c r="G39" s="2"/>
      <c r="I39" s="446" t="s">
        <v>66</v>
      </c>
      <c r="J39" s="447"/>
      <c r="K39" s="447"/>
      <c r="L39" s="447"/>
      <c r="M39" s="447"/>
      <c r="N39" s="448"/>
      <c r="O39" s="196">
        <f>COUNTIF(O8:O37,"&lt;50")</f>
        <v>3</v>
      </c>
      <c r="Q39" s="446" t="s">
        <v>66</v>
      </c>
      <c r="R39" s="447"/>
      <c r="S39" s="447"/>
      <c r="T39" s="447"/>
      <c r="U39" s="447"/>
      <c r="V39" s="448"/>
      <c r="W39" s="196">
        <f>COUNTIF(W8:W37,"&lt;50")</f>
        <v>16</v>
      </c>
      <c r="Y39" s="53" t="s">
        <v>66</v>
      </c>
      <c r="Z39" s="54"/>
      <c r="AA39" s="54"/>
      <c r="AB39" s="54"/>
      <c r="AC39" s="54"/>
      <c r="AD39" s="55"/>
      <c r="AE39" s="196">
        <f>COUNTIF(AE8:AE37,"&lt;50")</f>
        <v>0</v>
      </c>
    </row>
    <row r="40" spans="1:31" x14ac:dyDescent="0.25">
      <c r="A40" s="2"/>
      <c r="B40" s="2"/>
      <c r="C40" s="2"/>
      <c r="D40" s="2"/>
      <c r="E40" s="2"/>
      <c r="F40" s="2"/>
      <c r="G40" s="2"/>
      <c r="I40" s="446" t="s">
        <v>67</v>
      </c>
      <c r="J40" s="447"/>
      <c r="K40" s="447"/>
      <c r="L40" s="447"/>
      <c r="M40" s="447"/>
      <c r="N40" s="448"/>
      <c r="O40" s="197">
        <f>IF(COUNT(O8:O37)=0,"",$O39/(COUNT(O8:O37))*100)</f>
        <v>11.538461538461538</v>
      </c>
      <c r="Q40" s="446" t="s">
        <v>67</v>
      </c>
      <c r="R40" s="447"/>
      <c r="S40" s="447"/>
      <c r="T40" s="447"/>
      <c r="U40" s="447"/>
      <c r="V40" s="448"/>
      <c r="W40" s="197">
        <f>IF(COUNT(W8:W37)=0,"",$W39/(COUNT(W8:W37))*100)</f>
        <v>61.53846153846154</v>
      </c>
      <c r="Y40" s="53" t="s">
        <v>67</v>
      </c>
      <c r="Z40" s="54"/>
      <c r="AA40" s="54"/>
      <c r="AB40" s="54"/>
      <c r="AC40" s="54"/>
      <c r="AD40" s="55"/>
      <c r="AE40" s="197" t="str">
        <f>IF(COUNT(AE8:AE37)=0,"",$AE39/(COUNT(AE8:AE37))*100)</f>
        <v/>
      </c>
    </row>
  </sheetData>
  <sheetProtection algorithmName="SHA-512" hashValue="by6VcC0mbmnlMfaP1Ud/CnwH/rorwuLUJMgNTjNJ/RL9U61m6TmAxyZHLOYFGXC93gnRIxmA1kngaknC1lXbQg==" saltValue="qWf7CnwHFo8kaeR28BTbvA==" spinCount="100000" sheet="1" objects="1" scenarios="1"/>
  <mergeCells count="47">
    <mergeCell ref="B37:G37"/>
    <mergeCell ref="Q39:V39"/>
    <mergeCell ref="Q40:V40"/>
    <mergeCell ref="A3:G3"/>
    <mergeCell ref="H3:AE3"/>
    <mergeCell ref="D4:G5"/>
    <mergeCell ref="H4:N5"/>
    <mergeCell ref="O4:O5"/>
    <mergeCell ref="P4:V5"/>
    <mergeCell ref="W4:W5"/>
    <mergeCell ref="X4:AD5"/>
    <mergeCell ref="AE4:AE5"/>
    <mergeCell ref="I38:N38"/>
    <mergeCell ref="I39:N39"/>
    <mergeCell ref="I40:N40"/>
    <mergeCell ref="Q38:V38"/>
    <mergeCell ref="B34:G34"/>
    <mergeCell ref="B35:G35"/>
    <mergeCell ref="B36:G36"/>
    <mergeCell ref="B30:G30"/>
    <mergeCell ref="B31:G31"/>
    <mergeCell ref="B32:G32"/>
    <mergeCell ref="B33:G33"/>
    <mergeCell ref="B22:G22"/>
    <mergeCell ref="B23:G23"/>
    <mergeCell ref="B24:G24"/>
    <mergeCell ref="B25:G25"/>
    <mergeCell ref="B26:G26"/>
    <mergeCell ref="B27:G27"/>
    <mergeCell ref="B21:G21"/>
    <mergeCell ref="B10:G10"/>
    <mergeCell ref="B11:G11"/>
    <mergeCell ref="B12:G12"/>
    <mergeCell ref="B13:G13"/>
    <mergeCell ref="B14:G14"/>
    <mergeCell ref="B15:G15"/>
    <mergeCell ref="B28:G28"/>
    <mergeCell ref="B29:G29"/>
    <mergeCell ref="B6:G6"/>
    <mergeCell ref="B7:G7"/>
    <mergeCell ref="B8:G8"/>
    <mergeCell ref="B9:G9"/>
    <mergeCell ref="B16:G16"/>
    <mergeCell ref="B17:G17"/>
    <mergeCell ref="B18:G18"/>
    <mergeCell ref="B19:G19"/>
    <mergeCell ref="B20:G20"/>
  </mergeCells>
  <dataValidations count="4">
    <dataValidation type="decimal" operator="lessThanOrEqual" allowBlank="1" showInputMessage="1" showErrorMessage="1" errorTitle="ERRO!" error="A pergunta não vale tanto!..." sqref="O8:O37" xr:uid="{00000000-0002-0000-0400-000000000000}">
      <formula1>O$7</formula1>
    </dataValidation>
    <dataValidation type="decimal" operator="lessThanOrEqual" allowBlank="1" showErrorMessage="1" errorTitle="Erro." error="Ultrapassou cotação máxima" sqref="X8:AD37" xr:uid="{00000000-0002-0000-0400-000001000000}">
      <formula1>X$7</formula1>
    </dataValidation>
    <dataValidation type="decimal" operator="lessThanOrEqual" allowBlank="1" showErrorMessage="1" errorTitle="Erro." error="Ultrapassou cotação máxima." sqref="H8:N37 P8:V37" xr:uid="{00000000-0002-0000-0400-000002000000}">
      <formula1>H$7</formula1>
    </dataValidation>
    <dataValidation type="decimal" operator="lessThanOrEqual" allowBlank="1" showInputMessage="1" showErrorMessage="1" sqref="W8:W37 AE8:AE37" xr:uid="{00000000-0002-0000-0400-000003000000}">
      <formula1>W$7</formula1>
    </dataValidation>
  </dataValidation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olha6">
    <pageSetUpPr fitToPage="1"/>
  </sheetPr>
  <dimension ref="A1:AL54"/>
  <sheetViews>
    <sheetView zoomScaleNormal="100" workbookViewId="0">
      <pane xSplit="7" ySplit="7" topLeftCell="H8" activePane="bottomRight" state="frozen"/>
      <selection pane="topRight" activeCell="H1" sqref="H1"/>
      <selection pane="bottomLeft" activeCell="A8" sqref="A8"/>
      <selection pane="bottomRight" activeCell="M8" sqref="M8"/>
    </sheetView>
  </sheetViews>
  <sheetFormatPr defaultRowHeight="15" x14ac:dyDescent="0.25"/>
  <cols>
    <col min="1" max="2" width="9.140625" style="102"/>
    <col min="3" max="3" width="8.5703125" style="102" customWidth="1"/>
    <col min="4" max="4" width="9.140625" style="102" hidden="1" customWidth="1"/>
    <col min="5" max="5" width="0.28515625" style="102" customWidth="1"/>
    <col min="6" max="6" width="9.140625" style="102" hidden="1" customWidth="1"/>
    <col min="7" max="7" width="2.7109375" style="102" customWidth="1"/>
    <col min="8" max="13" width="9.140625" style="102"/>
    <col min="14" max="14" width="13" style="102" customWidth="1"/>
    <col min="15" max="15" width="11.28515625" style="102" customWidth="1"/>
    <col min="16" max="16" width="10" style="102" customWidth="1"/>
    <col min="17" max="20" width="9.140625" style="102"/>
    <col min="21" max="22" width="9.140625" style="102" customWidth="1"/>
    <col min="23" max="23" width="10.85546875" style="102" customWidth="1"/>
    <col min="24" max="24" width="9.140625" style="102" customWidth="1"/>
    <col min="25" max="25" width="9.28515625" style="102" customWidth="1"/>
    <col min="26" max="31" width="9.140625" style="102"/>
    <col min="32" max="32" width="10.5703125" style="102" customWidth="1"/>
    <col min="33" max="33" width="9.140625" style="102"/>
    <col min="34" max="34" width="10.28515625" style="102" customWidth="1"/>
    <col min="35" max="16384" width="9.140625" style="102"/>
  </cols>
  <sheetData>
    <row r="1" spans="1:35" ht="27" x14ac:dyDescent="0.35">
      <c r="A1" s="1" t="s">
        <v>32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108" t="str">
        <f>IF([1]ENTRADA!B5=0,"",[1]ENTRADA!B5)</f>
        <v/>
      </c>
      <c r="AC1" s="3"/>
      <c r="AD1" s="2"/>
      <c r="AE1" s="2"/>
      <c r="AF1" s="2"/>
      <c r="AG1" s="2"/>
      <c r="AH1" s="2"/>
    </row>
    <row r="2" spans="1:35" ht="27" x14ac:dyDescent="0.25">
      <c r="A2" s="6" t="s">
        <v>6</v>
      </c>
      <c r="B2" s="1"/>
      <c r="C2" s="1"/>
      <c r="D2" s="1"/>
      <c r="E2" s="1"/>
      <c r="F2" s="1"/>
      <c r="G2" s="1"/>
      <c r="H2" s="1"/>
      <c r="I2" s="1"/>
      <c r="J2" s="1"/>
      <c r="K2" s="92" t="s">
        <v>83</v>
      </c>
      <c r="L2" s="1"/>
      <c r="M2" s="1"/>
      <c r="N2" s="1"/>
      <c r="O2" s="1"/>
      <c r="P2" s="1"/>
      <c r="Q2" s="1"/>
      <c r="R2" s="1"/>
      <c r="S2" s="1"/>
      <c r="T2" s="92" t="s">
        <v>83</v>
      </c>
      <c r="U2" s="1"/>
      <c r="V2" s="1"/>
      <c r="W2" s="1"/>
      <c r="X2" s="1"/>
      <c r="Y2" s="1"/>
      <c r="Z2" s="7"/>
      <c r="AA2" s="8"/>
      <c r="AB2" s="9"/>
      <c r="AC2" s="93" t="s">
        <v>83</v>
      </c>
      <c r="AD2" s="4"/>
      <c r="AE2" s="4"/>
      <c r="AF2" s="4"/>
      <c r="AG2" s="4"/>
      <c r="AH2" s="10"/>
    </row>
    <row r="3" spans="1:35" ht="20.25" x14ac:dyDescent="0.25">
      <c r="A3" s="481"/>
      <c r="B3" s="482"/>
      <c r="C3" s="482"/>
      <c r="D3" s="482"/>
      <c r="E3" s="482"/>
      <c r="F3" s="482"/>
      <c r="G3" s="511"/>
      <c r="H3" s="515" t="s">
        <v>78</v>
      </c>
      <c r="I3" s="513"/>
      <c r="J3" s="513"/>
      <c r="K3" s="513"/>
      <c r="L3" s="513"/>
      <c r="M3" s="513"/>
      <c r="N3" s="513"/>
      <c r="O3" s="513"/>
      <c r="P3" s="513"/>
      <c r="Q3" s="513"/>
      <c r="R3" s="513"/>
      <c r="S3" s="513"/>
      <c r="T3" s="513"/>
      <c r="U3" s="513"/>
      <c r="V3" s="513"/>
      <c r="W3" s="513"/>
      <c r="X3" s="513"/>
      <c r="Y3" s="513"/>
      <c r="Z3" s="513"/>
      <c r="AA3" s="513"/>
      <c r="AB3" s="513"/>
      <c r="AC3" s="513"/>
      <c r="AD3" s="513"/>
      <c r="AE3" s="513"/>
      <c r="AF3" s="513"/>
      <c r="AG3" s="513"/>
      <c r="AH3" s="513"/>
    </row>
    <row r="4" spans="1:35" x14ac:dyDescent="0.25">
      <c r="A4" s="12"/>
      <c r="B4" s="13"/>
      <c r="C4" s="13"/>
      <c r="D4" s="478"/>
      <c r="E4" s="478"/>
      <c r="F4" s="478"/>
      <c r="G4" s="463"/>
      <c r="H4" s="449" t="s">
        <v>69</v>
      </c>
      <c r="I4" s="450"/>
      <c r="J4" s="450"/>
      <c r="K4" s="450"/>
      <c r="L4" s="450"/>
      <c r="M4" s="450"/>
      <c r="N4" s="450"/>
      <c r="O4" s="451"/>
      <c r="P4" s="466" t="s">
        <v>33</v>
      </c>
      <c r="Q4" s="449" t="s">
        <v>71</v>
      </c>
      <c r="R4" s="450"/>
      <c r="S4" s="450"/>
      <c r="T4" s="450"/>
      <c r="U4" s="450"/>
      <c r="V4" s="450"/>
      <c r="W4" s="450"/>
      <c r="X4" s="451"/>
      <c r="Y4" s="466" t="s">
        <v>33</v>
      </c>
      <c r="Z4" s="449" t="s">
        <v>72</v>
      </c>
      <c r="AA4" s="450"/>
      <c r="AB4" s="450"/>
      <c r="AC4" s="450"/>
      <c r="AD4" s="450"/>
      <c r="AE4" s="450"/>
      <c r="AF4" s="450"/>
      <c r="AG4" s="451"/>
      <c r="AH4" s="466" t="s">
        <v>33</v>
      </c>
    </row>
    <row r="5" spans="1:35" x14ac:dyDescent="0.25">
      <c r="A5" s="12"/>
      <c r="B5" s="13"/>
      <c r="C5" s="13"/>
      <c r="D5" s="478"/>
      <c r="E5" s="478"/>
      <c r="F5" s="478"/>
      <c r="G5" s="463"/>
      <c r="H5" s="452"/>
      <c r="I5" s="453"/>
      <c r="J5" s="453"/>
      <c r="K5" s="453"/>
      <c r="L5" s="453"/>
      <c r="M5" s="453"/>
      <c r="N5" s="453"/>
      <c r="O5" s="454"/>
      <c r="P5" s="468"/>
      <c r="Q5" s="452"/>
      <c r="R5" s="453"/>
      <c r="S5" s="453"/>
      <c r="T5" s="453"/>
      <c r="U5" s="453"/>
      <c r="V5" s="453"/>
      <c r="W5" s="453"/>
      <c r="X5" s="454"/>
      <c r="Y5" s="468"/>
      <c r="Z5" s="452"/>
      <c r="AA5" s="453"/>
      <c r="AB5" s="453"/>
      <c r="AC5" s="453"/>
      <c r="AD5" s="453"/>
      <c r="AE5" s="453"/>
      <c r="AF5" s="453"/>
      <c r="AG5" s="454"/>
      <c r="AH5" s="468"/>
    </row>
    <row r="6" spans="1:35" ht="18" customHeight="1" x14ac:dyDescent="0.25">
      <c r="A6" s="14"/>
      <c r="B6" s="58"/>
      <c r="C6" s="517" t="s">
        <v>36</v>
      </c>
      <c r="D6" s="518"/>
      <c r="E6" s="518"/>
      <c r="F6" s="518"/>
      <c r="G6" s="519"/>
      <c r="H6" s="84" t="s">
        <v>42</v>
      </c>
      <c r="I6" s="85" t="s">
        <v>44</v>
      </c>
      <c r="J6" s="85" t="s">
        <v>46</v>
      </c>
      <c r="K6" s="85" t="s">
        <v>48</v>
      </c>
      <c r="L6" s="85" t="s">
        <v>50</v>
      </c>
      <c r="M6" s="531" t="s">
        <v>127</v>
      </c>
      <c r="N6" s="548" t="s">
        <v>128</v>
      </c>
      <c r="O6" s="527" t="s">
        <v>125</v>
      </c>
      <c r="P6" s="48"/>
      <c r="Q6" s="524" t="s">
        <v>29</v>
      </c>
      <c r="R6" s="525" t="s">
        <v>60</v>
      </c>
      <c r="S6" s="525" t="s">
        <v>89</v>
      </c>
      <c r="T6" s="525" t="s">
        <v>113</v>
      </c>
      <c r="U6" s="525" t="s">
        <v>114</v>
      </c>
      <c r="V6" s="49" t="s">
        <v>87</v>
      </c>
      <c r="W6" s="548" t="s">
        <v>128</v>
      </c>
      <c r="X6" s="527" t="s">
        <v>125</v>
      </c>
      <c r="Y6" s="56"/>
      <c r="Z6" s="524" t="s">
        <v>29</v>
      </c>
      <c r="AA6" s="525" t="s">
        <v>60</v>
      </c>
      <c r="AB6" s="525" t="s">
        <v>89</v>
      </c>
      <c r="AC6" s="525" t="s">
        <v>113</v>
      </c>
      <c r="AD6" s="525" t="s">
        <v>114</v>
      </c>
      <c r="AE6" s="49" t="s">
        <v>87</v>
      </c>
      <c r="AF6" s="548" t="s">
        <v>128</v>
      </c>
      <c r="AG6" s="527" t="s">
        <v>125</v>
      </c>
      <c r="AH6" s="111"/>
    </row>
    <row r="7" spans="1:35" ht="30.75" customHeight="1" x14ac:dyDescent="0.25">
      <c r="A7" s="44" t="s">
        <v>9</v>
      </c>
      <c r="B7" s="473" t="s">
        <v>73</v>
      </c>
      <c r="C7" s="474"/>
      <c r="D7" s="474"/>
      <c r="E7" s="474"/>
      <c r="F7" s="474"/>
      <c r="G7" s="474"/>
      <c r="H7" s="83">
        <v>20</v>
      </c>
      <c r="I7" s="81">
        <v>20</v>
      </c>
      <c r="J7" s="81">
        <v>20</v>
      </c>
      <c r="K7" s="81">
        <v>20</v>
      </c>
      <c r="L7" s="81">
        <v>20</v>
      </c>
      <c r="M7" s="532"/>
      <c r="N7" s="117">
        <f>SUM(H7:L7)</f>
        <v>100</v>
      </c>
      <c r="O7" s="117">
        <v>100</v>
      </c>
      <c r="P7" s="117">
        <f>100</f>
        <v>100</v>
      </c>
      <c r="Q7" s="80">
        <v>20</v>
      </c>
      <c r="R7" s="81">
        <v>20</v>
      </c>
      <c r="S7" s="81">
        <v>20</v>
      </c>
      <c r="T7" s="81">
        <v>20</v>
      </c>
      <c r="U7" s="81">
        <v>20</v>
      </c>
      <c r="V7" s="81"/>
      <c r="W7" s="119">
        <f>SUM(Q7:U7)</f>
        <v>100</v>
      </c>
      <c r="X7" s="117">
        <v>100</v>
      </c>
      <c r="Y7" s="118">
        <f>100</f>
        <v>100</v>
      </c>
      <c r="Z7" s="80">
        <v>20</v>
      </c>
      <c r="AA7" s="81">
        <v>20</v>
      </c>
      <c r="AB7" s="81">
        <v>20</v>
      </c>
      <c r="AC7" s="81">
        <v>20</v>
      </c>
      <c r="AD7" s="81">
        <v>20</v>
      </c>
      <c r="AE7" s="81"/>
      <c r="AF7" s="119">
        <f>SUM(Z7:AD7)</f>
        <v>100</v>
      </c>
      <c r="AG7" s="117">
        <v>100</v>
      </c>
      <c r="AH7" s="119">
        <f>100</f>
        <v>100</v>
      </c>
    </row>
    <row r="8" spans="1:35" x14ac:dyDescent="0.25">
      <c r="A8" s="160">
        <f>IF('Avaliação Períodos'!A9=0,"",'Avaliação Períodos'!A9)</f>
        <v>1</v>
      </c>
      <c r="B8" s="486" t="str">
        <f>IF('Avaliação Períodos'!B9=0,"",'Avaliação Períodos'!B9)</f>
        <v>Afonso</v>
      </c>
      <c r="C8" s="487"/>
      <c r="D8" s="487"/>
      <c r="E8" s="487"/>
      <c r="F8" s="487"/>
      <c r="G8" s="488"/>
      <c r="H8" s="224">
        <v>10</v>
      </c>
      <c r="I8" s="164">
        <v>10</v>
      </c>
      <c r="J8" s="164">
        <v>10</v>
      </c>
      <c r="K8" s="164">
        <v>10</v>
      </c>
      <c r="L8" s="165">
        <v>15</v>
      </c>
      <c r="M8" s="205"/>
      <c r="N8" s="539">
        <f>IF(COUNT(H8:M8)=0,"",IF(SUM(H8:L8) - ABS(M8)&lt;0,"0",SUM(H8:L8) - ABS(M8)))</f>
        <v>55</v>
      </c>
      <c r="O8" s="528"/>
      <c r="P8" s="19" cm="1">
        <f t="array" ref="P8">composicaoValor(H8:L8,O8,M8)</f>
        <v>55</v>
      </c>
      <c r="Q8" s="184">
        <v>10</v>
      </c>
      <c r="R8" s="185">
        <v>10</v>
      </c>
      <c r="S8" s="185">
        <v>10</v>
      </c>
      <c r="T8" s="185">
        <v>10</v>
      </c>
      <c r="U8" s="185">
        <v>10</v>
      </c>
      <c r="V8" s="185"/>
      <c r="W8" s="539">
        <f>IF(COUNT(Q8:V8)=0,"",IF(SUM(Q8:U8) - ABS(V8)&lt;0,"0",SUM(Q8:U8) - ABS(V8)))</f>
        <v>50</v>
      </c>
      <c r="X8" s="528"/>
      <c r="Y8" s="19" cm="1">
        <f t="array" ref="Y8">composicaoValor(Q8:U8,X8,V8)</f>
        <v>50</v>
      </c>
      <c r="Z8" s="186"/>
      <c r="AA8" s="186"/>
      <c r="AB8" s="186"/>
      <c r="AC8" s="186"/>
      <c r="AD8" s="186"/>
      <c r="AE8" s="186"/>
      <c r="AF8" s="539" t="str">
        <f>IF(COUNT(Z8:AE8)=0,"",IF(SUM(Z8:AD8) - ABS(AE8)&lt;0,"0",SUM(Z8:AD8) - ABS(AE8)))</f>
        <v/>
      </c>
      <c r="AG8" s="528"/>
      <c r="AH8" s="19" t="str" cm="1">
        <f t="array" ref="AH8">composicaoValor(Z8:AD8,AG8,AE8)</f>
        <v/>
      </c>
    </row>
    <row r="9" spans="1:35" x14ac:dyDescent="0.25">
      <c r="A9" s="161">
        <f>IF('Avaliação Períodos'!A10=0,"",'Avaliação Períodos'!A10)</f>
        <v>2</v>
      </c>
      <c r="B9" s="489" t="str">
        <f>IF('Avaliação Períodos'!B10=0,"",'Avaliação Períodos'!B10)</f>
        <v>Afonso Cravo</v>
      </c>
      <c r="C9" s="490"/>
      <c r="D9" s="490"/>
      <c r="E9" s="490"/>
      <c r="F9" s="490"/>
      <c r="G9" s="491"/>
      <c r="H9" s="166">
        <v>10</v>
      </c>
      <c r="I9" s="167">
        <v>10</v>
      </c>
      <c r="J9" s="167">
        <v>10</v>
      </c>
      <c r="K9" s="167">
        <v>10</v>
      </c>
      <c r="L9" s="168">
        <v>10</v>
      </c>
      <c r="M9" s="533"/>
      <c r="N9" s="540">
        <f t="shared" ref="N9:N37" si="0">IF(COUNT(H9:M9)=0,"",IF(SUM(H9:L9) - ABS(M9)&lt;0,"0",SUM(H9:L9) - ABS(M9)))</f>
        <v>50</v>
      </c>
      <c r="O9" s="529"/>
      <c r="P9" s="19" cm="1">
        <f t="array" ref="P9">composicaoValor(H9:L9,O9,M9)</f>
        <v>50</v>
      </c>
      <c r="Q9" s="166">
        <v>15</v>
      </c>
      <c r="R9" s="167">
        <v>15</v>
      </c>
      <c r="S9" s="167">
        <v>15</v>
      </c>
      <c r="T9" s="167">
        <v>10</v>
      </c>
      <c r="U9" s="167">
        <v>20</v>
      </c>
      <c r="V9" s="167"/>
      <c r="W9" s="540">
        <f t="shared" ref="W9:W37" si="1">IF(COUNT(Q9:V9)=0,"",IF(SUM(Q9:U9) - ABS(V9)&lt;0,"0",SUM(Q9:U9) - ABS(V9)))</f>
        <v>75</v>
      </c>
      <c r="X9" s="529"/>
      <c r="Y9" s="19" cm="1">
        <f t="array" ref="Y9">composicaoValor(Q9:U9,X9,V9)</f>
        <v>75</v>
      </c>
      <c r="Z9" s="187"/>
      <c r="AA9" s="187"/>
      <c r="AB9" s="187"/>
      <c r="AC9" s="187"/>
      <c r="AD9" s="187"/>
      <c r="AE9" s="187"/>
      <c r="AF9" s="540" t="str">
        <f t="shared" ref="AF9:AF37" si="2">IF(COUNT(Z9:AE9)=0,"",IF(SUM(Z9:AD9) - ABS(AE9)&lt;0,"0",SUM(Z9:AD9) - ABS(AE9)))</f>
        <v/>
      </c>
      <c r="AG9" s="529"/>
      <c r="AH9" s="19" t="str" cm="1">
        <f t="array" ref="AH9">composicaoValor(Z9:AD9,AG9,AE9)</f>
        <v/>
      </c>
    </row>
    <row r="10" spans="1:35" x14ac:dyDescent="0.25">
      <c r="A10" s="160">
        <f>IF('Avaliação Períodos'!A11=0,"",'Avaliação Períodos'!A11)</f>
        <v>3</v>
      </c>
      <c r="B10" s="471" t="str">
        <f>IF('Avaliação Períodos'!B11=0,"",'Avaliação Períodos'!B11)</f>
        <v>Ândria</v>
      </c>
      <c r="C10" s="472"/>
      <c r="D10" s="472"/>
      <c r="E10" s="472"/>
      <c r="F10" s="472"/>
      <c r="G10" s="516"/>
      <c r="H10" s="170">
        <v>10</v>
      </c>
      <c r="I10" s="171">
        <v>10</v>
      </c>
      <c r="J10" s="171">
        <v>10</v>
      </c>
      <c r="K10" s="171">
        <v>10</v>
      </c>
      <c r="L10" s="172">
        <v>8</v>
      </c>
      <c r="M10" s="208"/>
      <c r="N10" s="541">
        <f t="shared" si="0"/>
        <v>48</v>
      </c>
      <c r="O10" s="535"/>
      <c r="P10" s="19" cm="1">
        <f t="array" ref="P10">composicaoValor(H10:L10,O10,M10)</f>
        <v>48</v>
      </c>
      <c r="Q10" s="170">
        <v>15</v>
      </c>
      <c r="R10" s="171">
        <v>15</v>
      </c>
      <c r="S10" s="171">
        <v>10</v>
      </c>
      <c r="T10" s="171">
        <v>10</v>
      </c>
      <c r="U10" s="171">
        <v>20</v>
      </c>
      <c r="V10" s="171"/>
      <c r="W10" s="541">
        <f t="shared" si="1"/>
        <v>70</v>
      </c>
      <c r="X10" s="535"/>
      <c r="Y10" s="19" cm="1">
        <f t="array" ref="Y10">composicaoValor(Q10:U10,X10,V10)</f>
        <v>70</v>
      </c>
      <c r="Z10" s="188"/>
      <c r="AA10" s="188"/>
      <c r="AB10" s="188"/>
      <c r="AC10" s="188"/>
      <c r="AD10" s="188"/>
      <c r="AE10" s="188"/>
      <c r="AF10" s="541" t="str">
        <f t="shared" si="2"/>
        <v/>
      </c>
      <c r="AG10" s="535"/>
      <c r="AH10" s="19" t="str" cm="1">
        <f t="array" ref="AH10">composicaoValor(Z10:AD10,AG10,AE10)</f>
        <v/>
      </c>
    </row>
    <row r="11" spans="1:35" x14ac:dyDescent="0.25">
      <c r="A11" s="161">
        <f>IF('Avaliação Períodos'!A12=0,"",'Avaliação Períodos'!A12)</f>
        <v>4</v>
      </c>
      <c r="B11" s="489" t="str">
        <f>IF('Avaliação Períodos'!B12=0,"",'Avaliação Períodos'!B12)</f>
        <v>Bernardo Gomes</v>
      </c>
      <c r="C11" s="490"/>
      <c r="D11" s="490"/>
      <c r="E11" s="490"/>
      <c r="F11" s="490"/>
      <c r="G11" s="491"/>
      <c r="H11" s="173">
        <v>20</v>
      </c>
      <c r="I11" s="174">
        <v>20</v>
      </c>
      <c r="J11" s="174">
        <v>20</v>
      </c>
      <c r="K11" s="174">
        <v>20</v>
      </c>
      <c r="L11" s="175">
        <v>18</v>
      </c>
      <c r="M11" s="206"/>
      <c r="N11" s="542">
        <f t="shared" si="0"/>
        <v>98</v>
      </c>
      <c r="O11" s="536"/>
      <c r="P11" s="19" cm="1">
        <f t="array" ref="P11">composicaoValor(H11:L11,O11,M11)</f>
        <v>98</v>
      </c>
      <c r="Q11" s="173">
        <v>20</v>
      </c>
      <c r="R11" s="174">
        <v>15</v>
      </c>
      <c r="S11" s="174">
        <v>20</v>
      </c>
      <c r="T11" s="174">
        <v>20</v>
      </c>
      <c r="U11" s="174">
        <v>20</v>
      </c>
      <c r="V11" s="174"/>
      <c r="W11" s="542">
        <f t="shared" si="1"/>
        <v>95</v>
      </c>
      <c r="X11" s="536"/>
      <c r="Y11" s="19" cm="1">
        <f t="array" ref="Y11">composicaoValor(Q11:U11,X11,V11)</f>
        <v>95</v>
      </c>
      <c r="Z11" s="189"/>
      <c r="AA11" s="189"/>
      <c r="AB11" s="189"/>
      <c r="AC11" s="189"/>
      <c r="AD11" s="189"/>
      <c r="AE11" s="189"/>
      <c r="AF11" s="542" t="str">
        <f t="shared" si="2"/>
        <v/>
      </c>
      <c r="AG11" s="536"/>
      <c r="AH11" s="19" t="str" cm="1">
        <f t="array" ref="AH11">composicaoValor(Z11:AD11,AG11,AE11)</f>
        <v/>
      </c>
    </row>
    <row r="12" spans="1:35" x14ac:dyDescent="0.25">
      <c r="A12" s="160">
        <f>IF('Avaliação Períodos'!A13=0,"",'Avaliação Períodos'!A13)</f>
        <v>5</v>
      </c>
      <c r="B12" s="471" t="str">
        <f>IF('Avaliação Períodos'!B13=0,"",'Avaliação Períodos'!B13)</f>
        <v xml:space="preserve"> Bernardo Gaspar</v>
      </c>
      <c r="C12" s="472"/>
      <c r="D12" s="472"/>
      <c r="E12" s="472"/>
      <c r="F12" s="472"/>
      <c r="G12" s="516"/>
      <c r="H12" s="170">
        <v>15</v>
      </c>
      <c r="I12" s="171">
        <v>15</v>
      </c>
      <c r="J12" s="171">
        <v>15</v>
      </c>
      <c r="K12" s="171">
        <v>10</v>
      </c>
      <c r="L12" s="172">
        <v>10</v>
      </c>
      <c r="M12" s="208"/>
      <c r="N12" s="541">
        <f t="shared" si="0"/>
        <v>65</v>
      </c>
      <c r="O12" s="535"/>
      <c r="P12" s="19" cm="1">
        <f t="array" ref="P12">composicaoValor(H12:L12,O12,M12)</f>
        <v>65</v>
      </c>
      <c r="Q12" s="170">
        <v>15</v>
      </c>
      <c r="R12" s="171">
        <v>15</v>
      </c>
      <c r="S12" s="171">
        <v>15</v>
      </c>
      <c r="T12" s="171">
        <v>10</v>
      </c>
      <c r="U12" s="171">
        <v>10</v>
      </c>
      <c r="V12" s="171"/>
      <c r="W12" s="541">
        <f t="shared" si="1"/>
        <v>65</v>
      </c>
      <c r="X12" s="535"/>
      <c r="Y12" s="19" cm="1">
        <f t="array" ref="Y12">composicaoValor(Q12:U12,X12,V12)</f>
        <v>65</v>
      </c>
      <c r="Z12" s="188"/>
      <c r="AA12" s="188"/>
      <c r="AB12" s="188"/>
      <c r="AC12" s="188"/>
      <c r="AD12" s="188"/>
      <c r="AE12" s="188"/>
      <c r="AF12" s="541" t="str">
        <f t="shared" si="2"/>
        <v/>
      </c>
      <c r="AG12" s="535"/>
      <c r="AH12" s="19" t="str" cm="1">
        <f t="array" ref="AH12">composicaoValor(Z12:AD12,AG12,AE12)</f>
        <v/>
      </c>
    </row>
    <row r="13" spans="1:35" x14ac:dyDescent="0.25">
      <c r="A13" s="161">
        <f>IF('Avaliação Períodos'!A14=0,"",'Avaliação Períodos'!A14)</f>
        <v>6</v>
      </c>
      <c r="B13" s="489" t="str">
        <f>IF('Avaliação Períodos'!B14=0,"",'Avaliação Períodos'!B14)</f>
        <v>David</v>
      </c>
      <c r="C13" s="490"/>
      <c r="D13" s="490"/>
      <c r="E13" s="490"/>
      <c r="F13" s="490"/>
      <c r="G13" s="491"/>
      <c r="H13" s="173">
        <v>10</v>
      </c>
      <c r="I13" s="174">
        <v>10</v>
      </c>
      <c r="J13" s="174">
        <v>10</v>
      </c>
      <c r="K13" s="174">
        <v>10</v>
      </c>
      <c r="L13" s="175">
        <v>8</v>
      </c>
      <c r="M13" s="206"/>
      <c r="N13" s="542">
        <f t="shared" si="0"/>
        <v>48</v>
      </c>
      <c r="O13" s="536"/>
      <c r="P13" s="19" cm="1">
        <f t="array" ref="P13">composicaoValor(H13:L13,O13,M13)</f>
        <v>48</v>
      </c>
      <c r="Q13" s="173">
        <v>15</v>
      </c>
      <c r="R13" s="174">
        <v>15</v>
      </c>
      <c r="S13" s="174">
        <v>10</v>
      </c>
      <c r="T13" s="174">
        <v>10</v>
      </c>
      <c r="U13" s="174">
        <v>10</v>
      </c>
      <c r="V13" s="174"/>
      <c r="W13" s="542">
        <f t="shared" si="1"/>
        <v>60</v>
      </c>
      <c r="X13" s="536"/>
      <c r="Y13" s="19" cm="1">
        <f t="array" ref="Y13">composicaoValor(Q13:U13,X13,V13)</f>
        <v>60</v>
      </c>
      <c r="Z13" s="189"/>
      <c r="AA13" s="189"/>
      <c r="AB13" s="189"/>
      <c r="AC13" s="189"/>
      <c r="AD13" s="189"/>
      <c r="AE13" s="189"/>
      <c r="AF13" s="542" t="str">
        <f t="shared" si="2"/>
        <v/>
      </c>
      <c r="AG13" s="536"/>
      <c r="AH13" s="19" t="str" cm="1">
        <f t="array" ref="AH13">composicaoValor(Z13:AD13,AG13,AE13)</f>
        <v/>
      </c>
    </row>
    <row r="14" spans="1:35" x14ac:dyDescent="0.25">
      <c r="A14" s="160">
        <f>IF('Avaliação Períodos'!A15=0,"",'Avaliação Períodos'!A15)</f>
        <v>7</v>
      </c>
      <c r="B14" s="471" t="str">
        <f>IF('Avaliação Períodos'!B15=0,"",'Avaliação Períodos'!B15)</f>
        <v>Fábio</v>
      </c>
      <c r="C14" s="472"/>
      <c r="D14" s="472"/>
      <c r="E14" s="472"/>
      <c r="F14" s="472"/>
      <c r="G14" s="516"/>
      <c r="H14" s="170">
        <v>20</v>
      </c>
      <c r="I14" s="171">
        <v>10</v>
      </c>
      <c r="J14" s="171">
        <v>10</v>
      </c>
      <c r="K14" s="171">
        <v>10</v>
      </c>
      <c r="L14" s="172">
        <v>5</v>
      </c>
      <c r="M14" s="208"/>
      <c r="N14" s="541">
        <f t="shared" si="0"/>
        <v>55</v>
      </c>
      <c r="O14" s="535"/>
      <c r="P14" s="19" cm="1">
        <f t="array" ref="P14">composicaoValor(H14:L14,O14,M14)</f>
        <v>55</v>
      </c>
      <c r="Q14" s="170">
        <v>15</v>
      </c>
      <c r="R14" s="171">
        <v>15</v>
      </c>
      <c r="S14" s="171">
        <v>10</v>
      </c>
      <c r="T14" s="171">
        <v>10</v>
      </c>
      <c r="U14" s="171">
        <v>10</v>
      </c>
      <c r="V14" s="171"/>
      <c r="W14" s="541">
        <f t="shared" si="1"/>
        <v>60</v>
      </c>
      <c r="X14" s="535"/>
      <c r="Y14" s="19" cm="1">
        <f t="array" ref="Y14">composicaoValor(Q14:U14,X14,V14)</f>
        <v>60</v>
      </c>
      <c r="Z14" s="188"/>
      <c r="AA14" s="188"/>
      <c r="AB14" s="188"/>
      <c r="AC14" s="188"/>
      <c r="AD14" s="188"/>
      <c r="AE14" s="188"/>
      <c r="AF14" s="541" t="str">
        <f t="shared" si="2"/>
        <v/>
      </c>
      <c r="AG14" s="535"/>
      <c r="AH14" s="19" t="str" cm="1">
        <f t="array" ref="AH14">composicaoValor(Z14:AD14,AG14,AE14)</f>
        <v/>
      </c>
    </row>
    <row r="15" spans="1:35" x14ac:dyDescent="0.25">
      <c r="A15" s="161">
        <f>IF('Avaliação Períodos'!A16=0,"",'Avaliação Períodos'!A16)</f>
        <v>8</v>
      </c>
      <c r="B15" s="489" t="str">
        <f>IF('Avaliação Períodos'!B16=0,"",'Avaliação Períodos'!B16)</f>
        <v>Francisco</v>
      </c>
      <c r="C15" s="490"/>
      <c r="D15" s="490"/>
      <c r="E15" s="490"/>
      <c r="F15" s="490"/>
      <c r="G15" s="491"/>
      <c r="H15" s="173">
        <v>15</v>
      </c>
      <c r="I15" s="174">
        <v>10</v>
      </c>
      <c r="J15" s="176">
        <v>10</v>
      </c>
      <c r="K15" s="174">
        <v>15</v>
      </c>
      <c r="L15" s="175">
        <v>8</v>
      </c>
      <c r="M15" s="206"/>
      <c r="N15" s="542">
        <f t="shared" si="0"/>
        <v>58</v>
      </c>
      <c r="O15" s="536"/>
      <c r="P15" s="19" cm="1">
        <f t="array" ref="P15">composicaoValor(H15:L15,O15,M15)</f>
        <v>58</v>
      </c>
      <c r="Q15" s="173">
        <v>15</v>
      </c>
      <c r="R15" s="174">
        <v>15</v>
      </c>
      <c r="S15" s="176">
        <v>10</v>
      </c>
      <c r="T15" s="174">
        <v>10</v>
      </c>
      <c r="U15" s="174">
        <v>10</v>
      </c>
      <c r="V15" s="174"/>
      <c r="W15" s="542">
        <f t="shared" si="1"/>
        <v>60</v>
      </c>
      <c r="X15" s="536"/>
      <c r="Y15" s="19" cm="1">
        <f t="array" ref="Y15">composicaoValor(Q15:U15,X15,V15)</f>
        <v>60</v>
      </c>
      <c r="Z15" s="189"/>
      <c r="AA15" s="189"/>
      <c r="AB15" s="189"/>
      <c r="AC15" s="189"/>
      <c r="AD15" s="189"/>
      <c r="AE15" s="189"/>
      <c r="AF15" s="542" t="str">
        <f t="shared" si="2"/>
        <v/>
      </c>
      <c r="AG15" s="536"/>
      <c r="AH15" s="19" t="str" cm="1">
        <f t="array" ref="AH15">composicaoValor(Z15:AD15,AG15,AE15)</f>
        <v/>
      </c>
    </row>
    <row r="16" spans="1:35" x14ac:dyDescent="0.25">
      <c r="A16" s="160">
        <f>IF('Avaliação Períodos'!A17=0,"",'Avaliação Períodos'!A17)</f>
        <v>9</v>
      </c>
      <c r="B16" s="471" t="str">
        <f>IF('Avaliação Períodos'!B17=0,"",'Avaliação Períodos'!B17)</f>
        <v>Gonçalo</v>
      </c>
      <c r="C16" s="472"/>
      <c r="D16" s="472"/>
      <c r="E16" s="472"/>
      <c r="F16" s="472"/>
      <c r="G16" s="516"/>
      <c r="H16" s="170">
        <v>20</v>
      </c>
      <c r="I16" s="171">
        <v>15</v>
      </c>
      <c r="J16" s="171">
        <v>10</v>
      </c>
      <c r="K16" s="171">
        <v>10</v>
      </c>
      <c r="L16" s="172">
        <v>10</v>
      </c>
      <c r="M16" s="208"/>
      <c r="N16" s="541">
        <f t="shared" si="0"/>
        <v>65</v>
      </c>
      <c r="O16" s="535"/>
      <c r="P16" s="19" cm="1">
        <f t="array" ref="P16">composicaoValor(H16:L16,O16,M16)</f>
        <v>65</v>
      </c>
      <c r="Q16" s="170">
        <v>15</v>
      </c>
      <c r="R16" s="171">
        <v>15</v>
      </c>
      <c r="S16" s="171">
        <v>10</v>
      </c>
      <c r="T16" s="171">
        <v>10</v>
      </c>
      <c r="U16" s="171">
        <v>10</v>
      </c>
      <c r="V16" s="171"/>
      <c r="W16" s="541">
        <f t="shared" si="1"/>
        <v>60</v>
      </c>
      <c r="X16" s="535"/>
      <c r="Y16" s="19" cm="1">
        <f t="array" ref="Y16">composicaoValor(Q16:U16,X16,V16)</f>
        <v>60</v>
      </c>
      <c r="Z16" s="188"/>
      <c r="AA16" s="188"/>
      <c r="AB16" s="188"/>
      <c r="AC16" s="188"/>
      <c r="AD16" s="188"/>
      <c r="AE16" s="188"/>
      <c r="AF16" s="541" t="str">
        <f t="shared" si="2"/>
        <v/>
      </c>
      <c r="AG16" s="535"/>
      <c r="AH16" s="19" t="str" cm="1">
        <f t="array" ref="AH16">composicaoValor(Z16:AD16,AG16,AE16)</f>
        <v/>
      </c>
      <c r="AI16" s="153"/>
    </row>
    <row r="17" spans="1:38" x14ac:dyDescent="0.25">
      <c r="A17" s="161">
        <f>IF('Avaliação Períodos'!A18=0,"",'Avaliação Períodos'!A18)</f>
        <v>10</v>
      </c>
      <c r="B17" s="489" t="str">
        <f>IF('Avaliação Períodos'!B18=0,"",'Avaliação Períodos'!B18)</f>
        <v>Gustavo</v>
      </c>
      <c r="C17" s="490"/>
      <c r="D17" s="490"/>
      <c r="E17" s="490"/>
      <c r="F17" s="490"/>
      <c r="G17" s="491"/>
      <c r="H17" s="173">
        <v>15</v>
      </c>
      <c r="I17" s="174">
        <v>15</v>
      </c>
      <c r="J17" s="174">
        <v>15</v>
      </c>
      <c r="K17" s="174">
        <v>10</v>
      </c>
      <c r="L17" s="175">
        <v>10</v>
      </c>
      <c r="M17" s="206"/>
      <c r="N17" s="542">
        <f t="shared" si="0"/>
        <v>65</v>
      </c>
      <c r="O17" s="536"/>
      <c r="P17" s="19" cm="1">
        <f t="array" ref="P17">composicaoValor(H17:L17,O17,M17)</f>
        <v>65</v>
      </c>
      <c r="Q17" s="173">
        <v>15</v>
      </c>
      <c r="R17" s="174">
        <v>15</v>
      </c>
      <c r="S17" s="174">
        <v>10</v>
      </c>
      <c r="T17" s="174">
        <v>10</v>
      </c>
      <c r="U17" s="174">
        <v>10</v>
      </c>
      <c r="V17" s="174"/>
      <c r="W17" s="542">
        <f t="shared" si="1"/>
        <v>60</v>
      </c>
      <c r="X17" s="536"/>
      <c r="Y17" s="19" cm="1">
        <f t="array" ref="Y17">composicaoValor(Q17:U17,X17,V17)</f>
        <v>60</v>
      </c>
      <c r="Z17" s="189"/>
      <c r="AA17" s="189"/>
      <c r="AB17" s="189"/>
      <c r="AC17" s="189"/>
      <c r="AD17" s="189"/>
      <c r="AE17" s="189"/>
      <c r="AF17" s="542" t="str">
        <f t="shared" si="2"/>
        <v/>
      </c>
      <c r="AG17" s="536"/>
      <c r="AH17" s="19" t="str" cm="1">
        <f t="array" ref="AH17">composicaoValor(Z17:AD17,AG17,AE17)</f>
        <v/>
      </c>
      <c r="AL17" s="153"/>
    </row>
    <row r="18" spans="1:38" x14ac:dyDescent="0.25">
      <c r="A18" s="160">
        <f>IF('Avaliação Períodos'!A19=0,"",'Avaliação Períodos'!A19)</f>
        <v>11</v>
      </c>
      <c r="B18" s="471" t="str">
        <f>IF('Avaliação Períodos'!B19=0,"",'Avaliação Períodos'!B19)</f>
        <v>João</v>
      </c>
      <c r="C18" s="472"/>
      <c r="D18" s="472"/>
      <c r="E18" s="472"/>
      <c r="F18" s="472"/>
      <c r="G18" s="516"/>
      <c r="H18" s="177">
        <v>15</v>
      </c>
      <c r="I18" s="171">
        <v>10</v>
      </c>
      <c r="J18" s="171">
        <v>10</v>
      </c>
      <c r="K18" s="171">
        <v>10</v>
      </c>
      <c r="L18" s="172">
        <v>8</v>
      </c>
      <c r="M18" s="208"/>
      <c r="N18" s="541">
        <f t="shared" si="0"/>
        <v>53</v>
      </c>
      <c r="O18" s="535"/>
      <c r="P18" s="19" cm="1">
        <f t="array" ref="P18">composicaoValor(H18:L18,O18,M18)</f>
        <v>53</v>
      </c>
      <c r="Q18" s="177">
        <v>15</v>
      </c>
      <c r="R18" s="171">
        <v>15</v>
      </c>
      <c r="S18" s="171">
        <v>10</v>
      </c>
      <c r="T18" s="171">
        <v>10</v>
      </c>
      <c r="U18" s="171">
        <v>10</v>
      </c>
      <c r="V18" s="171"/>
      <c r="W18" s="541">
        <f t="shared" si="1"/>
        <v>60</v>
      </c>
      <c r="X18" s="535"/>
      <c r="Y18" s="19" cm="1">
        <f t="array" ref="Y18">composicaoValor(Q18:U18,X18,V18)</f>
        <v>60</v>
      </c>
      <c r="Z18" s="190"/>
      <c r="AA18" s="190"/>
      <c r="AB18" s="190"/>
      <c r="AC18" s="190"/>
      <c r="AD18" s="190"/>
      <c r="AE18" s="190"/>
      <c r="AF18" s="541" t="str">
        <f t="shared" si="2"/>
        <v/>
      </c>
      <c r="AG18" s="535"/>
      <c r="AH18" s="19" t="str" cm="1">
        <f t="array" ref="AH18">composicaoValor(Z18:AD18,AG18,AE18)</f>
        <v/>
      </c>
    </row>
    <row r="19" spans="1:38" x14ac:dyDescent="0.25">
      <c r="A19" s="161">
        <f>IF('Avaliação Períodos'!A20=0,"",'Avaliação Períodos'!A20)</f>
        <v>12</v>
      </c>
      <c r="B19" s="489" t="str">
        <f>IF('Avaliação Períodos'!B20=0,"",'Avaliação Períodos'!B20)</f>
        <v>João Miguel</v>
      </c>
      <c r="C19" s="490"/>
      <c r="D19" s="490"/>
      <c r="E19" s="490"/>
      <c r="F19" s="490"/>
      <c r="G19" s="491"/>
      <c r="H19" s="173">
        <v>20</v>
      </c>
      <c r="I19" s="174">
        <v>15</v>
      </c>
      <c r="J19" s="174">
        <v>15</v>
      </c>
      <c r="K19" s="174">
        <v>15</v>
      </c>
      <c r="L19" s="175">
        <v>15</v>
      </c>
      <c r="M19" s="206"/>
      <c r="N19" s="542">
        <f t="shared" si="0"/>
        <v>80</v>
      </c>
      <c r="O19" s="536"/>
      <c r="P19" s="19" cm="1">
        <f t="array" ref="P19">composicaoValor(H19:L19,O19,M19)</f>
        <v>80</v>
      </c>
      <c r="Q19" s="173">
        <v>15</v>
      </c>
      <c r="R19" s="174">
        <v>15</v>
      </c>
      <c r="S19" s="174">
        <v>10</v>
      </c>
      <c r="T19" s="174">
        <v>10</v>
      </c>
      <c r="U19" s="174">
        <v>10</v>
      </c>
      <c r="V19" s="174"/>
      <c r="W19" s="542">
        <f t="shared" si="1"/>
        <v>60</v>
      </c>
      <c r="X19" s="536"/>
      <c r="Y19" s="19" cm="1">
        <f t="array" ref="Y19">composicaoValor(Q19:U19,X19,V19)</f>
        <v>60</v>
      </c>
      <c r="Z19" s="189"/>
      <c r="AA19" s="189"/>
      <c r="AB19" s="189"/>
      <c r="AC19" s="189"/>
      <c r="AD19" s="189"/>
      <c r="AE19" s="189"/>
      <c r="AF19" s="542" t="str">
        <f t="shared" si="2"/>
        <v/>
      </c>
      <c r="AG19" s="536"/>
      <c r="AH19" s="19" t="str" cm="1">
        <f t="array" ref="AH19">composicaoValor(Z19:AD19,AG19,AE19)</f>
        <v/>
      </c>
    </row>
    <row r="20" spans="1:38" x14ac:dyDescent="0.25">
      <c r="A20" s="160">
        <f>IF('Avaliação Períodos'!A21=0,"",'Avaliação Períodos'!A21)</f>
        <v>13</v>
      </c>
      <c r="B20" s="471" t="str">
        <f>IF('Avaliação Períodos'!B21=0,"",'Avaliação Períodos'!B21)</f>
        <v>Lara</v>
      </c>
      <c r="C20" s="472"/>
      <c r="D20" s="472"/>
      <c r="E20" s="472"/>
      <c r="F20" s="472"/>
      <c r="G20" s="516"/>
      <c r="H20" s="177">
        <v>15</v>
      </c>
      <c r="I20" s="171">
        <v>15</v>
      </c>
      <c r="J20" s="171">
        <v>10</v>
      </c>
      <c r="K20" s="171">
        <v>10</v>
      </c>
      <c r="L20" s="172">
        <v>5</v>
      </c>
      <c r="M20" s="208"/>
      <c r="N20" s="541">
        <f t="shared" si="0"/>
        <v>55</v>
      </c>
      <c r="O20" s="535"/>
      <c r="P20" s="19" cm="1">
        <f t="array" ref="P20">composicaoValor(H20:L20,O20,M20)</f>
        <v>55</v>
      </c>
      <c r="Q20" s="177">
        <v>15</v>
      </c>
      <c r="R20" s="171">
        <v>15</v>
      </c>
      <c r="S20" s="171">
        <v>10</v>
      </c>
      <c r="T20" s="171">
        <v>10</v>
      </c>
      <c r="U20" s="171">
        <v>10</v>
      </c>
      <c r="V20" s="171"/>
      <c r="W20" s="541">
        <f t="shared" si="1"/>
        <v>60</v>
      </c>
      <c r="X20" s="535"/>
      <c r="Y20" s="19" cm="1">
        <f t="array" ref="Y20">composicaoValor(Q20:U20,X20,V20)</f>
        <v>60</v>
      </c>
      <c r="Z20" s="190"/>
      <c r="AA20" s="190"/>
      <c r="AB20" s="190"/>
      <c r="AC20" s="190"/>
      <c r="AD20" s="190"/>
      <c r="AE20" s="190"/>
      <c r="AF20" s="541" t="str">
        <f t="shared" si="2"/>
        <v/>
      </c>
      <c r="AG20" s="535"/>
      <c r="AH20" s="19" t="str" cm="1">
        <f t="array" ref="AH20">composicaoValor(Z20:AD20,AG20,AE20)</f>
        <v/>
      </c>
    </row>
    <row r="21" spans="1:38" x14ac:dyDescent="0.25">
      <c r="A21" s="161">
        <f>IF('Avaliação Períodos'!A22=0,"",'Avaliação Períodos'!A22)</f>
        <v>14</v>
      </c>
      <c r="B21" s="489" t="str">
        <f>IF('Avaliação Períodos'!B22=0,"",'Avaliação Períodos'!B22)</f>
        <v>Luna</v>
      </c>
      <c r="C21" s="490"/>
      <c r="D21" s="490"/>
      <c r="E21" s="490"/>
      <c r="F21" s="490"/>
      <c r="G21" s="491"/>
      <c r="H21" s="173">
        <v>10</v>
      </c>
      <c r="I21" s="174">
        <v>10</v>
      </c>
      <c r="J21" s="174">
        <v>10</v>
      </c>
      <c r="K21" s="174">
        <v>10</v>
      </c>
      <c r="L21" s="175">
        <v>15</v>
      </c>
      <c r="M21" s="206"/>
      <c r="N21" s="542">
        <f t="shared" si="0"/>
        <v>55</v>
      </c>
      <c r="O21" s="536"/>
      <c r="P21" s="19" cm="1">
        <f t="array" ref="P21">composicaoValor(H21:L21,O21,M21)</f>
        <v>55</v>
      </c>
      <c r="Q21" s="173">
        <v>15</v>
      </c>
      <c r="R21" s="174">
        <v>15</v>
      </c>
      <c r="S21" s="174">
        <v>10</v>
      </c>
      <c r="T21" s="174">
        <v>10</v>
      </c>
      <c r="U21" s="174">
        <v>15</v>
      </c>
      <c r="V21" s="174"/>
      <c r="W21" s="542">
        <f t="shared" si="1"/>
        <v>65</v>
      </c>
      <c r="X21" s="536"/>
      <c r="Y21" s="19" cm="1">
        <f t="array" ref="Y21">composicaoValor(Q21:U21,X21,V21)</f>
        <v>65</v>
      </c>
      <c r="Z21" s="189"/>
      <c r="AA21" s="189"/>
      <c r="AB21" s="189"/>
      <c r="AC21" s="189"/>
      <c r="AD21" s="189"/>
      <c r="AE21" s="189"/>
      <c r="AF21" s="542" t="str">
        <f t="shared" si="2"/>
        <v/>
      </c>
      <c r="AG21" s="536"/>
      <c r="AH21" s="19" t="str" cm="1">
        <f t="array" ref="AH21">composicaoValor(Z21:AD21,AG21,AE21)</f>
        <v/>
      </c>
    </row>
    <row r="22" spans="1:38" x14ac:dyDescent="0.25">
      <c r="A22" s="160">
        <f>IF('Avaliação Períodos'!A23=0,"",'Avaliação Períodos'!A23)</f>
        <v>15</v>
      </c>
      <c r="B22" s="471" t="str">
        <f>IF('Avaliação Períodos'!B23=0,"",'Avaliação Períodos'!B23)</f>
        <v>Mariana</v>
      </c>
      <c r="C22" s="472"/>
      <c r="D22" s="472"/>
      <c r="E22" s="472"/>
      <c r="F22" s="472"/>
      <c r="G22" s="516"/>
      <c r="H22" s="177">
        <v>10</v>
      </c>
      <c r="I22" s="171">
        <v>5</v>
      </c>
      <c r="J22" s="171">
        <v>10</v>
      </c>
      <c r="K22" s="171">
        <v>10</v>
      </c>
      <c r="L22" s="172">
        <v>9</v>
      </c>
      <c r="M22" s="208"/>
      <c r="N22" s="541">
        <f t="shared" si="0"/>
        <v>44</v>
      </c>
      <c r="O22" s="535"/>
      <c r="P22" s="19" cm="1">
        <f t="array" ref="P22">composicaoValor(H22:L22,O22,M22)</f>
        <v>44</v>
      </c>
      <c r="Q22" s="177">
        <v>15</v>
      </c>
      <c r="R22" s="171">
        <v>15</v>
      </c>
      <c r="S22" s="171">
        <v>10</v>
      </c>
      <c r="T22" s="171">
        <v>10</v>
      </c>
      <c r="U22" s="171">
        <v>10</v>
      </c>
      <c r="V22" s="171"/>
      <c r="W22" s="541">
        <f t="shared" si="1"/>
        <v>60</v>
      </c>
      <c r="X22" s="535"/>
      <c r="Y22" s="19" cm="1">
        <f t="array" ref="Y22">composicaoValor(Q22:U22,X22,V22)</f>
        <v>60</v>
      </c>
      <c r="Z22" s="190"/>
      <c r="AA22" s="190"/>
      <c r="AB22" s="190"/>
      <c r="AC22" s="190"/>
      <c r="AD22" s="190"/>
      <c r="AE22" s="190"/>
      <c r="AF22" s="541" t="str">
        <f t="shared" si="2"/>
        <v/>
      </c>
      <c r="AG22" s="535"/>
      <c r="AH22" s="19" t="str" cm="1">
        <f t="array" ref="AH22">composicaoValor(Z22:AD22,AG22,AE22)</f>
        <v/>
      </c>
    </row>
    <row r="23" spans="1:38" x14ac:dyDescent="0.25">
      <c r="A23" s="161">
        <f>IF('Avaliação Períodos'!A24=0,"",'Avaliação Períodos'!A24)</f>
        <v>16</v>
      </c>
      <c r="B23" s="489" t="str">
        <f>IF('Avaliação Períodos'!B24=0,"",'Avaliação Períodos'!B24)</f>
        <v>Martim</v>
      </c>
      <c r="C23" s="490"/>
      <c r="D23" s="490"/>
      <c r="E23" s="490"/>
      <c r="F23" s="490"/>
      <c r="G23" s="491"/>
      <c r="H23" s="173">
        <v>15</v>
      </c>
      <c r="I23" s="174">
        <v>15</v>
      </c>
      <c r="J23" s="174">
        <v>15</v>
      </c>
      <c r="K23" s="174">
        <v>15</v>
      </c>
      <c r="L23" s="175">
        <v>15</v>
      </c>
      <c r="M23" s="206"/>
      <c r="N23" s="542">
        <f t="shared" si="0"/>
        <v>75</v>
      </c>
      <c r="O23" s="536"/>
      <c r="P23" s="19" cm="1">
        <f t="array" ref="P23">composicaoValor(H23:L23,O23,M23)</f>
        <v>75</v>
      </c>
      <c r="Q23" s="173">
        <v>15</v>
      </c>
      <c r="R23" s="174">
        <v>15</v>
      </c>
      <c r="S23" s="174">
        <v>15</v>
      </c>
      <c r="T23" s="174">
        <v>15</v>
      </c>
      <c r="U23" s="174">
        <v>20</v>
      </c>
      <c r="V23" s="174"/>
      <c r="W23" s="542">
        <f t="shared" si="1"/>
        <v>80</v>
      </c>
      <c r="X23" s="536"/>
      <c r="Y23" s="19" cm="1">
        <f t="array" ref="Y23">composicaoValor(Q23:U23,X23,V23)</f>
        <v>80</v>
      </c>
      <c r="Z23" s="189"/>
      <c r="AA23" s="189"/>
      <c r="AB23" s="189"/>
      <c r="AC23" s="189"/>
      <c r="AD23" s="189"/>
      <c r="AE23" s="189"/>
      <c r="AF23" s="542" t="str">
        <f t="shared" si="2"/>
        <v/>
      </c>
      <c r="AG23" s="536"/>
      <c r="AH23" s="19" t="str" cm="1">
        <f t="array" ref="AH23">composicaoValor(Z23:AD23,AG23,AE23)</f>
        <v/>
      </c>
    </row>
    <row r="24" spans="1:38" x14ac:dyDescent="0.25">
      <c r="A24" s="160">
        <f>IF('Avaliação Períodos'!A25=0,"",'Avaliação Períodos'!A25)</f>
        <v>17</v>
      </c>
      <c r="B24" s="471" t="str">
        <f>IF('Avaliação Períodos'!B25=0,"",'Avaliação Períodos'!B25)</f>
        <v>Matilde</v>
      </c>
      <c r="C24" s="472"/>
      <c r="D24" s="472"/>
      <c r="E24" s="472"/>
      <c r="F24" s="472"/>
      <c r="G24" s="516"/>
      <c r="H24" s="177">
        <v>10</v>
      </c>
      <c r="I24" s="171">
        <v>10</v>
      </c>
      <c r="J24" s="171">
        <v>10</v>
      </c>
      <c r="K24" s="171">
        <v>10</v>
      </c>
      <c r="L24" s="172">
        <v>5</v>
      </c>
      <c r="M24" s="208"/>
      <c r="N24" s="541">
        <f t="shared" si="0"/>
        <v>45</v>
      </c>
      <c r="O24" s="535"/>
      <c r="P24" s="19" cm="1">
        <f t="array" ref="P24">composicaoValor(H24:L24,O24,M24)</f>
        <v>45</v>
      </c>
      <c r="Q24" s="177">
        <v>10</v>
      </c>
      <c r="R24" s="171">
        <v>10</v>
      </c>
      <c r="S24" s="171">
        <v>10</v>
      </c>
      <c r="T24" s="171">
        <v>10</v>
      </c>
      <c r="U24" s="171">
        <v>10</v>
      </c>
      <c r="V24" s="171"/>
      <c r="W24" s="541">
        <f t="shared" si="1"/>
        <v>50</v>
      </c>
      <c r="X24" s="535"/>
      <c r="Y24" s="19" cm="1">
        <f t="array" ref="Y24">composicaoValor(Q24:U24,X24,V24)</f>
        <v>50</v>
      </c>
      <c r="Z24" s="190"/>
      <c r="AA24" s="190"/>
      <c r="AB24" s="190"/>
      <c r="AC24" s="190"/>
      <c r="AD24" s="190"/>
      <c r="AE24" s="190"/>
      <c r="AF24" s="541" t="str">
        <f t="shared" si="2"/>
        <v/>
      </c>
      <c r="AG24" s="535"/>
      <c r="AH24" s="19" t="str" cm="1">
        <f t="array" ref="AH24">composicaoValor(Z24:AD24,AG24,AE24)</f>
        <v/>
      </c>
    </row>
    <row r="25" spans="1:38" x14ac:dyDescent="0.25">
      <c r="A25" s="161">
        <f>IF('Avaliação Períodos'!A26=0,"",'Avaliação Períodos'!A26)</f>
        <v>18</v>
      </c>
      <c r="B25" s="489" t="str">
        <f>IF('Avaliação Períodos'!B26=0,"",'Avaliação Períodos'!B26)</f>
        <v>Rúben</v>
      </c>
      <c r="C25" s="490"/>
      <c r="D25" s="490"/>
      <c r="E25" s="490"/>
      <c r="F25" s="490"/>
      <c r="G25" s="491"/>
      <c r="H25" s="173">
        <v>10</v>
      </c>
      <c r="I25" s="174">
        <v>10</v>
      </c>
      <c r="J25" s="174">
        <v>10</v>
      </c>
      <c r="K25" s="174">
        <v>10</v>
      </c>
      <c r="L25" s="175">
        <v>10</v>
      </c>
      <c r="M25" s="206"/>
      <c r="N25" s="542">
        <f t="shared" si="0"/>
        <v>50</v>
      </c>
      <c r="O25" s="536"/>
      <c r="P25" s="19" cm="1">
        <f t="array" ref="P25">composicaoValor(H25:L25,O25,M25)</f>
        <v>50</v>
      </c>
      <c r="Q25" s="173">
        <v>15</v>
      </c>
      <c r="R25" s="174">
        <v>15</v>
      </c>
      <c r="S25" s="174">
        <v>10</v>
      </c>
      <c r="T25" s="174">
        <v>10</v>
      </c>
      <c r="U25" s="174">
        <v>10</v>
      </c>
      <c r="V25" s="174"/>
      <c r="W25" s="542">
        <f t="shared" si="1"/>
        <v>60</v>
      </c>
      <c r="X25" s="536"/>
      <c r="Y25" s="19" cm="1">
        <f t="array" ref="Y25">composicaoValor(Q25:U25,X25,V25)</f>
        <v>60</v>
      </c>
      <c r="Z25" s="189"/>
      <c r="AA25" s="189"/>
      <c r="AB25" s="189"/>
      <c r="AC25" s="189"/>
      <c r="AD25" s="189"/>
      <c r="AE25" s="189"/>
      <c r="AF25" s="542" t="str">
        <f t="shared" si="2"/>
        <v/>
      </c>
      <c r="AG25" s="536"/>
      <c r="AH25" s="19" t="str" cm="1">
        <f t="array" ref="AH25">composicaoValor(Z25:AD25,AG25,AE25)</f>
        <v/>
      </c>
    </row>
    <row r="26" spans="1:38" x14ac:dyDescent="0.25">
      <c r="A26" s="160">
        <f>IF('Avaliação Períodos'!A27=0,"",'Avaliação Períodos'!A27)</f>
        <v>19</v>
      </c>
      <c r="B26" s="471" t="str">
        <f>IF('Avaliação Períodos'!B27=0,"",'Avaliação Períodos'!B27)</f>
        <v>Samanta</v>
      </c>
      <c r="C26" s="472"/>
      <c r="D26" s="472"/>
      <c r="E26" s="472"/>
      <c r="F26" s="472"/>
      <c r="G26" s="516"/>
      <c r="H26" s="177">
        <v>10</v>
      </c>
      <c r="I26" s="171">
        <v>10</v>
      </c>
      <c r="J26" s="171">
        <v>10</v>
      </c>
      <c r="K26" s="171">
        <v>10</v>
      </c>
      <c r="L26" s="172">
        <v>15</v>
      </c>
      <c r="M26" s="208"/>
      <c r="N26" s="541">
        <f t="shared" si="0"/>
        <v>55</v>
      </c>
      <c r="O26" s="535"/>
      <c r="P26" s="19" cm="1">
        <f t="array" ref="P26">composicaoValor(H26:L26,O26,M26)</f>
        <v>55</v>
      </c>
      <c r="Q26" s="177">
        <v>15</v>
      </c>
      <c r="R26" s="171">
        <v>15</v>
      </c>
      <c r="S26" s="171">
        <v>15</v>
      </c>
      <c r="T26" s="171">
        <v>10</v>
      </c>
      <c r="U26" s="171">
        <v>20</v>
      </c>
      <c r="V26" s="171"/>
      <c r="W26" s="541">
        <f t="shared" si="1"/>
        <v>75</v>
      </c>
      <c r="X26" s="535"/>
      <c r="Y26" s="19" cm="1">
        <f t="array" ref="Y26">composicaoValor(Q26:U26,X26,V26)</f>
        <v>75</v>
      </c>
      <c r="Z26" s="190"/>
      <c r="AA26" s="190"/>
      <c r="AB26" s="190"/>
      <c r="AC26" s="190"/>
      <c r="AD26" s="190"/>
      <c r="AE26" s="190"/>
      <c r="AF26" s="541" t="str">
        <f t="shared" si="2"/>
        <v/>
      </c>
      <c r="AG26" s="535"/>
      <c r="AH26" s="19" t="str" cm="1">
        <f t="array" ref="AH26">composicaoValor(Z26:AD26,AG26,AE26)</f>
        <v/>
      </c>
    </row>
    <row r="27" spans="1:38" x14ac:dyDescent="0.25">
      <c r="A27" s="161">
        <f>IF('Avaliação Períodos'!A28=0,"",'Avaliação Períodos'!A28)</f>
        <v>20</v>
      </c>
      <c r="B27" s="489" t="str">
        <f>IF('Avaliação Períodos'!B28=0,"",'Avaliação Períodos'!B28)</f>
        <v>Samuel</v>
      </c>
      <c r="C27" s="490"/>
      <c r="D27" s="490"/>
      <c r="E27" s="490"/>
      <c r="F27" s="490"/>
      <c r="G27" s="491"/>
      <c r="H27" s="173">
        <v>15</v>
      </c>
      <c r="I27" s="174">
        <v>15</v>
      </c>
      <c r="J27" s="174">
        <v>15</v>
      </c>
      <c r="K27" s="174">
        <v>10</v>
      </c>
      <c r="L27" s="175">
        <v>15</v>
      </c>
      <c r="M27" s="206"/>
      <c r="N27" s="542">
        <f t="shared" si="0"/>
        <v>70</v>
      </c>
      <c r="O27" s="536"/>
      <c r="P27" s="19" cm="1">
        <f t="array" ref="P27">composicaoValor(H27:L27,O27,M27)</f>
        <v>70</v>
      </c>
      <c r="Q27" s="173">
        <v>15</v>
      </c>
      <c r="R27" s="174">
        <v>15</v>
      </c>
      <c r="S27" s="174">
        <v>15</v>
      </c>
      <c r="T27" s="174">
        <v>10</v>
      </c>
      <c r="U27" s="174">
        <v>10</v>
      </c>
      <c r="V27" s="174"/>
      <c r="W27" s="542">
        <f t="shared" si="1"/>
        <v>65</v>
      </c>
      <c r="X27" s="536"/>
      <c r="Y27" s="19" cm="1">
        <f t="array" ref="Y27">composicaoValor(Q27:U27,X27,V27)</f>
        <v>65</v>
      </c>
      <c r="Z27" s="189"/>
      <c r="AA27" s="189"/>
      <c r="AB27" s="189"/>
      <c r="AC27" s="189"/>
      <c r="AD27" s="189"/>
      <c r="AE27" s="189"/>
      <c r="AF27" s="542" t="str">
        <f t="shared" si="2"/>
        <v/>
      </c>
      <c r="AG27" s="536"/>
      <c r="AH27" s="19" t="str" cm="1">
        <f t="array" ref="AH27">composicaoValor(Z27:AD27,AG27,AE27)</f>
        <v/>
      </c>
    </row>
    <row r="28" spans="1:38" x14ac:dyDescent="0.25">
      <c r="A28" s="160">
        <f>IF('Avaliação Períodos'!A29=0,"",'Avaliação Períodos'!A29)</f>
        <v>21</v>
      </c>
      <c r="B28" s="471" t="str">
        <f>IF('Avaliação Períodos'!B29=0,"",'Avaliação Períodos'!B29)</f>
        <v xml:space="preserve"> Sara Ferreira Gonç</v>
      </c>
      <c r="C28" s="472"/>
      <c r="D28" s="472"/>
      <c r="E28" s="472"/>
      <c r="F28" s="472"/>
      <c r="G28" s="516"/>
      <c r="H28" s="177">
        <v>15</v>
      </c>
      <c r="I28" s="171">
        <v>15</v>
      </c>
      <c r="J28" s="171">
        <v>15</v>
      </c>
      <c r="K28" s="171">
        <v>15</v>
      </c>
      <c r="L28" s="172">
        <v>20</v>
      </c>
      <c r="M28" s="208"/>
      <c r="N28" s="541">
        <f t="shared" si="0"/>
        <v>80</v>
      </c>
      <c r="O28" s="535"/>
      <c r="P28" s="19" cm="1">
        <f t="array" ref="P28">composicaoValor(H28:L28,O28,M28)</f>
        <v>80</v>
      </c>
      <c r="Q28" s="177">
        <v>15</v>
      </c>
      <c r="R28" s="171">
        <v>15</v>
      </c>
      <c r="S28" s="171">
        <v>15</v>
      </c>
      <c r="T28" s="171">
        <v>15</v>
      </c>
      <c r="U28" s="171">
        <v>20</v>
      </c>
      <c r="V28" s="171"/>
      <c r="W28" s="541">
        <f t="shared" si="1"/>
        <v>80</v>
      </c>
      <c r="X28" s="535"/>
      <c r="Y28" s="19" cm="1">
        <f t="array" ref="Y28">composicaoValor(Q28:U28,X28,V28)</f>
        <v>80</v>
      </c>
      <c r="Z28" s="190"/>
      <c r="AA28" s="190"/>
      <c r="AB28" s="190"/>
      <c r="AC28" s="190"/>
      <c r="AD28" s="190"/>
      <c r="AE28" s="190"/>
      <c r="AF28" s="541" t="str">
        <f t="shared" si="2"/>
        <v/>
      </c>
      <c r="AG28" s="535"/>
      <c r="AH28" s="19" t="str" cm="1">
        <f t="array" ref="AH28">composicaoValor(Z28:AD28,AG28,AE28)</f>
        <v/>
      </c>
    </row>
    <row r="29" spans="1:38" x14ac:dyDescent="0.25">
      <c r="A29" s="161">
        <f>IF('Avaliação Períodos'!A30=0,"",'Avaliação Períodos'!A30)</f>
        <v>22</v>
      </c>
      <c r="B29" s="489" t="str">
        <f>IF('Avaliação Períodos'!B30=0,"",'Avaliação Períodos'!B30)</f>
        <v xml:space="preserve">Sara Gomes </v>
      </c>
      <c r="C29" s="490"/>
      <c r="D29" s="490"/>
      <c r="E29" s="490"/>
      <c r="F29" s="490"/>
      <c r="G29" s="491"/>
      <c r="H29" s="178">
        <v>15</v>
      </c>
      <c r="I29" s="179">
        <v>15</v>
      </c>
      <c r="J29" s="179">
        <v>15</v>
      </c>
      <c r="K29" s="179">
        <v>15</v>
      </c>
      <c r="L29" s="180">
        <v>5</v>
      </c>
      <c r="M29" s="209"/>
      <c r="N29" s="543">
        <f t="shared" si="0"/>
        <v>65</v>
      </c>
      <c r="O29" s="537"/>
      <c r="P29" s="19" cm="1">
        <f t="array" ref="P29">composicaoValor(H29:L29,O29,M29)</f>
        <v>65</v>
      </c>
      <c r="Q29" s="178">
        <v>15</v>
      </c>
      <c r="R29" s="179">
        <v>15</v>
      </c>
      <c r="S29" s="179">
        <v>10</v>
      </c>
      <c r="T29" s="179">
        <v>10</v>
      </c>
      <c r="U29" s="179">
        <v>10</v>
      </c>
      <c r="V29" s="179"/>
      <c r="W29" s="543">
        <f t="shared" si="1"/>
        <v>60</v>
      </c>
      <c r="X29" s="537"/>
      <c r="Y29" s="19" cm="1">
        <f t="array" ref="Y29">composicaoValor(Q29:U29,X29,V29)</f>
        <v>60</v>
      </c>
      <c r="Z29" s="191"/>
      <c r="AA29" s="191"/>
      <c r="AB29" s="191"/>
      <c r="AC29" s="191"/>
      <c r="AD29" s="191"/>
      <c r="AE29" s="191"/>
      <c r="AF29" s="543" t="str">
        <f t="shared" si="2"/>
        <v/>
      </c>
      <c r="AG29" s="537"/>
      <c r="AH29" s="19" t="str" cm="1">
        <f t="array" ref="AH29">composicaoValor(Z29:AD29,AG29,AE29)</f>
        <v/>
      </c>
    </row>
    <row r="30" spans="1:38" x14ac:dyDescent="0.25">
      <c r="A30" s="160">
        <f>IF('Avaliação Períodos'!A31=0,"",'Avaliação Períodos'!A31)</f>
        <v>23</v>
      </c>
      <c r="B30" s="471" t="str">
        <f>IF('Avaliação Períodos'!B31=0,"",'Avaliação Períodos'!B31)</f>
        <v>Simão Mendes</v>
      </c>
      <c r="C30" s="472"/>
      <c r="D30" s="472"/>
      <c r="E30" s="472"/>
      <c r="F30" s="472"/>
      <c r="G30" s="516"/>
      <c r="H30" s="177">
        <v>15</v>
      </c>
      <c r="I30" s="171">
        <v>15</v>
      </c>
      <c r="J30" s="171">
        <v>15</v>
      </c>
      <c r="K30" s="171">
        <v>15</v>
      </c>
      <c r="L30" s="172">
        <v>15</v>
      </c>
      <c r="M30" s="208"/>
      <c r="N30" s="541">
        <f t="shared" si="0"/>
        <v>75</v>
      </c>
      <c r="O30" s="535"/>
      <c r="P30" s="19" cm="1">
        <f t="array" ref="P30">composicaoValor(H30:L30,O30,M30)</f>
        <v>75</v>
      </c>
      <c r="Q30" s="177">
        <v>15</v>
      </c>
      <c r="R30" s="171">
        <v>15</v>
      </c>
      <c r="S30" s="171">
        <v>10</v>
      </c>
      <c r="T30" s="171">
        <v>10</v>
      </c>
      <c r="U30" s="171">
        <v>10</v>
      </c>
      <c r="V30" s="171"/>
      <c r="W30" s="541">
        <f t="shared" si="1"/>
        <v>60</v>
      </c>
      <c r="X30" s="535"/>
      <c r="Y30" s="19" cm="1">
        <f t="array" ref="Y30">composicaoValor(Q30:U30,X30,V30)</f>
        <v>60</v>
      </c>
      <c r="Z30" s="190"/>
      <c r="AA30" s="190"/>
      <c r="AB30" s="190"/>
      <c r="AC30" s="190"/>
      <c r="AD30" s="190"/>
      <c r="AE30" s="190"/>
      <c r="AF30" s="541" t="str">
        <f t="shared" si="2"/>
        <v/>
      </c>
      <c r="AG30" s="535"/>
      <c r="AH30" s="19" t="str" cm="1">
        <f t="array" ref="AH30">composicaoValor(Z30:AD30,AG30,AE30)</f>
        <v/>
      </c>
    </row>
    <row r="31" spans="1:38" x14ac:dyDescent="0.25">
      <c r="A31" s="161">
        <f>IF('Avaliação Períodos'!A32=0,"",'Avaliação Períodos'!A32)</f>
        <v>24</v>
      </c>
      <c r="B31" s="489" t="str">
        <f>IF('Avaliação Períodos'!B32=0,"",'Avaliação Períodos'!B32)</f>
        <v>Simão Pedosa</v>
      </c>
      <c r="C31" s="490"/>
      <c r="D31" s="490"/>
      <c r="E31" s="490"/>
      <c r="F31" s="490"/>
      <c r="G31" s="491"/>
      <c r="H31" s="173">
        <v>15</v>
      </c>
      <c r="I31" s="174">
        <v>10</v>
      </c>
      <c r="J31" s="174">
        <v>10</v>
      </c>
      <c r="K31" s="174">
        <v>10</v>
      </c>
      <c r="L31" s="175">
        <v>10</v>
      </c>
      <c r="M31" s="206"/>
      <c r="N31" s="542">
        <f t="shared" si="0"/>
        <v>55</v>
      </c>
      <c r="O31" s="536"/>
      <c r="P31" s="19" cm="1">
        <f t="array" ref="P31">composicaoValor(H31:L31,O31,M31)</f>
        <v>55</v>
      </c>
      <c r="Q31" s="173">
        <v>15</v>
      </c>
      <c r="R31" s="174">
        <v>15</v>
      </c>
      <c r="S31" s="174">
        <v>10</v>
      </c>
      <c r="T31" s="174">
        <v>10</v>
      </c>
      <c r="U31" s="174">
        <v>10</v>
      </c>
      <c r="V31" s="174"/>
      <c r="W31" s="542">
        <f t="shared" si="1"/>
        <v>60</v>
      </c>
      <c r="X31" s="536"/>
      <c r="Y31" s="19" cm="1">
        <f t="array" ref="Y31">composicaoValor(Q31:U31,X31,V31)</f>
        <v>60</v>
      </c>
      <c r="Z31" s="189"/>
      <c r="AA31" s="189"/>
      <c r="AB31" s="189"/>
      <c r="AC31" s="189"/>
      <c r="AD31" s="189"/>
      <c r="AE31" s="189"/>
      <c r="AF31" s="542" t="str">
        <f t="shared" si="2"/>
        <v/>
      </c>
      <c r="AG31" s="536"/>
      <c r="AH31" s="19" t="str" cm="1">
        <f t="array" ref="AH31">composicaoValor(Z31:AD31,AG31,AE31)</f>
        <v/>
      </c>
    </row>
    <row r="32" spans="1:38" x14ac:dyDescent="0.25">
      <c r="A32" s="160">
        <f>IF('Avaliação Períodos'!A33=0,"",'Avaliação Períodos'!A33)</f>
        <v>25</v>
      </c>
      <c r="B32" s="471" t="str">
        <f>IF('Avaliação Períodos'!B33=0,"",'Avaliação Períodos'!B33)</f>
        <v>Sofia</v>
      </c>
      <c r="C32" s="472"/>
      <c r="D32" s="472"/>
      <c r="E32" s="472"/>
      <c r="F32" s="472"/>
      <c r="G32" s="516"/>
      <c r="H32" s="177">
        <v>20</v>
      </c>
      <c r="I32" s="171">
        <v>15</v>
      </c>
      <c r="J32" s="171">
        <v>15</v>
      </c>
      <c r="K32" s="171">
        <v>15</v>
      </c>
      <c r="L32" s="172">
        <v>15</v>
      </c>
      <c r="M32" s="208"/>
      <c r="N32" s="541">
        <f t="shared" si="0"/>
        <v>80</v>
      </c>
      <c r="O32" s="535"/>
      <c r="P32" s="19" cm="1">
        <f t="array" ref="P32">composicaoValor(H32:L32,O32,M32)</f>
        <v>80</v>
      </c>
      <c r="Q32" s="177">
        <v>15</v>
      </c>
      <c r="R32" s="171">
        <v>15</v>
      </c>
      <c r="S32" s="171">
        <v>15</v>
      </c>
      <c r="T32" s="171">
        <v>15</v>
      </c>
      <c r="U32" s="171">
        <v>20</v>
      </c>
      <c r="V32" s="171"/>
      <c r="W32" s="541">
        <f t="shared" si="1"/>
        <v>80</v>
      </c>
      <c r="X32" s="535"/>
      <c r="Y32" s="19" cm="1">
        <f t="array" ref="Y32">composicaoValor(Q32:U32,X32,V32)</f>
        <v>80</v>
      </c>
      <c r="Z32" s="190"/>
      <c r="AA32" s="190"/>
      <c r="AB32" s="190"/>
      <c r="AC32" s="190"/>
      <c r="AD32" s="190"/>
      <c r="AE32" s="190"/>
      <c r="AF32" s="541" t="str">
        <f t="shared" si="2"/>
        <v/>
      </c>
      <c r="AG32" s="535"/>
      <c r="AH32" s="19" t="str" cm="1">
        <f t="array" ref="AH32">composicaoValor(Z32:AD32,AG32,AE32)</f>
        <v/>
      </c>
    </row>
    <row r="33" spans="1:34" x14ac:dyDescent="0.25">
      <c r="A33" s="161">
        <f>IF('Avaliação Períodos'!A34=0,"",'Avaliação Períodos'!A34)</f>
        <v>26</v>
      </c>
      <c r="B33" s="489" t="str">
        <f>IF('Avaliação Períodos'!B34=0,"",'Avaliação Períodos'!B34)</f>
        <v>Tomás</v>
      </c>
      <c r="C33" s="490"/>
      <c r="D33" s="490"/>
      <c r="E33" s="490"/>
      <c r="F33" s="490"/>
      <c r="G33" s="491"/>
      <c r="H33" s="173">
        <v>20</v>
      </c>
      <c r="I33" s="174">
        <v>15</v>
      </c>
      <c r="J33" s="174">
        <v>15</v>
      </c>
      <c r="K33" s="174">
        <v>15</v>
      </c>
      <c r="L33" s="175">
        <v>15</v>
      </c>
      <c r="M33" s="206"/>
      <c r="N33" s="542">
        <f t="shared" si="0"/>
        <v>80</v>
      </c>
      <c r="O33" s="536"/>
      <c r="P33" s="19" cm="1">
        <f t="array" ref="P33">composicaoValor(H33:L33,O33,M33)</f>
        <v>80</v>
      </c>
      <c r="Q33" s="173">
        <v>15</v>
      </c>
      <c r="R33" s="174">
        <v>15</v>
      </c>
      <c r="S33" s="174">
        <v>10</v>
      </c>
      <c r="T33" s="174">
        <v>10</v>
      </c>
      <c r="U33" s="174">
        <v>20</v>
      </c>
      <c r="V33" s="174"/>
      <c r="W33" s="542">
        <f t="shared" si="1"/>
        <v>70</v>
      </c>
      <c r="X33" s="536"/>
      <c r="Y33" s="19" cm="1">
        <f t="array" ref="Y33">composicaoValor(Q33:U33,X33,V33)</f>
        <v>70</v>
      </c>
      <c r="Z33" s="189"/>
      <c r="AA33" s="189"/>
      <c r="AB33" s="189"/>
      <c r="AC33" s="189"/>
      <c r="AD33" s="189"/>
      <c r="AE33" s="189"/>
      <c r="AF33" s="542" t="str">
        <f t="shared" si="2"/>
        <v/>
      </c>
      <c r="AG33" s="536"/>
      <c r="AH33" s="19" t="str" cm="1">
        <f t="array" ref="AH33">composicaoValor(Z33:AD33,AG33,AE33)</f>
        <v/>
      </c>
    </row>
    <row r="34" spans="1:34" x14ac:dyDescent="0.25">
      <c r="A34" s="160">
        <f>IF('Avaliação Períodos'!A35=0,"",'Avaliação Períodos'!A35)</f>
        <v>27</v>
      </c>
      <c r="B34" s="471" t="str">
        <f>IF('Avaliação Períodos'!B35=0,"",'Avaliação Períodos'!B35)</f>
        <v/>
      </c>
      <c r="C34" s="472"/>
      <c r="D34" s="472"/>
      <c r="E34" s="472"/>
      <c r="F34" s="472"/>
      <c r="G34" s="516"/>
      <c r="H34" s="177"/>
      <c r="I34" s="171"/>
      <c r="J34" s="171"/>
      <c r="K34" s="171"/>
      <c r="L34" s="172"/>
      <c r="M34" s="208"/>
      <c r="N34" s="541" t="str">
        <f t="shared" si="0"/>
        <v/>
      </c>
      <c r="O34" s="535"/>
      <c r="P34" s="19" t="str" cm="1">
        <f t="array" ref="P34">composicaoValor(H34:L34,O34,M34)</f>
        <v/>
      </c>
      <c r="Q34" s="177"/>
      <c r="R34" s="171"/>
      <c r="S34" s="171"/>
      <c r="T34" s="171"/>
      <c r="U34" s="171"/>
      <c r="V34" s="171"/>
      <c r="W34" s="541" t="str">
        <f t="shared" si="1"/>
        <v/>
      </c>
      <c r="X34" s="535"/>
      <c r="Y34" s="19" t="str" cm="1">
        <f t="array" ref="Y34">composicaoValor(Q34:U34,X34,V34)</f>
        <v/>
      </c>
      <c r="Z34" s="190"/>
      <c r="AA34" s="190"/>
      <c r="AB34" s="190"/>
      <c r="AC34" s="190"/>
      <c r="AD34" s="190"/>
      <c r="AE34" s="190"/>
      <c r="AF34" s="541" t="str">
        <f t="shared" si="2"/>
        <v/>
      </c>
      <c r="AG34" s="535"/>
      <c r="AH34" s="19" t="str" cm="1">
        <f t="array" ref="AH34">composicaoValor(Z34:AD34,AG34,AE34)</f>
        <v/>
      </c>
    </row>
    <row r="35" spans="1:34" x14ac:dyDescent="0.25">
      <c r="A35" s="161">
        <f>IF('Avaliação Períodos'!A36=0,"",'Avaliação Períodos'!A36)</f>
        <v>28</v>
      </c>
      <c r="B35" s="489" t="str">
        <f>IF('Avaliação Períodos'!B36=0,"",'Avaliação Períodos'!B36)</f>
        <v xml:space="preserve"> </v>
      </c>
      <c r="C35" s="490"/>
      <c r="D35" s="490"/>
      <c r="E35" s="490"/>
      <c r="F35" s="490"/>
      <c r="G35" s="491"/>
      <c r="H35" s="173"/>
      <c r="I35" s="174"/>
      <c r="J35" s="174"/>
      <c r="K35" s="174"/>
      <c r="L35" s="175"/>
      <c r="M35" s="206"/>
      <c r="N35" s="542" t="str">
        <f t="shared" si="0"/>
        <v/>
      </c>
      <c r="O35" s="536"/>
      <c r="P35" s="19" t="str" cm="1">
        <f t="array" ref="P35">composicaoValor(H35:L35,O35,M35)</f>
        <v/>
      </c>
      <c r="Q35" s="173"/>
      <c r="R35" s="174"/>
      <c r="S35" s="174"/>
      <c r="T35" s="174"/>
      <c r="U35" s="174"/>
      <c r="V35" s="174"/>
      <c r="W35" s="542" t="str">
        <f t="shared" si="1"/>
        <v/>
      </c>
      <c r="X35" s="536"/>
      <c r="Y35" s="19" t="str" cm="1">
        <f t="array" ref="Y35">composicaoValor(Q35:U35,X35,V35)</f>
        <v/>
      </c>
      <c r="Z35" s="189"/>
      <c r="AA35" s="189"/>
      <c r="AB35" s="189"/>
      <c r="AC35" s="189"/>
      <c r="AD35" s="189"/>
      <c r="AE35" s="189"/>
      <c r="AF35" s="542" t="str">
        <f t="shared" si="2"/>
        <v/>
      </c>
      <c r="AG35" s="536"/>
      <c r="AH35" s="19" t="str" cm="1">
        <f t="array" ref="AH35">composicaoValor(Z35:AD35,AG35,AE35)</f>
        <v/>
      </c>
    </row>
    <row r="36" spans="1:34" x14ac:dyDescent="0.25">
      <c r="A36" s="162">
        <f>IF('Avaliação Períodos'!A37=0,"",'Avaliação Períodos'!A37)</f>
        <v>29</v>
      </c>
      <c r="B36" s="520" t="str">
        <f>IF('Avaliação Períodos'!B37=0,"",'Avaliação Períodos'!B37)</f>
        <v/>
      </c>
      <c r="C36" s="521"/>
      <c r="D36" s="521"/>
      <c r="E36" s="521"/>
      <c r="F36" s="521"/>
      <c r="G36" s="522"/>
      <c r="H36" s="181"/>
      <c r="I36" s="182"/>
      <c r="J36" s="182"/>
      <c r="K36" s="182"/>
      <c r="L36" s="182"/>
      <c r="M36" s="534"/>
      <c r="N36" s="544" t="str">
        <f t="shared" si="0"/>
        <v/>
      </c>
      <c r="O36" s="530"/>
      <c r="P36" s="19" t="str" cm="1">
        <f t="array" ref="P36">composicaoValor(H36:L36,O36,M36)</f>
        <v/>
      </c>
      <c r="Q36" s="181"/>
      <c r="R36" s="182"/>
      <c r="S36" s="182"/>
      <c r="T36" s="182"/>
      <c r="U36" s="182"/>
      <c r="V36" s="182"/>
      <c r="W36" s="544" t="str">
        <f t="shared" si="1"/>
        <v/>
      </c>
      <c r="X36" s="530"/>
      <c r="Y36" s="19" t="str" cm="1">
        <f t="array" ref="Y36">composicaoValor(Q36:U36,X36,V36)</f>
        <v/>
      </c>
      <c r="Z36" s="192"/>
      <c r="AA36" s="192"/>
      <c r="AB36" s="192"/>
      <c r="AC36" s="192"/>
      <c r="AD36" s="192"/>
      <c r="AE36" s="192"/>
      <c r="AF36" s="544" t="str">
        <f t="shared" si="2"/>
        <v/>
      </c>
      <c r="AG36" s="530"/>
      <c r="AH36" s="19" t="str" cm="1">
        <f t="array" ref="AH36">composicaoValor(Z36:AD36,AG36,AE36)</f>
        <v/>
      </c>
    </row>
    <row r="37" spans="1:34" x14ac:dyDescent="0.25">
      <c r="A37" s="163">
        <f>IF('Avaliação Períodos'!A38=0,"",'Avaliação Períodos'!A38)</f>
        <v>30</v>
      </c>
      <c r="B37" s="455" t="str">
        <f>IF('Avaliação Períodos'!B38=0,"",'Avaliação Períodos'!B38)</f>
        <v xml:space="preserve"> </v>
      </c>
      <c r="C37" s="456"/>
      <c r="D37" s="456"/>
      <c r="E37" s="456"/>
      <c r="F37" s="456"/>
      <c r="G37" s="457"/>
      <c r="H37" s="39"/>
      <c r="I37" s="545"/>
      <c r="J37" s="545"/>
      <c r="K37" s="545"/>
      <c r="L37" s="545"/>
      <c r="M37" s="546"/>
      <c r="N37" s="547" t="str">
        <f t="shared" si="0"/>
        <v/>
      </c>
      <c r="O37" s="538"/>
      <c r="P37" s="19" t="str" cm="1">
        <f t="array" ref="P37">composicaoValor(H37:L37,O37,M37)</f>
        <v/>
      </c>
      <c r="Q37" s="39"/>
      <c r="R37" s="40"/>
      <c r="S37" s="40"/>
      <c r="T37" s="40"/>
      <c r="U37" s="40"/>
      <c r="V37" s="40"/>
      <c r="W37" s="547" t="str">
        <f t="shared" si="1"/>
        <v/>
      </c>
      <c r="X37" s="538"/>
      <c r="Y37" s="19" t="str" cm="1">
        <f t="array" ref="Y37">composicaoValor(Q37:U37,X37,V37)</f>
        <v/>
      </c>
      <c r="Z37" s="193"/>
      <c r="AA37" s="194"/>
      <c r="AB37" s="194"/>
      <c r="AC37" s="194"/>
      <c r="AD37" s="194"/>
      <c r="AE37" s="194"/>
      <c r="AF37" s="547" t="str">
        <f t="shared" si="2"/>
        <v/>
      </c>
      <c r="AG37" s="538"/>
      <c r="AH37" s="19" t="str" cm="1">
        <f t="array" ref="AH37">composicaoValor(Z37:AD37,AG37,AE37)</f>
        <v/>
      </c>
    </row>
    <row r="38" spans="1:34" x14ac:dyDescent="0.25">
      <c r="A38" s="2"/>
      <c r="B38" s="2"/>
      <c r="C38" s="2"/>
      <c r="D38" s="2"/>
      <c r="E38" s="2"/>
      <c r="F38" s="2"/>
      <c r="G38" s="2"/>
      <c r="I38" s="446" t="s">
        <v>65</v>
      </c>
      <c r="J38" s="447"/>
      <c r="K38" s="447"/>
      <c r="L38" s="447"/>
      <c r="M38" s="447"/>
      <c r="N38" s="448"/>
      <c r="O38" s="323"/>
      <c r="P38" s="195">
        <f>IF(COUNT(P8:P37)=0,"",AVERAGE(P8:P37))</f>
        <v>62.46153846153846</v>
      </c>
      <c r="R38" s="446" t="s">
        <v>65</v>
      </c>
      <c r="S38" s="447"/>
      <c r="T38" s="447"/>
      <c r="U38" s="447"/>
      <c r="V38" s="447"/>
      <c r="W38" s="447"/>
      <c r="X38" s="448"/>
      <c r="Y38" s="195">
        <f>IF(COUNT(Y8:Y37)=0,"",AVERAGE(Y8:Y37))</f>
        <v>65.384615384615387</v>
      </c>
      <c r="Z38" s="109"/>
      <c r="AA38" s="53" t="s">
        <v>65</v>
      </c>
      <c r="AB38" s="54"/>
      <c r="AC38" s="54"/>
      <c r="AD38" s="54"/>
      <c r="AE38" s="54"/>
      <c r="AF38" s="54"/>
      <c r="AG38" s="55"/>
      <c r="AH38" s="195" t="str">
        <f>IF(COUNTBLANK(AH8:AH37)=30,"",AVERAGE(AH8:AH37))</f>
        <v/>
      </c>
    </row>
    <row r="39" spans="1:34" x14ac:dyDescent="0.25">
      <c r="A39" s="2"/>
      <c r="B39" s="2"/>
      <c r="C39" s="2"/>
      <c r="D39" s="2"/>
      <c r="E39" s="2"/>
      <c r="F39" s="2"/>
      <c r="G39" s="2"/>
      <c r="I39" s="446" t="s">
        <v>66</v>
      </c>
      <c r="J39" s="447"/>
      <c r="K39" s="447"/>
      <c r="L39" s="447"/>
      <c r="M39" s="447"/>
      <c r="N39" s="448"/>
      <c r="O39" s="323"/>
      <c r="P39" s="196">
        <f>COUNTIF(P8:P37,"&lt;50")</f>
        <v>4</v>
      </c>
      <c r="R39" s="446" t="s">
        <v>66</v>
      </c>
      <c r="S39" s="447"/>
      <c r="T39" s="447"/>
      <c r="U39" s="447"/>
      <c r="V39" s="447"/>
      <c r="W39" s="447"/>
      <c r="X39" s="448"/>
      <c r="Y39" s="196">
        <f>COUNTIF(Y8:Y37,"&lt;50")</f>
        <v>0</v>
      </c>
      <c r="AA39" s="53" t="s">
        <v>66</v>
      </c>
      <c r="AB39" s="54"/>
      <c r="AC39" s="54"/>
      <c r="AD39" s="54"/>
      <c r="AE39" s="54"/>
      <c r="AF39" s="54"/>
      <c r="AG39" s="55"/>
      <c r="AH39" s="196">
        <f>COUNTIF(AH8:AH37,"&lt;50")</f>
        <v>0</v>
      </c>
    </row>
    <row r="40" spans="1:34" x14ac:dyDescent="0.25">
      <c r="A40" s="2"/>
      <c r="B40" s="2"/>
      <c r="C40" s="2"/>
      <c r="D40" s="2"/>
      <c r="E40" s="2"/>
      <c r="F40" s="2"/>
      <c r="G40" s="2"/>
      <c r="I40" s="446" t="s">
        <v>67</v>
      </c>
      <c r="J40" s="447"/>
      <c r="K40" s="447"/>
      <c r="L40" s="447"/>
      <c r="M40" s="447"/>
      <c r="N40" s="448"/>
      <c r="O40" s="323"/>
      <c r="P40" s="197">
        <f>IF(COUNT(P8:P37)=0,"",$P39/(COUNT(P8:P37))*100)</f>
        <v>15.384615384615385</v>
      </c>
      <c r="R40" s="446" t="s">
        <v>67</v>
      </c>
      <c r="S40" s="447"/>
      <c r="T40" s="447"/>
      <c r="U40" s="447"/>
      <c r="V40" s="447"/>
      <c r="W40" s="447"/>
      <c r="X40" s="448"/>
      <c r="Y40" s="197">
        <f>IF(COUNT(Y8:Y37)=0,"",$Y39/(COUNT(Y8:Y37))*100)</f>
        <v>0</v>
      </c>
      <c r="AA40" s="53" t="s">
        <v>67</v>
      </c>
      <c r="AB40" s="54"/>
      <c r="AC40" s="54"/>
      <c r="AD40" s="54"/>
      <c r="AE40" s="54"/>
      <c r="AF40" s="54"/>
      <c r="AG40" s="55"/>
      <c r="AH40" s="197" t="str">
        <f>IF(COUNT(AH8:AH37)=0,"",$AH39/(COUNT(AH8:AH37))*100)</f>
        <v/>
      </c>
    </row>
    <row r="42" spans="1:34" x14ac:dyDescent="0.25">
      <c r="P42" s="514" t="s">
        <v>40</v>
      </c>
      <c r="Q42" s="514"/>
      <c r="R42" s="101"/>
      <c r="S42" s="17" t="s">
        <v>41</v>
      </c>
    </row>
    <row r="43" spans="1:34" x14ac:dyDescent="0.25">
      <c r="P43" s="20" t="s">
        <v>42</v>
      </c>
      <c r="Q43" s="21" t="s">
        <v>43</v>
      </c>
      <c r="R43" s="21"/>
      <c r="S43" s="22">
        <v>20</v>
      </c>
    </row>
    <row r="44" spans="1:34" x14ac:dyDescent="0.25">
      <c r="P44" s="20" t="s">
        <v>44</v>
      </c>
      <c r="Q44" s="21" t="s">
        <v>45</v>
      </c>
      <c r="R44" s="21"/>
      <c r="S44" s="22">
        <v>20</v>
      </c>
    </row>
    <row r="45" spans="1:34" x14ac:dyDescent="0.25">
      <c r="P45" s="20" t="s">
        <v>46</v>
      </c>
      <c r="Q45" s="21" t="s">
        <v>47</v>
      </c>
      <c r="R45" s="21"/>
      <c r="S45" s="22">
        <v>20</v>
      </c>
    </row>
    <row r="46" spans="1:34" x14ac:dyDescent="0.25">
      <c r="P46" s="20" t="s">
        <v>48</v>
      </c>
      <c r="Q46" s="21" t="s">
        <v>49</v>
      </c>
      <c r="R46" s="21"/>
      <c r="S46" s="22">
        <v>20</v>
      </c>
    </row>
    <row r="47" spans="1:34" x14ac:dyDescent="0.25">
      <c r="P47" s="20" t="s">
        <v>50</v>
      </c>
      <c r="Q47" s="21" t="s">
        <v>51</v>
      </c>
      <c r="R47" s="21"/>
      <c r="S47" s="22">
        <v>20</v>
      </c>
    </row>
    <row r="48" spans="1:34" x14ac:dyDescent="0.25">
      <c r="P48" s="20"/>
      <c r="Q48" s="21"/>
      <c r="R48" s="21"/>
      <c r="S48" s="22"/>
    </row>
    <row r="49" spans="14:19" x14ac:dyDescent="0.25">
      <c r="P49" s="20"/>
      <c r="Q49" s="21"/>
      <c r="R49" s="21"/>
      <c r="S49" s="27" t="s">
        <v>52</v>
      </c>
    </row>
    <row r="50" spans="14:19" x14ac:dyDescent="0.25">
      <c r="P50" s="20"/>
      <c r="Q50" s="28"/>
      <c r="R50" s="28"/>
      <c r="S50" s="22"/>
    </row>
    <row r="51" spans="14:19" x14ac:dyDescent="0.25">
      <c r="P51" s="16"/>
      <c r="Q51" s="29" t="s">
        <v>35</v>
      </c>
      <c r="R51" s="29"/>
      <c r="S51" s="101">
        <f>SUM(S43:S48)</f>
        <v>100</v>
      </c>
    </row>
    <row r="54" spans="14:19" x14ac:dyDescent="0.25">
      <c r="N54" s="526"/>
      <c r="O54" s="523"/>
    </row>
  </sheetData>
  <sheetProtection algorithmName="SHA-512" hashValue="pnRGP7SgvolV/ab49oHMRySkXJ7bFHfCufZ7q4bobXE/dP5n+KsPuRwMNqoWmtQA4a1MriKdyDEzeJ3K0T2lAQ==" saltValue="h4zxI3mQTnbEnTY7Ss2UtA==" spinCount="100000" sheet="1" objects="1" scenarios="1"/>
  <mergeCells count="48">
    <mergeCell ref="H4:O5"/>
    <mergeCell ref="B29:G29"/>
    <mergeCell ref="I40:N40"/>
    <mergeCell ref="R40:X40"/>
    <mergeCell ref="C6:G6"/>
    <mergeCell ref="B36:G36"/>
    <mergeCell ref="B37:G37"/>
    <mergeCell ref="I38:N38"/>
    <mergeCell ref="R38:X38"/>
    <mergeCell ref="I39:N39"/>
    <mergeCell ref="R39:X39"/>
    <mergeCell ref="B30:G30"/>
    <mergeCell ref="B31:G31"/>
    <mergeCell ref="B32:G32"/>
    <mergeCell ref="B33:G33"/>
    <mergeCell ref="B34:G34"/>
    <mergeCell ref="B35:G35"/>
    <mergeCell ref="B25:G25"/>
    <mergeCell ref="B26:G26"/>
    <mergeCell ref="B27:G27"/>
    <mergeCell ref="B28:G28"/>
    <mergeCell ref="B24:G24"/>
    <mergeCell ref="B18:G18"/>
    <mergeCell ref="B19:G19"/>
    <mergeCell ref="B20:G20"/>
    <mergeCell ref="B21:G21"/>
    <mergeCell ref="B22:G22"/>
    <mergeCell ref="B13:G13"/>
    <mergeCell ref="B14:G14"/>
    <mergeCell ref="B15:G15"/>
    <mergeCell ref="B16:G16"/>
    <mergeCell ref="B17:G17"/>
    <mergeCell ref="P42:Q42"/>
    <mergeCell ref="A3:G3"/>
    <mergeCell ref="H3:AH3"/>
    <mergeCell ref="D4:G5"/>
    <mergeCell ref="P4:P5"/>
    <mergeCell ref="Q4:X5"/>
    <mergeCell ref="Y4:Y5"/>
    <mergeCell ref="Z4:AG5"/>
    <mergeCell ref="AH4:AH5"/>
    <mergeCell ref="B7:G7"/>
    <mergeCell ref="B8:G8"/>
    <mergeCell ref="B9:G9"/>
    <mergeCell ref="B10:G10"/>
    <mergeCell ref="B11:G11"/>
    <mergeCell ref="B23:G23"/>
    <mergeCell ref="B12:G12"/>
  </mergeCells>
  <dataValidations count="3">
    <dataValidation type="decimal" allowBlank="1" showErrorMessage="1" errorTitle="Erro." error="Ultrapassou cotação máxima." sqref="W8:X37 H8:O37 Q8:V36 Z8:AE36 AF8:AG37" xr:uid="{00000000-0002-0000-0500-000000000000}">
      <formula1>0</formula1>
      <formula2>H7</formula2>
    </dataValidation>
    <dataValidation type="decimal" operator="lessThanOrEqual" allowBlank="1" showInputMessage="1" showErrorMessage="1" errorTitle="ERRO!" error="A pergunta não vale tanto!..." sqref="AA37:AE37 R37:V37 P8:P37" xr:uid="{00000000-0002-0000-0500-000001000000}">
      <formula1>P$7</formula1>
    </dataValidation>
    <dataValidation type="decimal" operator="lessThanOrEqual" allowBlank="1" showErrorMessage="1" errorTitle="ERRO!" error="A pergunta não vale tanto!" sqref="Q37 Z37" xr:uid="{00000000-0002-0000-0500-000002000000}">
      <formula1>Q$7</formula1>
    </dataValidation>
  </dataValidations>
  <pageMargins left="0.7" right="0.7" top="0.75" bottom="0.75" header="0.3" footer="0.3"/>
  <pageSetup paperSize="9" scale="87" fitToWidth="0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Folhas de Cálculo</vt:lpstr>
      </vt:variant>
      <vt:variant>
        <vt:i4>6</vt:i4>
      </vt:variant>
      <vt:variant>
        <vt:lpstr>Intervalos com Nome</vt:lpstr>
      </vt:variant>
      <vt:variant>
        <vt:i4>2</vt:i4>
      </vt:variant>
    </vt:vector>
  </HeadingPairs>
  <TitlesOfParts>
    <vt:vector size="8" baseType="lpstr">
      <vt:lpstr>Avaliação Períodos</vt:lpstr>
      <vt:lpstr>Oralidade</vt:lpstr>
      <vt:lpstr>Leitura</vt:lpstr>
      <vt:lpstr>Ed. Literária</vt:lpstr>
      <vt:lpstr>Gramática</vt:lpstr>
      <vt:lpstr>Escrita</vt:lpstr>
      <vt:lpstr>'Avaliação Períodos'!Área_de_Impressão</vt:lpstr>
      <vt:lpstr>Escrita!Área_de_Impressão</vt:lpstr>
    </vt:vector>
  </TitlesOfParts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Rosa</dc:creator>
  <cp:lastModifiedBy>miguelPC</cp:lastModifiedBy>
  <cp:revision/>
  <cp:lastPrinted>2020-06-29T16:07:21Z</cp:lastPrinted>
  <dcterms:created xsi:type="dcterms:W3CDTF">2011-09-16T07:34:53Z</dcterms:created>
  <dcterms:modified xsi:type="dcterms:W3CDTF">2020-09-27T12:02:47Z</dcterms:modified>
</cp:coreProperties>
</file>