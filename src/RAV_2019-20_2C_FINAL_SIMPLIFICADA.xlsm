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EsteLivro"/>
  <bookViews>
    <workbookView xWindow="-120" yWindow="-120" windowWidth="24240" windowHeight="13740"/>
  </bookViews>
  <sheets>
    <sheet name="SINTESE" sheetId="19" r:id="rId1"/>
    <sheet name="COMPETENCIAS" sheetId="34" r:id="rId2"/>
  </sheets>
  <externalReferences>
    <externalReference r:id="rId3"/>
  </externalReferences>
  <definedNames>
    <definedName name="AnoDoCalendário">#REF!</definedName>
    <definedName name="_xlnm.Print_Area" localSheetId="1">COMPETENCIAS!$B$4:$AJ$100</definedName>
    <definedName name="_xlnm.Print_Area" localSheetId="0">SINTESE!$B$2:$AM$46,SINTESE!$AO$2:$BZ$46,SINTESE!$CB$2:$EF$46</definedName>
    <definedName name="calend2019">#REF!</definedName>
    <definedName name="car_1">[1]ANUAL!$AH$10</definedName>
    <definedName name="cd_1">[1]ANUAL!$AH$13</definedName>
    <definedName name="EtiquetaDoTipoDoença">#REF!</definedName>
    <definedName name="EtiquetaDoTipoFérias">#REF!</definedName>
    <definedName name="EtiquetaDoTipoMotivosPessoais">#REF!</definedName>
    <definedName name="EtiquetaDoTipoPersonalizado1">#REF!</definedName>
    <definedName name="EtiquetaDoTipoPersonalizado2">#REF!</definedName>
    <definedName name="ID">#REF!</definedName>
    <definedName name="Nome_do_tipo">#REF!</definedName>
    <definedName name="pas_1">[1]ANUAL!$AH$9</definedName>
    <definedName name="ss_1">[1]ANUAL!$AH$12</definedName>
    <definedName name="TipoDoença">#REF!</definedName>
    <definedName name="TipoFérias">#REF!</definedName>
    <definedName name="TipoMotivosPessoais">#REF!</definedName>
    <definedName name="TipoPersonalizado1">#REF!</definedName>
    <definedName name="TipoPersonalizado2">#REF!</definedName>
    <definedName name="Título_Ausências_Funcionário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F6" i="19" l="1"/>
  <c r="BS6" i="19"/>
  <c r="DH6" i="19"/>
  <c r="CW6" i="19"/>
  <c r="CP6" i="19"/>
  <c r="DB6" i="19"/>
  <c r="AW6" i="19"/>
  <c r="AB6" i="19"/>
  <c r="P6" i="19"/>
  <c r="BO6" i="19"/>
  <c r="BC6" i="19"/>
  <c r="CJ6" i="19"/>
  <c r="J6" i="19"/>
  <c r="E60" i="34" l="1"/>
  <c r="G65" i="34" s="1"/>
  <c r="F60" i="34"/>
  <c r="F45" i="34"/>
  <c r="E44" i="34"/>
  <c r="G49" i="34" s="1"/>
  <c r="F36" i="34"/>
  <c r="E36" i="34"/>
  <c r="F29" i="34"/>
  <c r="G47" i="34" l="1"/>
  <c r="G48" i="34"/>
  <c r="K65" i="34"/>
  <c r="O65" i="34"/>
  <c r="S65" i="34"/>
  <c r="W65" i="34"/>
  <c r="AA65" i="34"/>
  <c r="AE65" i="34"/>
  <c r="AI65" i="34"/>
  <c r="J66" i="34"/>
  <c r="N66" i="34"/>
  <c r="R66" i="34"/>
  <c r="V66" i="34"/>
  <c r="Z66" i="34"/>
  <c r="AD66" i="34"/>
  <c r="AH66" i="34"/>
  <c r="I67" i="34"/>
  <c r="M67" i="34"/>
  <c r="Q67" i="34"/>
  <c r="U67" i="34"/>
  <c r="Y67" i="34"/>
  <c r="AC67" i="34"/>
  <c r="AG67" i="34"/>
  <c r="I65" i="34"/>
  <c r="M65" i="34"/>
  <c r="Q65" i="34"/>
  <c r="U65" i="34"/>
  <c r="Y65" i="34"/>
  <c r="AC65" i="34"/>
  <c r="AG65" i="34"/>
  <c r="H66" i="34"/>
  <c r="L66" i="34"/>
  <c r="P66" i="34"/>
  <c r="T66" i="34"/>
  <c r="X66" i="34"/>
  <c r="AB66" i="34"/>
  <c r="AF66" i="34"/>
  <c r="AJ66" i="34"/>
  <c r="K67" i="34"/>
  <c r="O67" i="34"/>
  <c r="S67" i="34"/>
  <c r="W67" i="34"/>
  <c r="AA67" i="34"/>
  <c r="AE67" i="34"/>
  <c r="AI67" i="34"/>
  <c r="N65" i="34"/>
  <c r="V65" i="34"/>
  <c r="AD65" i="34"/>
  <c r="I66" i="34"/>
  <c r="Q66" i="34"/>
  <c r="Y66" i="34"/>
  <c r="AG66" i="34"/>
  <c r="L67" i="34"/>
  <c r="T67" i="34"/>
  <c r="AB67" i="34"/>
  <c r="AJ67" i="34"/>
  <c r="H65" i="34"/>
  <c r="P65" i="34"/>
  <c r="X65" i="34"/>
  <c r="AF65" i="34"/>
  <c r="K66" i="34"/>
  <c r="S66" i="34"/>
  <c r="AA66" i="34"/>
  <c r="AI66" i="34"/>
  <c r="N67" i="34"/>
  <c r="V67" i="34"/>
  <c r="AD67" i="34"/>
  <c r="J65" i="34"/>
  <c r="Z65" i="34"/>
  <c r="M66" i="34"/>
  <c r="AC66" i="34"/>
  <c r="P67" i="34"/>
  <c r="AF67" i="34"/>
  <c r="R65" i="34"/>
  <c r="X67" i="34"/>
  <c r="T65" i="34"/>
  <c r="W66" i="34"/>
  <c r="J67" i="34"/>
  <c r="L65" i="34"/>
  <c r="AB65" i="34"/>
  <c r="O66" i="34"/>
  <c r="AE66" i="34"/>
  <c r="R67" i="34"/>
  <c r="AH67" i="34"/>
  <c r="AH65" i="34"/>
  <c r="U66" i="34"/>
  <c r="H67" i="34"/>
  <c r="AJ65" i="34"/>
  <c r="Z67" i="34"/>
  <c r="J47" i="34"/>
  <c r="N47" i="34"/>
  <c r="R47" i="34"/>
  <c r="V47" i="34"/>
  <c r="Z47" i="34"/>
  <c r="AD47" i="34"/>
  <c r="AH47" i="34"/>
  <c r="I48" i="34"/>
  <c r="M48" i="34"/>
  <c r="Q48" i="34"/>
  <c r="U48" i="34"/>
  <c r="Y48" i="34"/>
  <c r="AC48" i="34"/>
  <c r="AG48" i="34"/>
  <c r="H47" i="34"/>
  <c r="L47" i="34"/>
  <c r="P47" i="34"/>
  <c r="T47" i="34"/>
  <c r="X47" i="34"/>
  <c r="AB47" i="34"/>
  <c r="AF47" i="34"/>
  <c r="AJ47" i="34"/>
  <c r="K48" i="34"/>
  <c r="O48" i="34"/>
  <c r="S48" i="34"/>
  <c r="W48" i="34"/>
  <c r="AA48" i="34"/>
  <c r="AE48" i="34"/>
  <c r="AI48" i="34"/>
  <c r="I47" i="34"/>
  <c r="Q47" i="34"/>
  <c r="Y47" i="34"/>
  <c r="AG47" i="34"/>
  <c r="L48" i="34"/>
  <c r="T48" i="34"/>
  <c r="AB48" i="34"/>
  <c r="AJ48" i="34"/>
  <c r="K47" i="34"/>
  <c r="S47" i="34"/>
  <c r="AA47" i="34"/>
  <c r="AI47" i="34"/>
  <c r="N48" i="34"/>
  <c r="V48" i="34"/>
  <c r="AD48" i="34"/>
  <c r="U47" i="34"/>
  <c r="H48" i="34"/>
  <c r="X48" i="34"/>
  <c r="M47" i="34"/>
  <c r="P48" i="34"/>
  <c r="AE47" i="34"/>
  <c r="AH48" i="34"/>
  <c r="W47" i="34"/>
  <c r="J48" i="34"/>
  <c r="Z48" i="34"/>
  <c r="AC47" i="34"/>
  <c r="AF48" i="34"/>
  <c r="O47" i="34"/>
  <c r="R48" i="34"/>
  <c r="G67" i="34"/>
  <c r="G66" i="34"/>
  <c r="F44" i="34" l="1"/>
  <c r="E23" i="34"/>
  <c r="E21" i="34"/>
  <c r="G33" i="34" s="1"/>
  <c r="E7" i="34"/>
  <c r="G32" i="34" l="1"/>
  <c r="G30" i="34"/>
  <c r="G31" i="34"/>
  <c r="H15" i="34"/>
  <c r="J15" i="34"/>
  <c r="K15" i="34"/>
  <c r="O15" i="34"/>
  <c r="S15" i="34"/>
  <c r="L15" i="34"/>
  <c r="P15" i="34"/>
  <c r="T15" i="34"/>
  <c r="X15" i="34"/>
  <c r="M15" i="34"/>
  <c r="U15" i="34"/>
  <c r="Z15" i="34"/>
  <c r="AD15" i="34"/>
  <c r="AH15" i="34"/>
  <c r="I17" i="34"/>
  <c r="M17" i="34"/>
  <c r="Q17" i="34"/>
  <c r="U17" i="34"/>
  <c r="Y17" i="34"/>
  <c r="AC17" i="34"/>
  <c r="AG17" i="34"/>
  <c r="V15" i="34"/>
  <c r="AA15" i="34"/>
  <c r="AI15" i="34"/>
  <c r="R17" i="34"/>
  <c r="Z17" i="34"/>
  <c r="AH17" i="34"/>
  <c r="W15" i="34"/>
  <c r="AF15" i="34"/>
  <c r="O17" i="34"/>
  <c r="W17" i="34"/>
  <c r="AE17" i="34"/>
  <c r="AI17" i="34"/>
  <c r="I15" i="34"/>
  <c r="Y15" i="34"/>
  <c r="AG15" i="34"/>
  <c r="H17" i="34"/>
  <c r="P17" i="34"/>
  <c r="X17" i="34"/>
  <c r="AF17" i="34"/>
  <c r="N15" i="34"/>
  <c r="AE15" i="34"/>
  <c r="J17" i="34"/>
  <c r="N17" i="34"/>
  <c r="V17" i="34"/>
  <c r="AD17" i="34"/>
  <c r="Q15" i="34"/>
  <c r="AB15" i="34"/>
  <c r="AJ15" i="34"/>
  <c r="K17" i="34"/>
  <c r="S17" i="34"/>
  <c r="AA17" i="34"/>
  <c r="R15" i="34"/>
  <c r="AC15" i="34"/>
  <c r="L17" i="34"/>
  <c r="T17" i="34"/>
  <c r="AB17" i="34"/>
  <c r="AJ17" i="34"/>
  <c r="H30" i="34"/>
  <c r="L30" i="34"/>
  <c r="P30" i="34"/>
  <c r="T30" i="34"/>
  <c r="X30" i="34"/>
  <c r="AB30" i="34"/>
  <c r="AF30" i="34"/>
  <c r="AJ30" i="34"/>
  <c r="K31" i="34"/>
  <c r="O31" i="34"/>
  <c r="S31" i="34"/>
  <c r="W31" i="34"/>
  <c r="AA31" i="34"/>
  <c r="AE31" i="34"/>
  <c r="AI31" i="34"/>
  <c r="J32" i="34"/>
  <c r="N32" i="34"/>
  <c r="R32" i="34"/>
  <c r="V32" i="34"/>
  <c r="Z32" i="34"/>
  <c r="AD32" i="34"/>
  <c r="AH32" i="34"/>
  <c r="I30" i="34"/>
  <c r="M30" i="34"/>
  <c r="Q30" i="34"/>
  <c r="U30" i="34"/>
  <c r="Y30" i="34"/>
  <c r="AC30" i="34"/>
  <c r="AG30" i="34"/>
  <c r="H31" i="34"/>
  <c r="L31" i="34"/>
  <c r="P31" i="34"/>
  <c r="T31" i="34"/>
  <c r="X31" i="34"/>
  <c r="AB31" i="34"/>
  <c r="AF31" i="34"/>
  <c r="AJ31" i="34"/>
  <c r="K32" i="34"/>
  <c r="O32" i="34"/>
  <c r="S32" i="34"/>
  <c r="W32" i="34"/>
  <c r="AA32" i="34"/>
  <c r="AE32" i="34"/>
  <c r="AI32" i="34"/>
  <c r="N30" i="34"/>
  <c r="V30" i="34"/>
  <c r="AD30" i="34"/>
  <c r="I31" i="34"/>
  <c r="Q31" i="34"/>
  <c r="Y31" i="34"/>
  <c r="AG31" i="34"/>
  <c r="L32" i="34"/>
  <c r="T32" i="34"/>
  <c r="AB32" i="34"/>
  <c r="AJ32" i="34"/>
  <c r="J30" i="34"/>
  <c r="Z30" i="34"/>
  <c r="M31" i="34"/>
  <c r="AC31" i="34"/>
  <c r="P32" i="34"/>
  <c r="AF32" i="34"/>
  <c r="K30" i="34"/>
  <c r="AA30" i="34"/>
  <c r="N31" i="34"/>
  <c r="AD31" i="34"/>
  <c r="Q32" i="34"/>
  <c r="AG32" i="34"/>
  <c r="O30" i="34"/>
  <c r="W30" i="34"/>
  <c r="AE30" i="34"/>
  <c r="J31" i="34"/>
  <c r="R31" i="34"/>
  <c r="Z31" i="34"/>
  <c r="AH31" i="34"/>
  <c r="M32" i="34"/>
  <c r="U32" i="34"/>
  <c r="AC32" i="34"/>
  <c r="R30" i="34"/>
  <c r="AH30" i="34"/>
  <c r="U31" i="34"/>
  <c r="H32" i="34"/>
  <c r="X32" i="34"/>
  <c r="S30" i="34"/>
  <c r="AI30" i="34"/>
  <c r="V31" i="34"/>
  <c r="I32" i="34"/>
  <c r="Y32" i="34"/>
  <c r="L49" i="34"/>
  <c r="J49" i="34"/>
  <c r="Z49" i="34"/>
  <c r="AG49" i="34"/>
  <c r="AD49" i="34"/>
  <c r="AI49" i="34"/>
  <c r="AJ49" i="34"/>
  <c r="N49" i="34"/>
  <c r="I49" i="34"/>
  <c r="AH49" i="34"/>
  <c r="AE49" i="34"/>
  <c r="T49" i="34"/>
  <c r="W49" i="34"/>
  <c r="K49" i="34"/>
  <c r="U49" i="34"/>
  <c r="H49" i="34"/>
  <c r="V49" i="34"/>
  <c r="Y49" i="34"/>
  <c r="AB49" i="34"/>
  <c r="P49" i="34"/>
  <c r="O49" i="34"/>
  <c r="S49" i="34"/>
  <c r="R49" i="34"/>
  <c r="Q49" i="34"/>
  <c r="M49" i="34"/>
  <c r="X49" i="34"/>
  <c r="AC49" i="34"/>
  <c r="AA49" i="34"/>
  <c r="AF49" i="34"/>
  <c r="AI92" i="34" l="1"/>
  <c r="AI94" i="34" s="1"/>
  <c r="O92" i="34"/>
  <c r="O94" i="34" s="1"/>
  <c r="K92" i="34"/>
  <c r="K94" i="34" s="1"/>
  <c r="Z92" i="34"/>
  <c r="Z94" i="34" s="1"/>
  <c r="J92" i="34"/>
  <c r="J94" i="34" s="1"/>
  <c r="U92" i="34"/>
  <c r="U94" i="34" s="1"/>
  <c r="AJ92" i="34"/>
  <c r="AJ94" i="34" s="1"/>
  <c r="T92" i="34"/>
  <c r="T93" i="34" s="1"/>
  <c r="H80" i="34"/>
  <c r="H82" i="34" s="1"/>
  <c r="V92" i="34"/>
  <c r="V93" i="34" s="1"/>
  <c r="AG92" i="34"/>
  <c r="AG93" i="34" s="1"/>
  <c r="Q92" i="34"/>
  <c r="Q93" i="34" s="1"/>
  <c r="AF92" i="34"/>
  <c r="AF94" i="34" s="1"/>
  <c r="P92" i="34"/>
  <c r="P93" i="34" s="1"/>
  <c r="W92" i="34"/>
  <c r="W94" i="34" s="1"/>
  <c r="AH92" i="34"/>
  <c r="AH93" i="34" s="1"/>
  <c r="R92" i="34"/>
  <c r="R94" i="34" s="1"/>
  <c r="AC92" i="34"/>
  <c r="AC93" i="34" s="1"/>
  <c r="M92" i="34"/>
  <c r="M93" i="34" s="1"/>
  <c r="AB92" i="34"/>
  <c r="AB93" i="34" s="1"/>
  <c r="L92" i="34"/>
  <c r="L94" i="34" s="1"/>
  <c r="K80" i="34"/>
  <c r="K81" i="34" s="1"/>
  <c r="J80" i="34"/>
  <c r="J82" i="34" s="1"/>
  <c r="G92" i="34"/>
  <c r="G93" i="34" s="1"/>
  <c r="AE92" i="34"/>
  <c r="AE94" i="34" s="1"/>
  <c r="S92" i="34"/>
  <c r="S93" i="34" s="1"/>
  <c r="AA92" i="34"/>
  <c r="AA94" i="34" s="1"/>
  <c r="AD92" i="34"/>
  <c r="AD94" i="34" s="1"/>
  <c r="N92" i="34"/>
  <c r="N93" i="34" s="1"/>
  <c r="Y92" i="34"/>
  <c r="Y93" i="34" s="1"/>
  <c r="I92" i="34"/>
  <c r="I93" i="34" s="1"/>
  <c r="X92" i="34"/>
  <c r="X94" i="34" s="1"/>
  <c r="H92" i="34"/>
  <c r="H94" i="34" s="1"/>
  <c r="L80" i="34"/>
  <c r="L82" i="34" s="1"/>
  <c r="I80" i="34"/>
  <c r="I82" i="34" s="1"/>
  <c r="AI93" i="34"/>
  <c r="AB94" i="34" l="1"/>
  <c r="Q94" i="34"/>
  <c r="L81" i="34"/>
  <c r="K82" i="34"/>
  <c r="AC94" i="34"/>
  <c r="AD93" i="34"/>
  <c r="AJ93" i="34"/>
  <c r="AH94" i="34"/>
  <c r="V94" i="34"/>
  <c r="J93" i="34"/>
  <c r="K93" i="34"/>
  <c r="I81" i="34"/>
  <c r="Y94" i="34"/>
  <c r="P94" i="34"/>
  <c r="N94" i="34"/>
  <c r="S94" i="34"/>
  <c r="X93" i="34"/>
  <c r="G94" i="34"/>
  <c r="U93" i="34"/>
  <c r="T94" i="34"/>
  <c r="O93" i="34"/>
  <c r="Z93" i="34"/>
  <c r="I94" i="34"/>
  <c r="L93" i="34"/>
  <c r="M94" i="34"/>
  <c r="R93" i="34"/>
  <c r="W93" i="34"/>
  <c r="H93" i="34"/>
  <c r="AA93" i="34"/>
  <c r="AF93" i="34"/>
  <c r="AG94" i="34"/>
  <c r="H81" i="34"/>
  <c r="J81" i="34"/>
  <c r="AE93" i="34"/>
  <c r="CX40" i="19" l="1"/>
  <c r="DQ40" i="19" s="1"/>
  <c r="DG40" i="19" l="1"/>
  <c r="DY40" i="19" s="1"/>
  <c r="CQ36" i="19" l="1"/>
  <c r="DM36" i="19" s="1"/>
  <c r="EE41" i="19"/>
  <c r="BY41" i="19"/>
  <c r="AL41" i="19"/>
  <c r="AK43" i="19" s="1"/>
  <c r="BJ6" i="19"/>
  <c r="AF7" i="19"/>
  <c r="W7" i="19"/>
  <c r="DN4" i="19"/>
  <c r="DJ4" i="19"/>
  <c r="DZ4" i="19"/>
  <c r="DR4" i="19"/>
  <c r="DY4" i="19"/>
  <c r="DU4" i="19"/>
  <c r="DQ4" i="19"/>
  <c r="DM4" i="19"/>
  <c r="BT40" i="19" l="1"/>
  <c r="DX40" i="19" s="1"/>
  <c r="AG40" i="19"/>
  <c r="DW40" i="19" s="1"/>
  <c r="AG9" i="19"/>
  <c r="DW9" i="19" s="1"/>
  <c r="AG11" i="19"/>
  <c r="DW11" i="19" s="1"/>
  <c r="AG12" i="19"/>
  <c r="DW12" i="19" s="1"/>
  <c r="BX43" i="19"/>
  <c r="BX42" i="19"/>
  <c r="BX44" i="19"/>
  <c r="ED44" i="19"/>
  <c r="ED43" i="19"/>
  <c r="ED42" i="19"/>
  <c r="AG8" i="19"/>
  <c r="DW8" i="19" s="1"/>
  <c r="DG8" i="19"/>
  <c r="CQ40" i="19"/>
  <c r="DM40" i="19" s="1"/>
  <c r="CQ9" i="19"/>
  <c r="DM9" i="19" s="1"/>
  <c r="CQ11" i="19"/>
  <c r="DM11" i="19" s="1"/>
  <c r="CQ12" i="19"/>
  <c r="DM12" i="19" s="1"/>
  <c r="CQ13" i="19"/>
  <c r="DM13" i="19" s="1"/>
  <c r="CQ14" i="19"/>
  <c r="DM14" i="19" s="1"/>
  <c r="CQ15" i="19"/>
  <c r="DM15" i="19" s="1"/>
  <c r="CQ16" i="19"/>
  <c r="DM16" i="19" s="1"/>
  <c r="CQ17" i="19"/>
  <c r="DM17" i="19" s="1"/>
  <c r="CQ18" i="19"/>
  <c r="DM18" i="19" s="1"/>
  <c r="CQ19" i="19"/>
  <c r="DM19" i="19" s="1"/>
  <c r="CQ20" i="19"/>
  <c r="DM20" i="19" s="1"/>
  <c r="CQ21" i="19"/>
  <c r="DM21" i="19" s="1"/>
  <c r="CQ22" i="19"/>
  <c r="DM22" i="19" s="1"/>
  <c r="CQ23" i="19"/>
  <c r="DM23" i="19" s="1"/>
  <c r="CQ24" i="19"/>
  <c r="DM24" i="19" s="1"/>
  <c r="CQ25" i="19"/>
  <c r="DM25" i="19" s="1"/>
  <c r="CQ26" i="19"/>
  <c r="DM26" i="19" s="1"/>
  <c r="CQ27" i="19"/>
  <c r="DM27" i="19" s="1"/>
  <c r="CQ28" i="19"/>
  <c r="DM28" i="19" s="1"/>
  <c r="CQ29" i="19"/>
  <c r="DM29" i="19" s="1"/>
  <c r="CQ30" i="19"/>
  <c r="DM30" i="19" s="1"/>
  <c r="CQ31" i="19"/>
  <c r="DM31" i="19" s="1"/>
  <c r="CQ32" i="19"/>
  <c r="DM32" i="19" s="1"/>
  <c r="CQ33" i="19"/>
  <c r="DM33" i="19" s="1"/>
  <c r="CQ34" i="19"/>
  <c r="DM34" i="19" s="1"/>
  <c r="CQ35" i="19"/>
  <c r="DM35" i="19" s="1"/>
  <c r="CQ39" i="19"/>
  <c r="DM39" i="19" s="1"/>
  <c r="CQ37" i="19"/>
  <c r="DM37" i="19" s="1"/>
  <c r="CQ38" i="19"/>
  <c r="DM38" i="19" s="1"/>
  <c r="CQ10" i="19"/>
  <c r="DM10" i="19" s="1"/>
  <c r="DG9" i="19"/>
  <c r="DY9" i="19" s="1"/>
  <c r="DG10" i="19"/>
  <c r="DY10" i="19" s="1"/>
  <c r="DG11" i="19"/>
  <c r="DY11" i="19" s="1"/>
  <c r="DG12" i="19"/>
  <c r="DY12" i="19" s="1"/>
  <c r="DG13" i="19"/>
  <c r="DY13" i="19" s="1"/>
  <c r="DG14" i="19"/>
  <c r="DY14" i="19" s="1"/>
  <c r="DG15" i="19"/>
  <c r="DY15" i="19" s="1"/>
  <c r="DG16" i="19"/>
  <c r="DY16" i="19" s="1"/>
  <c r="DG17" i="19"/>
  <c r="DY17" i="19" s="1"/>
  <c r="DG18" i="19"/>
  <c r="DY18" i="19" s="1"/>
  <c r="DG19" i="19"/>
  <c r="DY19" i="19" s="1"/>
  <c r="DG20" i="19"/>
  <c r="DY20" i="19" s="1"/>
  <c r="DG21" i="19"/>
  <c r="DY21" i="19" s="1"/>
  <c r="DG22" i="19"/>
  <c r="DY22" i="19" s="1"/>
  <c r="DG23" i="19"/>
  <c r="DY23" i="19" s="1"/>
  <c r="DG24" i="19"/>
  <c r="DY24" i="19" s="1"/>
  <c r="DG25" i="19"/>
  <c r="DY25" i="19" s="1"/>
  <c r="DG26" i="19"/>
  <c r="DY26" i="19" s="1"/>
  <c r="DG27" i="19"/>
  <c r="DY27" i="19" s="1"/>
  <c r="DG28" i="19"/>
  <c r="DY28" i="19" s="1"/>
  <c r="DG29" i="19"/>
  <c r="DY29" i="19" s="1"/>
  <c r="DG30" i="19"/>
  <c r="DY30" i="19" s="1"/>
  <c r="DG31" i="19"/>
  <c r="DY31" i="19" s="1"/>
  <c r="DG32" i="19"/>
  <c r="DY32" i="19" s="1"/>
  <c r="DG33" i="19"/>
  <c r="DY33" i="19" s="1"/>
  <c r="DG34" i="19"/>
  <c r="DY34" i="19" s="1"/>
  <c r="DG35" i="19"/>
  <c r="DY35" i="19" s="1"/>
  <c r="DG36" i="19"/>
  <c r="DY36" i="19" s="1"/>
  <c r="DG37" i="19"/>
  <c r="DY37" i="19" s="1"/>
  <c r="DG38" i="19"/>
  <c r="DY38" i="19" s="1"/>
  <c r="DG39" i="19"/>
  <c r="DY39" i="19" s="1"/>
  <c r="DV4" i="19"/>
  <c r="BX41" i="19"/>
  <c r="AK42" i="19"/>
  <c r="AK41" i="19"/>
  <c r="ED41" i="19"/>
  <c r="AK44" i="19"/>
  <c r="DZ40" i="19" l="1"/>
  <c r="BD35" i="19"/>
  <c r="DL35" i="19" s="1"/>
  <c r="BD17" i="19"/>
  <c r="DL17" i="19" s="1"/>
  <c r="BD18" i="19"/>
  <c r="DL18" i="19" s="1"/>
  <c r="BD40" i="19"/>
  <c r="DL40" i="19" s="1"/>
  <c r="BD23" i="19"/>
  <c r="DL23" i="19" s="1"/>
  <c r="BD14" i="19"/>
  <c r="DL14" i="19" s="1"/>
  <c r="BD39" i="19"/>
  <c r="DL39" i="19" s="1"/>
  <c r="BD11" i="19"/>
  <c r="DL11" i="19" s="1"/>
  <c r="BD13" i="19"/>
  <c r="DL13" i="19" s="1"/>
  <c r="Q18" i="19"/>
  <c r="DK18" i="19" s="1"/>
  <c r="Q14" i="19"/>
  <c r="DK14" i="19" s="1"/>
  <c r="Q12" i="19"/>
  <c r="DK12" i="19" s="1"/>
  <c r="Q10" i="19"/>
  <c r="DK10" i="19" s="1"/>
  <c r="Q36" i="19"/>
  <c r="DK36" i="19" s="1"/>
  <c r="Q30" i="19"/>
  <c r="DK30" i="19" s="1"/>
  <c r="Q33" i="19"/>
  <c r="DK33" i="19" s="1"/>
  <c r="Q31" i="19"/>
  <c r="DK31" i="19" s="1"/>
  <c r="Q25" i="19"/>
  <c r="DK25" i="19" s="1"/>
  <c r="Q21" i="19"/>
  <c r="DK21" i="19" s="1"/>
  <c r="Q15" i="19"/>
  <c r="DK15" i="19" s="1"/>
  <c r="Q38" i="19"/>
  <c r="DK38" i="19" s="1"/>
  <c r="BP40" i="19"/>
  <c r="DT40" i="19" s="1"/>
  <c r="CX16" i="19"/>
  <c r="DQ16" i="19" s="1"/>
  <c r="CX30" i="19"/>
  <c r="DQ30" i="19" s="1"/>
  <c r="CX12" i="19"/>
  <c r="DQ12" i="19" s="1"/>
  <c r="CX34" i="19"/>
  <c r="DQ34" i="19" s="1"/>
  <c r="BT28" i="19"/>
  <c r="DX28" i="19" s="1"/>
  <c r="BT39" i="19"/>
  <c r="DX39" i="19" s="1"/>
  <c r="BT35" i="19"/>
  <c r="DX35" i="19" s="1"/>
  <c r="BT31" i="19"/>
  <c r="DX31" i="19" s="1"/>
  <c r="BT27" i="19"/>
  <c r="DX27" i="19" s="1"/>
  <c r="BT23" i="19"/>
  <c r="DX23" i="19" s="1"/>
  <c r="BT19" i="19"/>
  <c r="DX19" i="19" s="1"/>
  <c r="BT15" i="19"/>
  <c r="DX15" i="19" s="1"/>
  <c r="BT11" i="19"/>
  <c r="DX11" i="19" s="1"/>
  <c r="DZ11" i="19" s="1"/>
  <c r="BT32" i="19"/>
  <c r="DX32" i="19" s="1"/>
  <c r="BT24" i="19"/>
  <c r="DX24" i="19" s="1"/>
  <c r="BT16" i="19"/>
  <c r="DX16" i="19" s="1"/>
  <c r="BT12" i="19"/>
  <c r="DX12" i="19" s="1"/>
  <c r="DZ12" i="19" s="1"/>
  <c r="BT38" i="19"/>
  <c r="DX38" i="19" s="1"/>
  <c r="BT34" i="19"/>
  <c r="DX34" i="19" s="1"/>
  <c r="BT30" i="19"/>
  <c r="DX30" i="19" s="1"/>
  <c r="BT26" i="19"/>
  <c r="DX26" i="19" s="1"/>
  <c r="BT22" i="19"/>
  <c r="DX22" i="19" s="1"/>
  <c r="BT18" i="19"/>
  <c r="DX18" i="19" s="1"/>
  <c r="BT14" i="19"/>
  <c r="DX14" i="19" s="1"/>
  <c r="BT10" i="19"/>
  <c r="DX10" i="19" s="1"/>
  <c r="BT36" i="19"/>
  <c r="DX36" i="19" s="1"/>
  <c r="BT20" i="19"/>
  <c r="DX20" i="19" s="1"/>
  <c r="BT37" i="19"/>
  <c r="DX37" i="19" s="1"/>
  <c r="BT33" i="19"/>
  <c r="DX33" i="19" s="1"/>
  <c r="BT29" i="19"/>
  <c r="DX29" i="19" s="1"/>
  <c r="BT25" i="19"/>
  <c r="DX25" i="19" s="1"/>
  <c r="BT21" i="19"/>
  <c r="DX21" i="19" s="1"/>
  <c r="BT17" i="19"/>
  <c r="DX17" i="19" s="1"/>
  <c r="BT13" i="19"/>
  <c r="DX13" i="19" s="1"/>
  <c r="BT9" i="19"/>
  <c r="DX9" i="19" s="1"/>
  <c r="DZ9" i="19" s="1"/>
  <c r="CX19" i="19"/>
  <c r="DQ19" i="19" s="1"/>
  <c r="CX23" i="19"/>
  <c r="DQ23" i="19" s="1"/>
  <c r="CX20" i="19"/>
  <c r="DQ20" i="19" s="1"/>
  <c r="CX38" i="19"/>
  <c r="DQ38" i="19" s="1"/>
  <c r="CX24" i="19"/>
  <c r="DQ24" i="19" s="1"/>
  <c r="CX26" i="19"/>
  <c r="DQ26" i="19" s="1"/>
  <c r="CX35" i="19"/>
  <c r="DQ35" i="19" s="1"/>
  <c r="CX9" i="19"/>
  <c r="DQ9" i="19" s="1"/>
  <c r="CX18" i="19"/>
  <c r="DQ18" i="19" s="1"/>
  <c r="CX39" i="19"/>
  <c r="DQ39" i="19" s="1"/>
  <c r="CX14" i="19"/>
  <c r="DQ14" i="19" s="1"/>
  <c r="CX27" i="19"/>
  <c r="DQ27" i="19" s="1"/>
  <c r="CX28" i="19"/>
  <c r="DQ28" i="19" s="1"/>
  <c r="CX25" i="19"/>
  <c r="DQ25" i="19" s="1"/>
  <c r="CX10" i="19"/>
  <c r="DQ10" i="19" s="1"/>
  <c r="CX15" i="19"/>
  <c r="DQ15" i="19" s="1"/>
  <c r="CX31" i="19"/>
  <c r="DQ31" i="19" s="1"/>
  <c r="CX32" i="19"/>
  <c r="DQ32" i="19" s="1"/>
  <c r="CX36" i="19"/>
  <c r="DQ36" i="19" s="1"/>
  <c r="CX17" i="19"/>
  <c r="DQ17" i="19" s="1"/>
  <c r="CX33" i="19"/>
  <c r="DQ33" i="19" s="1"/>
  <c r="CX21" i="19"/>
  <c r="DQ21" i="19" s="1"/>
  <c r="CX37" i="19"/>
  <c r="DQ37" i="19" s="1"/>
  <c r="AG39" i="19"/>
  <c r="DW39" i="19" s="1"/>
  <c r="AG27" i="19"/>
  <c r="DW27" i="19" s="1"/>
  <c r="AG15" i="19"/>
  <c r="DW15" i="19" s="1"/>
  <c r="AG38" i="19"/>
  <c r="DW38" i="19" s="1"/>
  <c r="AG34" i="19"/>
  <c r="DW34" i="19" s="1"/>
  <c r="AG30" i="19"/>
  <c r="DW30" i="19" s="1"/>
  <c r="AG26" i="19"/>
  <c r="DW26" i="19" s="1"/>
  <c r="AG22" i="19"/>
  <c r="DW22" i="19" s="1"/>
  <c r="AG18" i="19"/>
  <c r="DW18" i="19" s="1"/>
  <c r="AG14" i="19"/>
  <c r="DW14" i="19" s="1"/>
  <c r="AG10" i="19"/>
  <c r="DW10" i="19" s="1"/>
  <c r="AG35" i="19"/>
  <c r="DW35" i="19" s="1"/>
  <c r="AG31" i="19"/>
  <c r="DW31" i="19" s="1"/>
  <c r="AG23" i="19"/>
  <c r="DW23" i="19" s="1"/>
  <c r="AG19" i="19"/>
  <c r="DW19" i="19" s="1"/>
  <c r="AG37" i="19"/>
  <c r="DW37" i="19" s="1"/>
  <c r="AG33" i="19"/>
  <c r="DW33" i="19" s="1"/>
  <c r="AG29" i="19"/>
  <c r="DW29" i="19" s="1"/>
  <c r="AG25" i="19"/>
  <c r="DW25" i="19" s="1"/>
  <c r="AG21" i="19"/>
  <c r="DW21" i="19" s="1"/>
  <c r="AG17" i="19"/>
  <c r="DW17" i="19" s="1"/>
  <c r="AG13" i="19"/>
  <c r="DW13" i="19" s="1"/>
  <c r="AG36" i="19"/>
  <c r="DW36" i="19" s="1"/>
  <c r="AG32" i="19"/>
  <c r="DW32" i="19" s="1"/>
  <c r="AG28" i="19"/>
  <c r="DW28" i="19" s="1"/>
  <c r="AG24" i="19"/>
  <c r="DW24" i="19" s="1"/>
  <c r="AG20" i="19"/>
  <c r="DW20" i="19" s="1"/>
  <c r="AG16" i="19"/>
  <c r="DW16" i="19" s="1"/>
  <c r="BT8" i="19"/>
  <c r="DX8" i="19" s="1"/>
  <c r="DY8" i="19"/>
  <c r="AK45" i="19"/>
  <c r="ED45" i="19"/>
  <c r="BX45" i="19"/>
  <c r="DN18" i="19" l="1"/>
  <c r="DZ36" i="19"/>
  <c r="DZ18" i="19"/>
  <c r="DZ34" i="19"/>
  <c r="DN14" i="19"/>
  <c r="BD16" i="19"/>
  <c r="DL16" i="19" s="1"/>
  <c r="BD28" i="19"/>
  <c r="DL28" i="19" s="1"/>
  <c r="BD26" i="19"/>
  <c r="DL26" i="19" s="1"/>
  <c r="BP25" i="19"/>
  <c r="DT25" i="19" s="1"/>
  <c r="BP9" i="19"/>
  <c r="DT9" i="19" s="1"/>
  <c r="BP17" i="19"/>
  <c r="DT17" i="19" s="1"/>
  <c r="BP11" i="19"/>
  <c r="DT11" i="19" s="1"/>
  <c r="BP23" i="19"/>
  <c r="DT23" i="19" s="1"/>
  <c r="BP33" i="19"/>
  <c r="DT33" i="19" s="1"/>
  <c r="BP27" i="19"/>
  <c r="DT27" i="19" s="1"/>
  <c r="BP34" i="19"/>
  <c r="DT34" i="19" s="1"/>
  <c r="BP36" i="19"/>
  <c r="DT36" i="19" s="1"/>
  <c r="Q22" i="19"/>
  <c r="DK22" i="19" s="1"/>
  <c r="Q26" i="19"/>
  <c r="DK26" i="19" s="1"/>
  <c r="Q32" i="19"/>
  <c r="DK32" i="19" s="1"/>
  <c r="Q39" i="19"/>
  <c r="DK39" i="19" s="1"/>
  <c r="DN39" i="19" s="1"/>
  <c r="Q16" i="19"/>
  <c r="DK16" i="19" s="1"/>
  <c r="DN16" i="19" s="1"/>
  <c r="Q20" i="19"/>
  <c r="DK20" i="19" s="1"/>
  <c r="Q24" i="19"/>
  <c r="DK24" i="19" s="1"/>
  <c r="Q28" i="19"/>
  <c r="DK28" i="19" s="1"/>
  <c r="Q34" i="19"/>
  <c r="DK34" i="19" s="1"/>
  <c r="BD21" i="19"/>
  <c r="DL21" i="19" s="1"/>
  <c r="DN21" i="19" s="1"/>
  <c r="BD27" i="19"/>
  <c r="DL27" i="19" s="1"/>
  <c r="BD31" i="19"/>
  <c r="DL31" i="19" s="1"/>
  <c r="DN31" i="19" s="1"/>
  <c r="BD22" i="19"/>
  <c r="DL22" i="19" s="1"/>
  <c r="DN22" i="19" s="1"/>
  <c r="BD24" i="19"/>
  <c r="DL24" i="19" s="1"/>
  <c r="BD29" i="19"/>
  <c r="DL29" i="19" s="1"/>
  <c r="BD37" i="19"/>
  <c r="DL37" i="19" s="1"/>
  <c r="BD36" i="19"/>
  <c r="DL36" i="19" s="1"/>
  <c r="BD20" i="19"/>
  <c r="DL20" i="19" s="1"/>
  <c r="DN20" i="19" s="1"/>
  <c r="BD12" i="19"/>
  <c r="DL12" i="19" s="1"/>
  <c r="DN12" i="19" s="1"/>
  <c r="BD33" i="19"/>
  <c r="DL33" i="19" s="1"/>
  <c r="DN33" i="19" s="1"/>
  <c r="DN36" i="19"/>
  <c r="BD34" i="19"/>
  <c r="DL34" i="19" s="1"/>
  <c r="BD30" i="19"/>
  <c r="DL30" i="19" s="1"/>
  <c r="DN30" i="19" s="1"/>
  <c r="BD25" i="19"/>
  <c r="DL25" i="19" s="1"/>
  <c r="DN25" i="19" s="1"/>
  <c r="BD32" i="19"/>
  <c r="DL32" i="19" s="1"/>
  <c r="BD9" i="19"/>
  <c r="DL9" i="19" s="1"/>
  <c r="BD15" i="19"/>
  <c r="DL15" i="19" s="1"/>
  <c r="DN15" i="19" s="1"/>
  <c r="BD19" i="19"/>
  <c r="DL19" i="19" s="1"/>
  <c r="BD38" i="19"/>
  <c r="DL38" i="19" s="1"/>
  <c r="DN38" i="19" s="1"/>
  <c r="BD10" i="19"/>
  <c r="DL10" i="19" s="1"/>
  <c r="DN10" i="19" s="1"/>
  <c r="Q11" i="19"/>
  <c r="DK11" i="19" s="1"/>
  <c r="DN11" i="19" s="1"/>
  <c r="Q19" i="19"/>
  <c r="DK19" i="19" s="1"/>
  <c r="DN19" i="19" s="1"/>
  <c r="Q23" i="19"/>
  <c r="DK23" i="19" s="1"/>
  <c r="DN23" i="19" s="1"/>
  <c r="Q27" i="19"/>
  <c r="DK27" i="19" s="1"/>
  <c r="Q35" i="19"/>
  <c r="DK35" i="19" s="1"/>
  <c r="DN35" i="19" s="1"/>
  <c r="Q40" i="19"/>
  <c r="DK40" i="19" s="1"/>
  <c r="DN40" i="19" s="1"/>
  <c r="Q13" i="19"/>
  <c r="DK13" i="19" s="1"/>
  <c r="DN13" i="19" s="1"/>
  <c r="Q17" i="19"/>
  <c r="DK17" i="19" s="1"/>
  <c r="DN17" i="19" s="1"/>
  <c r="Q29" i="19"/>
  <c r="DK29" i="19" s="1"/>
  <c r="DN29" i="19" s="1"/>
  <c r="Q37" i="19"/>
  <c r="DK37" i="19" s="1"/>
  <c r="Q9" i="19"/>
  <c r="DK9" i="19" s="1"/>
  <c r="BK12" i="19"/>
  <c r="DP12" i="19" s="1"/>
  <c r="CX13" i="19"/>
  <c r="DQ13" i="19" s="1"/>
  <c r="CX11" i="19"/>
  <c r="DQ11" i="19" s="1"/>
  <c r="X9" i="19"/>
  <c r="DO9" i="19" s="1"/>
  <c r="BK34" i="19"/>
  <c r="DP34" i="19" s="1"/>
  <c r="BK33" i="19"/>
  <c r="DP33" i="19" s="1"/>
  <c r="CX29" i="19"/>
  <c r="DQ29" i="19" s="1"/>
  <c r="CX22" i="19"/>
  <c r="DQ22" i="19" s="1"/>
  <c r="DZ33" i="19"/>
  <c r="DZ16" i="19"/>
  <c r="DZ32" i="19"/>
  <c r="DZ21" i="19"/>
  <c r="DZ37" i="19"/>
  <c r="DZ35" i="19"/>
  <c r="DZ22" i="19"/>
  <c r="DZ38" i="19"/>
  <c r="DZ28" i="19"/>
  <c r="DZ31" i="19"/>
  <c r="DZ19" i="19"/>
  <c r="DZ26" i="19"/>
  <c r="DZ15" i="19"/>
  <c r="DZ17" i="19"/>
  <c r="DZ39" i="19"/>
  <c r="DZ20" i="19"/>
  <c r="DZ25" i="19"/>
  <c r="DZ10" i="19"/>
  <c r="DZ24" i="19"/>
  <c r="DZ13" i="19"/>
  <c r="DZ29" i="19"/>
  <c r="DZ23" i="19"/>
  <c r="DZ14" i="19"/>
  <c r="DZ30" i="19"/>
  <c r="DZ27" i="19"/>
  <c r="BK30" i="19"/>
  <c r="DP30" i="19" s="1"/>
  <c r="BK25" i="19"/>
  <c r="DP25" i="19" s="1"/>
  <c r="BK10" i="19"/>
  <c r="DP10" i="19" s="1"/>
  <c r="BK19" i="19"/>
  <c r="DP19" i="19" s="1"/>
  <c r="BK35" i="19"/>
  <c r="DP35" i="19" s="1"/>
  <c r="BK16" i="19"/>
  <c r="DP16" i="19" s="1"/>
  <c r="BK32" i="19"/>
  <c r="DP32" i="19" s="1"/>
  <c r="BK13" i="19"/>
  <c r="DP13" i="19" s="1"/>
  <c r="BK29" i="19"/>
  <c r="DP29" i="19" s="1"/>
  <c r="BK15" i="19"/>
  <c r="DP15" i="19" s="1"/>
  <c r="BK28" i="19"/>
  <c r="DP28" i="19" s="1"/>
  <c r="BK22" i="19"/>
  <c r="DP22" i="19" s="1"/>
  <c r="BK26" i="19"/>
  <c r="DP26" i="19" s="1"/>
  <c r="BK23" i="19"/>
  <c r="DP23" i="19" s="1"/>
  <c r="BK39" i="19"/>
  <c r="DP39" i="19" s="1"/>
  <c r="BK20" i="19"/>
  <c r="DP20" i="19" s="1"/>
  <c r="BK36" i="19"/>
  <c r="DP36" i="19" s="1"/>
  <c r="BK17" i="19"/>
  <c r="DP17" i="19" s="1"/>
  <c r="BK18" i="19"/>
  <c r="DP18" i="19" s="1"/>
  <c r="BK31" i="19"/>
  <c r="DP31" i="19" s="1"/>
  <c r="BK9" i="19"/>
  <c r="DP9" i="19" s="1"/>
  <c r="BK14" i="19"/>
  <c r="DP14" i="19" s="1"/>
  <c r="BK38" i="19"/>
  <c r="DP38" i="19" s="1"/>
  <c r="BK11" i="19"/>
  <c r="DP11" i="19" s="1"/>
  <c r="BK27" i="19"/>
  <c r="DP27" i="19" s="1"/>
  <c r="BK24" i="19"/>
  <c r="DP24" i="19" s="1"/>
  <c r="BK40" i="19"/>
  <c r="DP40" i="19" s="1"/>
  <c r="BK21" i="19"/>
  <c r="DP21" i="19" s="1"/>
  <c r="BK37" i="19"/>
  <c r="DP37" i="19" s="1"/>
  <c r="DZ8" i="19"/>
  <c r="DN24" i="19" l="1"/>
  <c r="DN32" i="19"/>
  <c r="DN28" i="19"/>
  <c r="DN27" i="19"/>
  <c r="DN26" i="19"/>
  <c r="DN34" i="19"/>
  <c r="DN9" i="19"/>
  <c r="DN37" i="19"/>
  <c r="BP35" i="19"/>
  <c r="DT35" i="19" s="1"/>
  <c r="BP12" i="19"/>
  <c r="DT12" i="19" s="1"/>
  <c r="BP13" i="19"/>
  <c r="DT13" i="19" s="1"/>
  <c r="BP28" i="19"/>
  <c r="DT28" i="19" s="1"/>
  <c r="BP22" i="19"/>
  <c r="DT22" i="19" s="1"/>
  <c r="BP26" i="19"/>
  <c r="DT26" i="19" s="1"/>
  <c r="BP39" i="19"/>
  <c r="DT39" i="19" s="1"/>
  <c r="BP16" i="19"/>
  <c r="DT16" i="19" s="1"/>
  <c r="BP31" i="19"/>
  <c r="DT31" i="19" s="1"/>
  <c r="BP10" i="19"/>
  <c r="DT10" i="19" s="1"/>
  <c r="BP29" i="19"/>
  <c r="DT29" i="19" s="1"/>
  <c r="BP14" i="19"/>
  <c r="DT14" i="19" s="1"/>
  <c r="BP18" i="19"/>
  <c r="DT18" i="19" s="1"/>
  <c r="BP32" i="19"/>
  <c r="DT32" i="19" s="1"/>
  <c r="BP38" i="19"/>
  <c r="DT38" i="19" s="1"/>
  <c r="BP24" i="19"/>
  <c r="DT24" i="19" s="1"/>
  <c r="BP37" i="19"/>
  <c r="DT37" i="19" s="1"/>
  <c r="BP20" i="19"/>
  <c r="DT20" i="19" s="1"/>
  <c r="BP19" i="19"/>
  <c r="DT19" i="19" s="1"/>
  <c r="BP15" i="19"/>
  <c r="DT15" i="19" s="1"/>
  <c r="BP21" i="19"/>
  <c r="DT21" i="19" s="1"/>
  <c r="BP30" i="19"/>
  <c r="DT30" i="19" s="1"/>
  <c r="DR9" i="19"/>
  <c r="AC16" i="19"/>
  <c r="DS16" i="19" s="1"/>
  <c r="AC10" i="19"/>
  <c r="DS10" i="19" s="1"/>
  <c r="AC22" i="19"/>
  <c r="DS22" i="19" s="1"/>
  <c r="AC26" i="19"/>
  <c r="DS26" i="19" s="1"/>
  <c r="AC34" i="19"/>
  <c r="DS34" i="19" s="1"/>
  <c r="AC20" i="19"/>
  <c r="DS20" i="19" s="1"/>
  <c r="AC32" i="19"/>
  <c r="DS32" i="19" s="1"/>
  <c r="AC40" i="19"/>
  <c r="DS40" i="19" s="1"/>
  <c r="AC13" i="19"/>
  <c r="DS13" i="19" s="1"/>
  <c r="AC17" i="19"/>
  <c r="DS17" i="19" s="1"/>
  <c r="AC21" i="19"/>
  <c r="DS21" i="19" s="1"/>
  <c r="AC25" i="19"/>
  <c r="DS25" i="19" s="1"/>
  <c r="AC37" i="19"/>
  <c r="DS37" i="19" s="1"/>
  <c r="AC15" i="19"/>
  <c r="DS15" i="19" s="1"/>
  <c r="AC19" i="19"/>
  <c r="DS19" i="19" s="1"/>
  <c r="AC23" i="19"/>
  <c r="DS23" i="19" s="1"/>
  <c r="AC27" i="19"/>
  <c r="DS27" i="19" s="1"/>
  <c r="AC31" i="19"/>
  <c r="DS31" i="19" s="1"/>
  <c r="AC35" i="19"/>
  <c r="DS35" i="19" s="1"/>
  <c r="AC39" i="19"/>
  <c r="DS39" i="19" s="1"/>
  <c r="AC12" i="19" l="1"/>
  <c r="DS12" i="19" s="1"/>
  <c r="DC24" i="19"/>
  <c r="DU24" i="19" s="1"/>
  <c r="DC29" i="19"/>
  <c r="DU29" i="19" s="1"/>
  <c r="AC33" i="19"/>
  <c r="DS33" i="19" s="1"/>
  <c r="AC38" i="19"/>
  <c r="DS38" i="19" s="1"/>
  <c r="DC19" i="19"/>
  <c r="DU19" i="19" s="1"/>
  <c r="DV19" i="19" s="1"/>
  <c r="DC23" i="19"/>
  <c r="DU23" i="19" s="1"/>
  <c r="DV23" i="19" s="1"/>
  <c r="AC28" i="19"/>
  <c r="DS28" i="19" s="1"/>
  <c r="AC29" i="19"/>
  <c r="DS29" i="19" s="1"/>
  <c r="AC36" i="19"/>
  <c r="DS36" i="19" s="1"/>
  <c r="AC24" i="19"/>
  <c r="DS24" i="19" s="1"/>
  <c r="AC8" i="19"/>
  <c r="DS8" i="19" s="1"/>
  <c r="DC9" i="19"/>
  <c r="DU9" i="19" s="1"/>
  <c r="DC18" i="19"/>
  <c r="DU18" i="19" s="1"/>
  <c r="AC18" i="19"/>
  <c r="DS18" i="19" s="1"/>
  <c r="DC11" i="19"/>
  <c r="DU11" i="19" s="1"/>
  <c r="DC40" i="19"/>
  <c r="DU40" i="19" s="1"/>
  <c r="DV40" i="19" s="1"/>
  <c r="DC15" i="19"/>
  <c r="DU15" i="19" s="1"/>
  <c r="DV15" i="19" s="1"/>
  <c r="DC27" i="19"/>
  <c r="DU27" i="19" s="1"/>
  <c r="DV27" i="19" s="1"/>
  <c r="AC11" i="19"/>
  <c r="DS11" i="19" s="1"/>
  <c r="AC30" i="19"/>
  <c r="DS30" i="19" s="1"/>
  <c r="AC14" i="19"/>
  <c r="DS14" i="19" s="1"/>
  <c r="DC13" i="19"/>
  <c r="DU13" i="19" s="1"/>
  <c r="DV13" i="19" s="1"/>
  <c r="DC21" i="19"/>
  <c r="DU21" i="19" s="1"/>
  <c r="DV21" i="19" s="1"/>
  <c r="DC33" i="19"/>
  <c r="DU33" i="19" s="1"/>
  <c r="DC10" i="19"/>
  <c r="DU10" i="19" s="1"/>
  <c r="DV10" i="19" s="1"/>
  <c r="DC14" i="19"/>
  <c r="DU14" i="19" s="1"/>
  <c r="DC22" i="19"/>
  <c r="DU22" i="19" s="1"/>
  <c r="DV22" i="19" s="1"/>
  <c r="DC26" i="19"/>
  <c r="DU26" i="19" s="1"/>
  <c r="DV26" i="19" s="1"/>
  <c r="DC30" i="19"/>
  <c r="DU30" i="19" s="1"/>
  <c r="DC34" i="19"/>
  <c r="DU34" i="19" s="1"/>
  <c r="DV34" i="19" s="1"/>
  <c r="DC38" i="19"/>
  <c r="DU38" i="19" s="1"/>
  <c r="DV38" i="19" s="1"/>
  <c r="DC31" i="19"/>
  <c r="DU31" i="19" s="1"/>
  <c r="DV31" i="19" s="1"/>
  <c r="DC39" i="19"/>
  <c r="DU39" i="19" s="1"/>
  <c r="DV39" i="19" s="1"/>
  <c r="DC35" i="19"/>
  <c r="DU35" i="19" s="1"/>
  <c r="DV35" i="19" s="1"/>
  <c r="DC12" i="19"/>
  <c r="DU12" i="19" s="1"/>
  <c r="DC16" i="19"/>
  <c r="DU16" i="19" s="1"/>
  <c r="DV16" i="19" s="1"/>
  <c r="DC20" i="19"/>
  <c r="DU20" i="19" s="1"/>
  <c r="DV20" i="19" s="1"/>
  <c r="DC28" i="19"/>
  <c r="DU28" i="19" s="1"/>
  <c r="DC32" i="19"/>
  <c r="DU32" i="19" s="1"/>
  <c r="DV32" i="19" s="1"/>
  <c r="DC36" i="19"/>
  <c r="DU36" i="19" s="1"/>
  <c r="DV36" i="19" s="1"/>
  <c r="DC17" i="19"/>
  <c r="DU17" i="19" s="1"/>
  <c r="DV17" i="19" s="1"/>
  <c r="DC25" i="19"/>
  <c r="DU25" i="19" s="1"/>
  <c r="DV25" i="19" s="1"/>
  <c r="DC37" i="19"/>
  <c r="DU37" i="19" s="1"/>
  <c r="DV37" i="19" s="1"/>
  <c r="AC9" i="19"/>
  <c r="DS9" i="19" s="1"/>
  <c r="BP8" i="19"/>
  <c r="DT8" i="19" s="1"/>
  <c r="DC8" i="19"/>
  <c r="DU8" i="19" s="1"/>
  <c r="DV28" i="19" l="1"/>
  <c r="DV33" i="19"/>
  <c r="DV29" i="19"/>
  <c r="DV24" i="19"/>
  <c r="DV14" i="19"/>
  <c r="DV12" i="19"/>
  <c r="X19" i="19"/>
  <c r="DV18" i="19"/>
  <c r="X40" i="19"/>
  <c r="DO40" i="19" s="1"/>
  <c r="DR40" i="19" s="1"/>
  <c r="X11" i="19"/>
  <c r="DV11" i="19"/>
  <c r="X18" i="19"/>
  <c r="DO18" i="19" s="1"/>
  <c r="DR18" i="19" s="1"/>
  <c r="X36" i="19"/>
  <c r="DO36" i="19" s="1"/>
  <c r="DR36" i="19" s="1"/>
  <c r="X24" i="19"/>
  <c r="DO24" i="19" s="1"/>
  <c r="DR24" i="19" s="1"/>
  <c r="X32" i="19"/>
  <c r="DO32" i="19" s="1"/>
  <c r="DR32" i="19" s="1"/>
  <c r="X13" i="19"/>
  <c r="X17" i="19"/>
  <c r="X15" i="19"/>
  <c r="X39" i="19"/>
  <c r="X20" i="19"/>
  <c r="DO20" i="19" s="1"/>
  <c r="DR20" i="19" s="1"/>
  <c r="X10" i="19"/>
  <c r="X34" i="19"/>
  <c r="X31" i="19"/>
  <c r="X16" i="19"/>
  <c r="X21" i="19"/>
  <c r="DO21" i="19" s="1"/>
  <c r="DR21" i="19" s="1"/>
  <c r="X12" i="19"/>
  <c r="DO12" i="19" s="1"/>
  <c r="DR12" i="19" s="1"/>
  <c r="X30" i="19"/>
  <c r="DO30" i="19" s="1"/>
  <c r="DR30" i="19" s="1"/>
  <c r="DV30" i="19"/>
  <c r="X27" i="19"/>
  <c r="X28" i="19"/>
  <c r="X33" i="19"/>
  <c r="DV9" i="19"/>
  <c r="X35" i="19"/>
  <c r="DO35" i="19" s="1"/>
  <c r="DR35" i="19" s="1"/>
  <c r="X26" i="19"/>
  <c r="DO26" i="19" s="1"/>
  <c r="DR26" i="19" s="1"/>
  <c r="X23" i="19"/>
  <c r="DO23" i="19" s="1"/>
  <c r="DR23" i="19" s="1"/>
  <c r="X29" i="19"/>
  <c r="X37" i="19"/>
  <c r="X14" i="19"/>
  <c r="X25" i="19"/>
  <c r="DV8" i="19"/>
  <c r="X38" i="19" l="1"/>
  <c r="DO38" i="19" s="1"/>
  <c r="DR38" i="19" s="1"/>
  <c r="X22" i="19"/>
  <c r="DO22" i="19" s="1"/>
  <c r="DR22" i="19" s="1"/>
  <c r="DO33" i="19"/>
  <c r="DR33" i="19" s="1"/>
  <c r="DO39" i="19"/>
  <c r="DR39" i="19" s="1"/>
  <c r="DO37" i="19"/>
  <c r="DR37" i="19" s="1"/>
  <c r="DO10" i="19"/>
  <c r="DR10" i="19" s="1"/>
  <c r="DO27" i="19"/>
  <c r="DR27" i="19" s="1"/>
  <c r="DO19" i="19"/>
  <c r="DR19" i="19" s="1"/>
  <c r="DO25" i="19"/>
  <c r="DR25" i="19" s="1"/>
  <c r="DO13" i="19"/>
  <c r="DR13" i="19" s="1"/>
  <c r="DO29" i="19"/>
  <c r="DR29" i="19" s="1"/>
  <c r="DO28" i="19"/>
  <c r="DR28" i="19" s="1"/>
  <c r="DO17" i="19"/>
  <c r="DR17" i="19" s="1"/>
  <c r="DO15" i="19"/>
  <c r="DR15" i="19" s="1"/>
  <c r="DO34" i="19"/>
  <c r="DR34" i="19" s="1"/>
  <c r="DO31" i="19"/>
  <c r="DR31" i="19" s="1"/>
  <c r="DO14" i="19"/>
  <c r="DR14" i="19" s="1"/>
  <c r="DO11" i="19"/>
  <c r="DR11" i="19" s="1"/>
  <c r="DO16" i="19"/>
  <c r="DR16" i="19" s="1"/>
  <c r="CK18" i="19" l="1"/>
  <c r="DJ18" i="19" s="1"/>
  <c r="CK37" i="19"/>
  <c r="DJ37" i="19" s="1"/>
  <c r="CK32" i="19"/>
  <c r="DJ32" i="19" s="1"/>
  <c r="CK30" i="19"/>
  <c r="DJ30" i="19" s="1"/>
  <c r="CK14" i="19"/>
  <c r="DJ14" i="19" s="1"/>
  <c r="CK20" i="19"/>
  <c r="DJ20" i="19" s="1"/>
  <c r="CK19" i="19"/>
  <c r="DJ19" i="19" s="1"/>
  <c r="CK33" i="19"/>
  <c r="DJ33" i="19" s="1"/>
  <c r="CK17" i="19"/>
  <c r="DJ17" i="19" s="1"/>
  <c r="CK24" i="19"/>
  <c r="DJ24" i="19" s="1"/>
  <c r="CK23" i="19"/>
  <c r="DJ23" i="19" s="1"/>
  <c r="CK34" i="19"/>
  <c r="DJ34" i="19" s="1"/>
  <c r="CK27" i="19"/>
  <c r="DJ27" i="19" s="1"/>
  <c r="CK21" i="19"/>
  <c r="DJ21" i="19" s="1"/>
  <c r="CK31" i="19"/>
  <c r="DJ31" i="19" s="1"/>
  <c r="CK26" i="19"/>
  <c r="DJ26" i="19" s="1"/>
  <c r="CK10" i="19"/>
  <c r="DJ10" i="19" s="1"/>
  <c r="CK12" i="19"/>
  <c r="DJ12" i="19" s="1"/>
  <c r="CK11" i="19"/>
  <c r="DJ11" i="19" s="1"/>
  <c r="CK29" i="19"/>
  <c r="DJ29" i="19" s="1"/>
  <c r="CK13" i="19"/>
  <c r="DJ13" i="19" s="1"/>
  <c r="CK16" i="19"/>
  <c r="DJ16" i="19" s="1"/>
  <c r="CK15" i="19"/>
  <c r="DJ15" i="19" s="1"/>
  <c r="CK28" i="19"/>
  <c r="DJ28" i="19" s="1"/>
  <c r="CK38" i="19"/>
  <c r="DJ38" i="19" s="1"/>
  <c r="CK22" i="19"/>
  <c r="DJ22" i="19" s="1"/>
  <c r="CK36" i="19"/>
  <c r="DJ36" i="19" s="1"/>
  <c r="CK35" i="19"/>
  <c r="DJ35" i="19" s="1"/>
  <c r="CK25" i="19"/>
  <c r="DJ25" i="19" s="1"/>
  <c r="CK40" i="19"/>
  <c r="DJ40" i="19" s="1"/>
  <c r="CK39" i="19"/>
  <c r="DJ39" i="19" s="1"/>
  <c r="CK9" i="19"/>
  <c r="DJ9" i="19" s="1"/>
  <c r="CK8" i="19"/>
  <c r="DJ8" i="19" s="1"/>
  <c r="DI9" i="19" l="1"/>
  <c r="DI26" i="19"/>
  <c r="DI35" i="19"/>
  <c r="DI34" i="19"/>
  <c r="DI28" i="19"/>
  <c r="DI33" i="19"/>
  <c r="DI29" i="19"/>
  <c r="DI30" i="19"/>
  <c r="DI22" i="19"/>
  <c r="DI12" i="19"/>
  <c r="DI24" i="19"/>
  <c r="DI37" i="19"/>
  <c r="DI40" i="19"/>
  <c r="DI16" i="19"/>
  <c r="DI21" i="19"/>
  <c r="DI20" i="19"/>
  <c r="DI39" i="19"/>
  <c r="DI25" i="19"/>
  <c r="DI36" i="19"/>
  <c r="DI38" i="19"/>
  <c r="DI15" i="19"/>
  <c r="DI13" i="19"/>
  <c r="DI11" i="19"/>
  <c r="DI10" i="19"/>
  <c r="DI31" i="19"/>
  <c r="DI27" i="19"/>
  <c r="DI23" i="19"/>
  <c r="DI17" i="19"/>
  <c r="DI19" i="19"/>
  <c r="DI14" i="19"/>
  <c r="DI32" i="19"/>
  <c r="DI18" i="19"/>
  <c r="Q8" i="19"/>
  <c r="CQ8" i="19" l="1"/>
  <c r="DM8" i="19" s="1"/>
  <c r="BD8" i="19"/>
  <c r="DL8" i="19" s="1"/>
  <c r="DK8" i="19"/>
  <c r="DN8" i="19" l="1"/>
  <c r="E11" i="34"/>
  <c r="F10" i="34"/>
  <c r="G16" i="34" l="1"/>
  <c r="G19" i="34"/>
  <c r="P16" i="34"/>
  <c r="I16" i="34"/>
  <c r="M16" i="34"/>
  <c r="R16" i="34"/>
  <c r="V16" i="34"/>
  <c r="Z16" i="34"/>
  <c r="AD16" i="34"/>
  <c r="AH16" i="34"/>
  <c r="K19" i="34"/>
  <c r="O19" i="34"/>
  <c r="S19" i="34"/>
  <c r="W19" i="34"/>
  <c r="AA19" i="34"/>
  <c r="AE19" i="34"/>
  <c r="AI19" i="34"/>
  <c r="N16" i="34"/>
  <c r="W16" i="34"/>
  <c r="AE16" i="34"/>
  <c r="AI16" i="34"/>
  <c r="H19" i="34"/>
  <c r="P19" i="34"/>
  <c r="X19" i="34"/>
  <c r="AF19" i="34"/>
  <c r="K16" i="34"/>
  <c r="T16" i="34"/>
  <c r="AB16" i="34"/>
  <c r="AJ16" i="34"/>
  <c r="I19" i="34"/>
  <c r="Q19" i="34"/>
  <c r="Y19" i="34"/>
  <c r="AG19" i="34"/>
  <c r="L16" i="34"/>
  <c r="U16" i="34"/>
  <c r="AC16" i="34"/>
  <c r="J19" i="34"/>
  <c r="R19" i="34"/>
  <c r="Z19" i="34"/>
  <c r="AD19" i="34"/>
  <c r="J16" i="34"/>
  <c r="S16" i="34"/>
  <c r="AA16" i="34"/>
  <c r="L19" i="34"/>
  <c r="T19" i="34"/>
  <c r="AB19" i="34"/>
  <c r="AJ19" i="34"/>
  <c r="O16" i="34"/>
  <c r="X16" i="34"/>
  <c r="AF16" i="34"/>
  <c r="M19" i="34"/>
  <c r="U19" i="34"/>
  <c r="AC19" i="34"/>
  <c r="H16" i="34"/>
  <c r="Q16" i="34"/>
  <c r="Y16" i="34"/>
  <c r="AG16" i="34"/>
  <c r="N19" i="34"/>
  <c r="V19" i="34"/>
  <c r="AH19" i="34"/>
  <c r="K40" i="19" l="1"/>
  <c r="AH40" i="19" s="1"/>
  <c r="AX8" i="19"/>
  <c r="AX30" i="19" l="1"/>
  <c r="BU30" i="19" s="1"/>
  <c r="AX14" i="19"/>
  <c r="BU14" i="19"/>
  <c r="AX20" i="19"/>
  <c r="BU20" i="19" s="1"/>
  <c r="AX27" i="19"/>
  <c r="BU27" i="19" s="1"/>
  <c r="AX10" i="19"/>
  <c r="BU10" i="19" s="1"/>
  <c r="AX26" i="19"/>
  <c r="BU26" i="19" s="1"/>
  <c r="AX9" i="19"/>
  <c r="BU9" i="19" s="1"/>
  <c r="AX29" i="19"/>
  <c r="BU29" i="19" s="1"/>
  <c r="AX13" i="19"/>
  <c r="BU13" i="19" s="1"/>
  <c r="AX32" i="19"/>
  <c r="BU32" i="19" s="1"/>
  <c r="AX16" i="19"/>
  <c r="BU16" i="19" s="1"/>
  <c r="AX39" i="19"/>
  <c r="BU39" i="19" s="1"/>
  <c r="AX15" i="19"/>
  <c r="BU15" i="19" s="1"/>
  <c r="AX33" i="19"/>
  <c r="BU33" i="19" s="1"/>
  <c r="AX36" i="19"/>
  <c r="BU36" i="19" s="1"/>
  <c r="AX23" i="19"/>
  <c r="BU23" i="19"/>
  <c r="AX38" i="19"/>
  <c r="BU38" i="19" s="1"/>
  <c r="AX22" i="19"/>
  <c r="BU22" i="19"/>
  <c r="AX12" i="19"/>
  <c r="BU12" i="19" s="1"/>
  <c r="AX25" i="19"/>
  <c r="BU25" i="19" s="1"/>
  <c r="AX28" i="19"/>
  <c r="BU28" i="19" s="1"/>
  <c r="AX11" i="19"/>
  <c r="BU11" i="19" s="1"/>
  <c r="AX31" i="19"/>
  <c r="BU31" i="19" s="1"/>
  <c r="AX17" i="19"/>
  <c r="BU17" i="19" s="1"/>
  <c r="AX35" i="19"/>
  <c r="BU35" i="19" s="1"/>
  <c r="AX19" i="19"/>
  <c r="BU19" i="19" s="1"/>
  <c r="AX34" i="19"/>
  <c r="BU34" i="19" s="1"/>
  <c r="AX18" i="19"/>
  <c r="BU18" i="19" s="1"/>
  <c r="AX37" i="19"/>
  <c r="BU37" i="19" s="1"/>
  <c r="AX21" i="19"/>
  <c r="BU21" i="19" s="1"/>
  <c r="AX40" i="19"/>
  <c r="BU40" i="19" s="1"/>
  <c r="AX24" i="19"/>
  <c r="BU24" i="19"/>
  <c r="K16" i="19"/>
  <c r="AH16" i="19"/>
  <c r="K30" i="19"/>
  <c r="AH30" i="19"/>
  <c r="K25" i="19"/>
  <c r="AH25" i="19"/>
  <c r="K28" i="19"/>
  <c r="AH28" i="19"/>
  <c r="K12" i="19"/>
  <c r="AH12" i="19"/>
  <c r="K27" i="19"/>
  <c r="AH27" i="19"/>
  <c r="K11" i="19"/>
  <c r="AH11" i="19"/>
  <c r="K26" i="19"/>
  <c r="AH26" i="19"/>
  <c r="K10" i="19"/>
  <c r="AH10" i="19"/>
  <c r="K21" i="19"/>
  <c r="AH21" i="19"/>
  <c r="K9" i="19"/>
  <c r="AH9" i="19"/>
  <c r="K31" i="19"/>
  <c r="AH31" i="19"/>
  <c r="K37" i="19"/>
  <c r="AH37" i="19"/>
  <c r="K24" i="19"/>
  <c r="AH24" i="19"/>
  <c r="K39" i="19"/>
  <c r="AH39" i="19"/>
  <c r="K23" i="19"/>
  <c r="AH23" i="19"/>
  <c r="K38" i="19"/>
  <c r="AH38" i="19"/>
  <c r="K22" i="19"/>
  <c r="AH22" i="19"/>
  <c r="K29" i="19"/>
  <c r="AH29" i="19"/>
  <c r="K33" i="19"/>
  <c r="AH33" i="19"/>
  <c r="K8" i="19"/>
  <c r="K32" i="19"/>
  <c r="AH32" i="19" s="1"/>
  <c r="K15" i="19"/>
  <c r="AH15" i="19" s="1"/>
  <c r="K14" i="19"/>
  <c r="AH14" i="19" s="1"/>
  <c r="K36" i="19"/>
  <c r="AH36" i="19" s="1"/>
  <c r="K20" i="19"/>
  <c r="AH20" i="19" s="1"/>
  <c r="K35" i="19"/>
  <c r="AH35" i="19" s="1"/>
  <c r="K19" i="19"/>
  <c r="AH19" i="19" s="1"/>
  <c r="K34" i="19"/>
  <c r="AH34" i="19" s="1"/>
  <c r="K18" i="19"/>
  <c r="AH18" i="19" s="1"/>
  <c r="K13" i="19"/>
  <c r="AH13" i="19" s="1"/>
  <c r="K17" i="19"/>
  <c r="AH17" i="19" s="1"/>
  <c r="F14" i="34" l="1"/>
  <c r="CX8" i="19" l="1"/>
  <c r="DI8" i="19" s="1"/>
  <c r="DQ8" i="19" l="1"/>
  <c r="E51" i="34"/>
  <c r="E45" i="34"/>
  <c r="G46" i="34" s="1"/>
  <c r="E22" i="34"/>
  <c r="G34" i="34" s="1"/>
  <c r="E9" i="34"/>
  <c r="G18" i="34" s="1"/>
  <c r="H18" i="34" l="1"/>
  <c r="L18" i="34"/>
  <c r="P18" i="34"/>
  <c r="T18" i="34"/>
  <c r="X18" i="34"/>
  <c r="AB18" i="34"/>
  <c r="AF18" i="34"/>
  <c r="AJ18" i="34"/>
  <c r="M18" i="34"/>
  <c r="U18" i="34"/>
  <c r="AC18" i="34"/>
  <c r="N18" i="34"/>
  <c r="V18" i="34"/>
  <c r="AD18" i="34"/>
  <c r="K18" i="34"/>
  <c r="W18" i="34"/>
  <c r="AE18" i="34"/>
  <c r="I18" i="34"/>
  <c r="Q18" i="34"/>
  <c r="Y18" i="34"/>
  <c r="AG18" i="34"/>
  <c r="J18" i="34"/>
  <c r="R18" i="34"/>
  <c r="Z18" i="34"/>
  <c r="AH18" i="34"/>
  <c r="O18" i="34"/>
  <c r="S18" i="34"/>
  <c r="AA18" i="34"/>
  <c r="AI18" i="34"/>
  <c r="K46" i="34"/>
  <c r="O46" i="34"/>
  <c r="S46" i="34"/>
  <c r="W46" i="34"/>
  <c r="AA46" i="34"/>
  <c r="AE46" i="34"/>
  <c r="AI46" i="34"/>
  <c r="I46" i="34"/>
  <c r="M46" i="34"/>
  <c r="Q46" i="34"/>
  <c r="U46" i="34"/>
  <c r="Y46" i="34"/>
  <c r="AC46" i="34"/>
  <c r="AG46" i="34"/>
  <c r="N46" i="34"/>
  <c r="V46" i="34"/>
  <c r="AD46" i="34"/>
  <c r="H46" i="34"/>
  <c r="P46" i="34"/>
  <c r="X46" i="34"/>
  <c r="AF46" i="34"/>
  <c r="R46" i="34"/>
  <c r="AH46" i="34"/>
  <c r="J46" i="34"/>
  <c r="AB46" i="34"/>
  <c r="T46" i="34"/>
  <c r="AJ46" i="34"/>
  <c r="Z46" i="34"/>
  <c r="L46" i="34"/>
  <c r="AH77" i="34" l="1"/>
  <c r="AH78" i="34" s="1"/>
  <c r="AC77" i="34"/>
  <c r="AC78" i="34" s="1"/>
  <c r="M77" i="34"/>
  <c r="M78" i="34" s="1"/>
  <c r="AJ77" i="34"/>
  <c r="AJ78" i="34" s="1"/>
  <c r="T77" i="34"/>
  <c r="Z77" i="34"/>
  <c r="Z79" i="34" s="1"/>
  <c r="AA77" i="34"/>
  <c r="AA78" i="34" s="1"/>
  <c r="K77" i="34"/>
  <c r="K78" i="34" s="1"/>
  <c r="R77" i="34"/>
  <c r="R78" i="34" s="1"/>
  <c r="Y77" i="34"/>
  <c r="I77" i="34"/>
  <c r="I78" i="34" s="1"/>
  <c r="AF77" i="34"/>
  <c r="AF78" i="34" s="1"/>
  <c r="P77" i="34"/>
  <c r="P78" i="34" s="1"/>
  <c r="N77" i="34"/>
  <c r="N79" i="34" s="1"/>
  <c r="W77" i="34"/>
  <c r="W78" i="34" s="1"/>
  <c r="G77" i="34"/>
  <c r="G78" i="34" s="1"/>
  <c r="J77" i="34"/>
  <c r="U77" i="34"/>
  <c r="U78" i="34" s="1"/>
  <c r="AD77" i="34"/>
  <c r="AD78" i="34" s="1"/>
  <c r="AB77" i="34"/>
  <c r="AB78" i="34" s="1"/>
  <c r="L77" i="34"/>
  <c r="AI77" i="34"/>
  <c r="AI78" i="34" s="1"/>
  <c r="S77" i="34"/>
  <c r="S78" i="34" s="1"/>
  <c r="AG77" i="34"/>
  <c r="AG79" i="34" s="1"/>
  <c r="Q77" i="34"/>
  <c r="Q79" i="34" s="1"/>
  <c r="V77" i="34"/>
  <c r="V79" i="34" s="1"/>
  <c r="X77" i="34"/>
  <c r="X79" i="34" s="1"/>
  <c r="H77" i="34"/>
  <c r="H79" i="34" s="1"/>
  <c r="AE77" i="34"/>
  <c r="AE79" i="34" s="1"/>
  <c r="O77" i="34"/>
  <c r="O78" i="34" s="1"/>
  <c r="T78" i="34"/>
  <c r="T79" i="34"/>
  <c r="Y78" i="34"/>
  <c r="Y79" i="34"/>
  <c r="N78" i="34"/>
  <c r="J78" i="34"/>
  <c r="J79" i="34"/>
  <c r="AD79" i="34"/>
  <c r="L78" i="34"/>
  <c r="L79" i="34"/>
  <c r="S79" i="34"/>
  <c r="Z78" i="34"/>
  <c r="F49" i="34"/>
  <c r="AJ79" i="34" l="1"/>
  <c r="H78" i="34"/>
  <c r="AG78" i="34"/>
  <c r="AF79" i="34"/>
  <c r="K79" i="34"/>
  <c r="AC79" i="34"/>
  <c r="O79" i="34"/>
  <c r="P79" i="34"/>
  <c r="W79" i="34"/>
  <c r="AC50" i="34"/>
  <c r="AI50" i="34"/>
  <c r="AF50" i="34"/>
  <c r="S50" i="34"/>
  <c r="J50" i="34"/>
  <c r="P50" i="34"/>
  <c r="Z50" i="34"/>
  <c r="M50" i="34"/>
  <c r="T50" i="34"/>
  <c r="AJ50" i="34"/>
  <c r="U50" i="34"/>
  <c r="AD50" i="34"/>
  <c r="AE50" i="34"/>
  <c r="K50" i="34"/>
  <c r="H50" i="34"/>
  <c r="R50" i="34"/>
  <c r="L50" i="34"/>
  <c r="AH50" i="34"/>
  <c r="O50" i="34"/>
  <c r="AG50" i="34"/>
  <c r="X50" i="34"/>
  <c r="Q50" i="34"/>
  <c r="V50" i="34"/>
  <c r="AA50" i="34"/>
  <c r="AB50" i="34"/>
  <c r="I50" i="34"/>
  <c r="W50" i="34"/>
  <c r="Y50" i="34"/>
  <c r="N50" i="34"/>
  <c r="V78" i="34"/>
  <c r="R79" i="34"/>
  <c r="I79" i="34"/>
  <c r="AE78" i="34"/>
  <c r="Q78" i="34"/>
  <c r="X78" i="34"/>
  <c r="M79" i="34"/>
  <c r="AA79" i="34"/>
  <c r="AH79" i="34"/>
  <c r="AI79" i="34"/>
  <c r="AB79" i="34"/>
  <c r="U79" i="34"/>
  <c r="G50" i="34"/>
  <c r="F51" i="34" l="1"/>
  <c r="T54" i="34" l="1"/>
  <c r="AJ54" i="34"/>
  <c r="W55" i="34"/>
  <c r="J56" i="34"/>
  <c r="Z56" i="34"/>
  <c r="M57" i="34"/>
  <c r="AC57" i="34"/>
  <c r="P58" i="34"/>
  <c r="AF58" i="34"/>
  <c r="R54" i="34"/>
  <c r="AH54" i="34"/>
  <c r="U55" i="34"/>
  <c r="H56" i="34"/>
  <c r="X56" i="34"/>
  <c r="K57" i="34"/>
  <c r="AA57" i="34"/>
  <c r="N58" i="34"/>
  <c r="AD58" i="34"/>
  <c r="AE54" i="34"/>
  <c r="AH55" i="34"/>
  <c r="H57" i="34"/>
  <c r="K58" i="34"/>
  <c r="I54" i="34"/>
  <c r="L55" i="34"/>
  <c r="O56" i="34"/>
  <c r="R57" i="34"/>
  <c r="U58" i="34"/>
  <c r="V55" i="34"/>
  <c r="AB57" i="34"/>
  <c r="AD55" i="34"/>
  <c r="P55" i="34"/>
  <c r="U54" i="34"/>
  <c r="AA56" i="34"/>
  <c r="AG58" i="34"/>
  <c r="T57" i="34"/>
  <c r="AF55" i="34"/>
  <c r="AB54" i="34"/>
  <c r="AE55" i="34"/>
  <c r="AH56" i="34"/>
  <c r="H58" i="34"/>
  <c r="Z54" i="34"/>
  <c r="AC55" i="34"/>
  <c r="AF56" i="34"/>
  <c r="AI57" i="34"/>
  <c r="O54" i="34"/>
  <c r="U56" i="34"/>
  <c r="AA58" i="34"/>
  <c r="AB55" i="34"/>
  <c r="AH57" i="34"/>
  <c r="AE58" i="34"/>
  <c r="V57" i="34"/>
  <c r="AD57" i="34"/>
  <c r="G54" i="34"/>
  <c r="AF54" i="34"/>
  <c r="AI55" i="34"/>
  <c r="I57" i="34"/>
  <c r="L58" i="34"/>
  <c r="N54" i="34"/>
  <c r="AG55" i="34"/>
  <c r="AJ56" i="34"/>
  <c r="J58" i="34"/>
  <c r="W54" i="34"/>
  <c r="AC56" i="34"/>
  <c r="AI58" i="34"/>
  <c r="AJ55" i="34"/>
  <c r="M58" i="34"/>
  <c r="L57" i="34"/>
  <c r="Y58" i="34"/>
  <c r="Q58" i="34"/>
  <c r="AC54" i="34"/>
  <c r="H54" i="34"/>
  <c r="X54" i="34"/>
  <c r="K55" i="34"/>
  <c r="AA55" i="34"/>
  <c r="N56" i="34"/>
  <c r="AD56" i="34"/>
  <c r="Q57" i="34"/>
  <c r="AG57" i="34"/>
  <c r="T58" i="34"/>
  <c r="AJ58" i="34"/>
  <c r="V54" i="34"/>
  <c r="I55" i="34"/>
  <c r="Y55" i="34"/>
  <c r="L56" i="34"/>
  <c r="AB56" i="34"/>
  <c r="O57" i="34"/>
  <c r="AE57" i="34"/>
  <c r="R58" i="34"/>
  <c r="AH58" i="34"/>
  <c r="J55" i="34"/>
  <c r="M56" i="34"/>
  <c r="P57" i="34"/>
  <c r="S58" i="34"/>
  <c r="Q54" i="34"/>
  <c r="T55" i="34"/>
  <c r="W56" i="34"/>
  <c r="Z57" i="34"/>
  <c r="AC58" i="34"/>
  <c r="I56" i="34"/>
  <c r="O58" i="34"/>
  <c r="AG56" i="34"/>
  <c r="S56" i="34"/>
  <c r="H55" i="34"/>
  <c r="N57" i="34"/>
  <c r="K54" i="34"/>
  <c r="W58" i="34"/>
  <c r="AI56" i="34"/>
  <c r="L54" i="34"/>
  <c r="O55" i="34"/>
  <c r="R56" i="34"/>
  <c r="U57" i="34"/>
  <c r="X58" i="34"/>
  <c r="J54" i="34"/>
  <c r="M55" i="34"/>
  <c r="P56" i="34"/>
  <c r="S57" i="34"/>
  <c r="V58" i="34"/>
  <c r="R55" i="34"/>
  <c r="X57" i="34"/>
  <c r="Y54" i="34"/>
  <c r="AE56" i="34"/>
  <c r="S54" i="34"/>
  <c r="Y56" i="34"/>
  <c r="AJ57" i="34"/>
  <c r="X55" i="34"/>
  <c r="N55" i="34"/>
  <c r="I58" i="34"/>
  <c r="P54" i="34"/>
  <c r="S55" i="34"/>
  <c r="V56" i="34"/>
  <c r="Y57" i="34"/>
  <c r="AB58" i="34"/>
  <c r="AD54" i="34"/>
  <c r="Q55" i="34"/>
  <c r="T56" i="34"/>
  <c r="W57" i="34"/>
  <c r="Z58" i="34"/>
  <c r="Z55" i="34"/>
  <c r="AF57" i="34"/>
  <c r="AG54" i="34"/>
  <c r="J57" i="34"/>
  <c r="AI54" i="34"/>
  <c r="AA54" i="34"/>
  <c r="M54" i="34"/>
  <c r="K56" i="34"/>
  <c r="Q56" i="34"/>
  <c r="G58" i="34"/>
  <c r="G74" i="34" s="1"/>
  <c r="G55" i="34"/>
  <c r="G56" i="34"/>
  <c r="G57" i="34"/>
  <c r="I83" i="34" l="1"/>
  <c r="J89" i="34"/>
  <c r="I89" i="34"/>
  <c r="K74" i="34"/>
  <c r="L83" i="34"/>
  <c r="H74" i="34"/>
  <c r="L89" i="34"/>
  <c r="I74" i="34"/>
  <c r="H89" i="34"/>
  <c r="H83" i="34"/>
  <c r="J83" i="34"/>
  <c r="K83" i="34"/>
  <c r="K89" i="34"/>
  <c r="J74" i="34"/>
  <c r="L74" i="34"/>
  <c r="G75" i="34"/>
  <c r="AJ89" i="34"/>
  <c r="AF74" i="34"/>
  <c r="AI74" i="34"/>
  <c r="AH74" i="34"/>
  <c r="P89" i="34"/>
  <c r="U74" i="34"/>
  <c r="O89" i="34"/>
  <c r="AJ74" i="34"/>
  <c r="W74" i="34"/>
  <c r="V74" i="34"/>
  <c r="AC74" i="34"/>
  <c r="M74" i="34"/>
  <c r="T89" i="34"/>
  <c r="P74" i="34"/>
  <c r="W89" i="34"/>
  <c r="S74" i="34"/>
  <c r="R74" i="34"/>
  <c r="Y89" i="34"/>
  <c r="AD74" i="34"/>
  <c r="U89" i="34"/>
  <c r="AB89" i="34"/>
  <c r="AH89" i="34"/>
  <c r="Z74" i="34"/>
  <c r="AG89" i="34"/>
  <c r="AG74" i="34"/>
  <c r="T74" i="34"/>
  <c r="AD89" i="34"/>
  <c r="AC89" i="34"/>
  <c r="Z89" i="34"/>
  <c r="AI89" i="34"/>
  <c r="AE74" i="34"/>
  <c r="V89" i="34"/>
  <c r="N74" i="34"/>
  <c r="AA74" i="34"/>
  <c r="R89" i="34"/>
  <c r="Q89" i="34"/>
  <c r="Q74" i="34"/>
  <c r="X89" i="34"/>
  <c r="AA89" i="34"/>
  <c r="N89" i="34"/>
  <c r="M89" i="34"/>
  <c r="G89" i="34"/>
  <c r="G90" i="34" s="1"/>
  <c r="Y74" i="34"/>
  <c r="AF89" i="34"/>
  <c r="AB74" i="34"/>
  <c r="S89" i="34"/>
  <c r="O74" i="34"/>
  <c r="X74" i="34"/>
  <c r="AE89" i="34"/>
  <c r="F58" i="34"/>
  <c r="F66" i="34"/>
  <c r="H84" i="34" l="1"/>
  <c r="H85" i="34"/>
  <c r="I75" i="34"/>
  <c r="I76" i="34"/>
  <c r="K84" i="34"/>
  <c r="K85" i="34"/>
  <c r="L91" i="34"/>
  <c r="L90" i="34"/>
  <c r="K76" i="34"/>
  <c r="K75" i="34"/>
  <c r="J91" i="34"/>
  <c r="J90" i="34"/>
  <c r="J75" i="34"/>
  <c r="J76" i="34"/>
  <c r="H76" i="34"/>
  <c r="H75" i="34"/>
  <c r="L84" i="34"/>
  <c r="L85" i="34"/>
  <c r="I90" i="34"/>
  <c r="I91" i="34"/>
  <c r="I84" i="34"/>
  <c r="I85" i="34"/>
  <c r="L76" i="34"/>
  <c r="L75" i="34"/>
  <c r="K90" i="34"/>
  <c r="K91" i="34"/>
  <c r="J85" i="34"/>
  <c r="J84" i="34"/>
  <c r="H90" i="34"/>
  <c r="H91" i="34"/>
  <c r="G68" i="34"/>
  <c r="L68" i="34"/>
  <c r="AB68" i="34"/>
  <c r="AE68" i="34"/>
  <c r="P68" i="34"/>
  <c r="AF68" i="34"/>
  <c r="T68" i="34"/>
  <c r="AJ68" i="34"/>
  <c r="AH68" i="34"/>
  <c r="H68" i="34"/>
  <c r="X68" i="34"/>
  <c r="O68" i="34"/>
  <c r="U68" i="34"/>
  <c r="R68" i="34"/>
  <c r="AC68" i="34"/>
  <c r="I68" i="34"/>
  <c r="N68" i="34"/>
  <c r="W68" i="34"/>
  <c r="Z68" i="34"/>
  <c r="M68" i="34"/>
  <c r="AA68" i="34"/>
  <c r="Y68" i="34"/>
  <c r="AD68" i="34"/>
  <c r="J68" i="34"/>
  <c r="S68" i="34"/>
  <c r="Q68" i="34"/>
  <c r="AI68" i="34"/>
  <c r="K68" i="34"/>
  <c r="V68" i="34"/>
  <c r="AG68" i="34"/>
  <c r="X59" i="34"/>
  <c r="AC59" i="34"/>
  <c r="M59" i="34"/>
  <c r="K59" i="34"/>
  <c r="H59" i="34"/>
  <c r="V59" i="34"/>
  <c r="AA59" i="34"/>
  <c r="AF59" i="34"/>
  <c r="Z59" i="34"/>
  <c r="T59" i="34"/>
  <c r="N59" i="34"/>
  <c r="AG59" i="34"/>
  <c r="AI59" i="34"/>
  <c r="W59" i="34"/>
  <c r="S59" i="34"/>
  <c r="AH59" i="34"/>
  <c r="I59" i="34"/>
  <c r="AB59" i="34"/>
  <c r="P59" i="34"/>
  <c r="J59" i="34"/>
  <c r="L59" i="34"/>
  <c r="AE59" i="34"/>
  <c r="Y59" i="34"/>
  <c r="O59" i="34"/>
  <c r="U59" i="34"/>
  <c r="Q59" i="34"/>
  <c r="AJ59" i="34"/>
  <c r="AD59" i="34"/>
  <c r="R59" i="34"/>
  <c r="G91" i="34"/>
  <c r="AE90" i="34"/>
  <c r="AE91" i="34"/>
  <c r="S90" i="34"/>
  <c r="S91" i="34"/>
  <c r="X75" i="34"/>
  <c r="X76" i="34"/>
  <c r="O75" i="34"/>
  <c r="O76" i="34"/>
  <c r="Y75" i="34"/>
  <c r="Y76" i="34"/>
  <c r="M91" i="34"/>
  <c r="M90" i="34"/>
  <c r="AA90" i="34"/>
  <c r="AA91" i="34"/>
  <c r="X91" i="34"/>
  <c r="X90" i="34"/>
  <c r="R90" i="34"/>
  <c r="R91" i="34"/>
  <c r="V91" i="34"/>
  <c r="V90" i="34"/>
  <c r="AI90" i="34"/>
  <c r="AI91" i="34"/>
  <c r="Z91" i="34"/>
  <c r="Z90" i="34"/>
  <c r="AC90" i="34"/>
  <c r="AC91" i="34"/>
  <c r="AD90" i="34"/>
  <c r="AD91" i="34"/>
  <c r="T76" i="34"/>
  <c r="T75" i="34"/>
  <c r="AG90" i="34"/>
  <c r="AG91" i="34"/>
  <c r="AH91" i="34"/>
  <c r="AH90" i="34"/>
  <c r="AB90" i="34"/>
  <c r="AB91" i="34"/>
  <c r="U90" i="34"/>
  <c r="U91" i="34"/>
  <c r="Y91" i="34"/>
  <c r="Y90" i="34"/>
  <c r="S75" i="34"/>
  <c r="S76" i="34"/>
  <c r="P76" i="34"/>
  <c r="P75" i="34"/>
  <c r="M75" i="34"/>
  <c r="M76" i="34"/>
  <c r="V76" i="34"/>
  <c r="V75" i="34"/>
  <c r="AJ75" i="34"/>
  <c r="AJ76" i="34"/>
  <c r="O91" i="34"/>
  <c r="O90" i="34"/>
  <c r="U75" i="34"/>
  <c r="U76" i="34"/>
  <c r="AI75" i="34"/>
  <c r="AI76" i="34"/>
  <c r="AJ90" i="34"/>
  <c r="AJ91" i="34"/>
  <c r="AB75" i="34"/>
  <c r="AB76" i="34"/>
  <c r="N91" i="34"/>
  <c r="N90" i="34"/>
  <c r="Q91" i="34"/>
  <c r="Q90" i="34"/>
  <c r="AF90" i="34"/>
  <c r="AF91" i="34"/>
  <c r="Q75" i="34"/>
  <c r="Q76" i="34"/>
  <c r="AA75" i="34"/>
  <c r="AA76" i="34"/>
  <c r="N75" i="34"/>
  <c r="N76" i="34"/>
  <c r="AE75" i="34"/>
  <c r="AE76" i="34"/>
  <c r="AG76" i="34"/>
  <c r="AG75" i="34"/>
  <c r="Z75" i="34"/>
  <c r="Z76" i="34"/>
  <c r="AD75" i="34"/>
  <c r="AD76" i="34"/>
  <c r="R75" i="34"/>
  <c r="R76" i="34"/>
  <c r="W90" i="34"/>
  <c r="W91" i="34"/>
  <c r="T90" i="34"/>
  <c r="T91" i="34"/>
  <c r="AC76" i="34"/>
  <c r="AC75" i="34"/>
  <c r="W75" i="34"/>
  <c r="W76" i="34"/>
  <c r="P90" i="34"/>
  <c r="P91" i="34"/>
  <c r="AH76" i="34"/>
  <c r="AH75" i="34"/>
  <c r="AF75" i="34"/>
  <c r="AF76" i="34"/>
  <c r="G59" i="34"/>
  <c r="F22" i="34" l="1"/>
  <c r="F21" i="34"/>
  <c r="F8" i="34"/>
  <c r="G15" i="34" l="1"/>
  <c r="G17" i="34"/>
  <c r="H34" i="34"/>
  <c r="X34" i="34"/>
  <c r="I34" i="34"/>
  <c r="Y34" i="34"/>
  <c r="R34" i="34"/>
  <c r="V34" i="34"/>
  <c r="AI34" i="34"/>
  <c r="AE34" i="34"/>
  <c r="Q34" i="34"/>
  <c r="AH34" i="34"/>
  <c r="AD34" i="34"/>
  <c r="AJ34" i="34"/>
  <c r="J34" i="34"/>
  <c r="AA34" i="34"/>
  <c r="L34" i="34"/>
  <c r="AB34" i="34"/>
  <c r="M34" i="34"/>
  <c r="AC34" i="34"/>
  <c r="Z34" i="34"/>
  <c r="W34" i="34"/>
  <c r="N34" i="34"/>
  <c r="P34" i="34"/>
  <c r="AF34" i="34"/>
  <c r="AG34" i="34"/>
  <c r="K34" i="34"/>
  <c r="T34" i="34"/>
  <c r="U34" i="34"/>
  <c r="S34" i="34"/>
  <c r="O34" i="34"/>
  <c r="U33" i="34"/>
  <c r="J33" i="34"/>
  <c r="Z33" i="34"/>
  <c r="W33" i="34"/>
  <c r="T33" i="34"/>
  <c r="X33" i="34"/>
  <c r="L33" i="34"/>
  <c r="M33" i="34"/>
  <c r="R33" i="34"/>
  <c r="S33" i="34"/>
  <c r="K33" i="34"/>
  <c r="AG33" i="34"/>
  <c r="O33" i="34"/>
  <c r="P33" i="34"/>
  <c r="I33" i="34"/>
  <c r="Y33" i="34"/>
  <c r="N33" i="34"/>
  <c r="AD33" i="34"/>
  <c r="AE33" i="34"/>
  <c r="AJ33" i="34"/>
  <c r="AF33" i="34"/>
  <c r="AB33" i="34"/>
  <c r="AC33" i="34"/>
  <c r="AH33" i="34"/>
  <c r="H33" i="34"/>
  <c r="Q33" i="34"/>
  <c r="V33" i="34"/>
  <c r="AI33" i="34"/>
  <c r="AA33" i="34"/>
  <c r="H86" i="34" l="1"/>
  <c r="I86" i="34"/>
  <c r="K86" i="34"/>
  <c r="L86" i="34"/>
  <c r="K71" i="34"/>
  <c r="J71" i="34"/>
  <c r="H71" i="34"/>
  <c r="L71" i="34"/>
  <c r="I71" i="34"/>
  <c r="J86" i="34"/>
  <c r="X86" i="34"/>
  <c r="N86" i="34"/>
  <c r="O86" i="34"/>
  <c r="AA86" i="34"/>
  <c r="P86" i="34"/>
  <c r="R86" i="34"/>
  <c r="AJ83" i="34"/>
  <c r="AE83" i="34"/>
  <c r="Q83" i="34"/>
  <c r="P83" i="34"/>
  <c r="T80" i="34"/>
  <c r="O80" i="34"/>
  <c r="AD80" i="34"/>
  <c r="AF80" i="34"/>
  <c r="AA80" i="34"/>
  <c r="AC83" i="34"/>
  <c r="AI83" i="34"/>
  <c r="AH83" i="34"/>
  <c r="U71" i="34"/>
  <c r="O71" i="34"/>
  <c r="AB71" i="34"/>
  <c r="X71" i="34"/>
  <c r="M71" i="34"/>
  <c r="S71" i="34"/>
  <c r="AI86" i="34"/>
  <c r="Y86" i="34"/>
  <c r="Z86" i="34"/>
  <c r="V86" i="34"/>
  <c r="T86" i="34"/>
  <c r="AC86" i="34"/>
  <c r="T83" i="34"/>
  <c r="AI80" i="34"/>
  <c r="AD83" i="34"/>
  <c r="Q80" i="34"/>
  <c r="N83" i="34"/>
  <c r="AG80" i="34"/>
  <c r="N80" i="34"/>
  <c r="P80" i="34"/>
  <c r="U80" i="34"/>
  <c r="X83" i="34"/>
  <c r="S83" i="34"/>
  <c r="R83" i="34"/>
  <c r="AF71" i="34"/>
  <c r="Z71" i="34"/>
  <c r="AA71" i="34"/>
  <c r="W71" i="34"/>
  <c r="AJ71" i="34"/>
  <c r="AD71" i="34"/>
  <c r="G80" i="34"/>
  <c r="G81" i="34" s="1"/>
  <c r="S86" i="34"/>
  <c r="AB86" i="34"/>
  <c r="U86" i="34"/>
  <c r="AG86" i="34"/>
  <c r="W86" i="34"/>
  <c r="M86" i="34"/>
  <c r="X80" i="34"/>
  <c r="S80" i="34"/>
  <c r="AH80" i="34"/>
  <c r="AF83" i="34"/>
  <c r="AA83" i="34"/>
  <c r="M83" i="34"/>
  <c r="O83" i="34"/>
  <c r="Y83" i="34"/>
  <c r="V83" i="34"/>
  <c r="AB80" i="34"/>
  <c r="W80" i="34"/>
  <c r="V80" i="34"/>
  <c r="P71" i="34"/>
  <c r="Y71" i="34"/>
  <c r="V71" i="34"/>
  <c r="AH71" i="34"/>
  <c r="T71" i="34"/>
  <c r="N71" i="34"/>
  <c r="G83" i="34"/>
  <c r="G84" i="34" s="1"/>
  <c r="AF86" i="34"/>
  <c r="AD86" i="34"/>
  <c r="AE86" i="34"/>
  <c r="AJ86" i="34"/>
  <c r="Q86" i="34"/>
  <c r="AH86" i="34"/>
  <c r="Y80" i="34"/>
  <c r="M80" i="34"/>
  <c r="U83" i="34"/>
  <c r="R80" i="34"/>
  <c r="AJ80" i="34"/>
  <c r="AE80" i="34"/>
  <c r="Z83" i="34"/>
  <c r="AB83" i="34"/>
  <c r="W83" i="34"/>
  <c r="Z80" i="34"/>
  <c r="AC80" i="34"/>
  <c r="AG83" i="34"/>
  <c r="AC71" i="34"/>
  <c r="AE71" i="34"/>
  <c r="AG71" i="34"/>
  <c r="Q71" i="34"/>
  <c r="R71" i="34"/>
  <c r="AI71" i="34"/>
  <c r="G71" i="34"/>
  <c r="G86" i="34"/>
  <c r="G87" i="34" s="1"/>
  <c r="F19" i="34"/>
  <c r="F34" i="34"/>
  <c r="G76" i="34"/>
  <c r="H20" i="34" l="1"/>
  <c r="I20" i="34"/>
  <c r="J20" i="34"/>
  <c r="G20" i="34"/>
  <c r="L72" i="34"/>
  <c r="L73" i="34"/>
  <c r="J72" i="34"/>
  <c r="J96" i="34" s="1"/>
  <c r="J73" i="34"/>
  <c r="J87" i="34"/>
  <c r="J88" i="34"/>
  <c r="I88" i="34"/>
  <c r="I87" i="34"/>
  <c r="I72" i="34"/>
  <c r="I96" i="34" s="1"/>
  <c r="I73" i="34"/>
  <c r="H72" i="34"/>
  <c r="H96" i="34" s="1"/>
  <c r="H73" i="34"/>
  <c r="K72" i="34"/>
  <c r="K73" i="34"/>
  <c r="H87" i="34"/>
  <c r="H88" i="34"/>
  <c r="L88" i="34"/>
  <c r="L87" i="34"/>
  <c r="K87" i="34"/>
  <c r="K88" i="34"/>
  <c r="Q35" i="34"/>
  <c r="AG35" i="34"/>
  <c r="W35" i="34"/>
  <c r="J35" i="34"/>
  <c r="Z35" i="34"/>
  <c r="L35" i="34"/>
  <c r="AB35" i="34"/>
  <c r="S35" i="34"/>
  <c r="AI35" i="34"/>
  <c r="X35" i="34"/>
  <c r="U35" i="34"/>
  <c r="K35" i="34"/>
  <c r="AA35" i="34"/>
  <c r="N35" i="34"/>
  <c r="AD35" i="34"/>
  <c r="P35" i="34"/>
  <c r="AF35" i="34"/>
  <c r="G35" i="34"/>
  <c r="AC35" i="34"/>
  <c r="H35" i="34"/>
  <c r="I35" i="34"/>
  <c r="Y35" i="34"/>
  <c r="O35" i="34"/>
  <c r="AE35" i="34"/>
  <c r="R35" i="34"/>
  <c r="AH35" i="34"/>
  <c r="T35" i="34"/>
  <c r="AJ35" i="34"/>
  <c r="M35" i="34"/>
  <c r="V35" i="34"/>
  <c r="Z20" i="34"/>
  <c r="Z69" i="34" s="1"/>
  <c r="AB20" i="34"/>
  <c r="V20" i="34"/>
  <c r="Y20" i="34"/>
  <c r="Y69" i="34" s="1"/>
  <c r="AI20" i="34"/>
  <c r="AI69" i="34" s="1"/>
  <c r="AD20" i="34"/>
  <c r="P20" i="34"/>
  <c r="AA20" i="34"/>
  <c r="AA69" i="34" s="1"/>
  <c r="AJ20" i="34"/>
  <c r="U20" i="34"/>
  <c r="O20" i="34"/>
  <c r="Q20" i="34"/>
  <c r="Q69" i="34" s="1"/>
  <c r="AF20" i="34"/>
  <c r="AF69" i="34" s="1"/>
  <c r="L20" i="34"/>
  <c r="L69" i="34" s="1"/>
  <c r="AC20" i="34"/>
  <c r="W20" i="34"/>
  <c r="S20" i="34"/>
  <c r="N20" i="34"/>
  <c r="N69" i="34" s="1"/>
  <c r="AE20" i="34"/>
  <c r="AG20" i="34"/>
  <c r="AG69" i="34" s="1"/>
  <c r="M20" i="34"/>
  <c r="M69" i="34" s="1"/>
  <c r="AH20" i="34"/>
  <c r="AH69" i="34" s="1"/>
  <c r="X20" i="34"/>
  <c r="X69" i="34" s="1"/>
  <c r="R20" i="34"/>
  <c r="R69" i="34" s="1"/>
  <c r="T20" i="34"/>
  <c r="K20" i="34"/>
  <c r="AI72" i="34"/>
  <c r="AI73" i="34"/>
  <c r="Q72" i="34"/>
  <c r="Q73" i="34"/>
  <c r="AE72" i="34"/>
  <c r="AE73" i="34"/>
  <c r="AG85" i="34"/>
  <c r="AG84" i="34"/>
  <c r="AB84" i="34"/>
  <c r="AB85" i="34"/>
  <c r="T72" i="34"/>
  <c r="T73" i="34"/>
  <c r="V72" i="34"/>
  <c r="V73" i="34"/>
  <c r="P72" i="34"/>
  <c r="P73" i="34"/>
  <c r="V85" i="34"/>
  <c r="V84" i="34"/>
  <c r="O85" i="34"/>
  <c r="O84" i="34"/>
  <c r="AA85" i="34"/>
  <c r="AA84" i="34"/>
  <c r="AD72" i="34"/>
  <c r="AD73" i="34"/>
  <c r="W72" i="34"/>
  <c r="W73" i="34"/>
  <c r="Z72" i="34"/>
  <c r="Z73" i="34"/>
  <c r="R85" i="34"/>
  <c r="R84" i="34"/>
  <c r="X84" i="34"/>
  <c r="X96" i="34" s="1"/>
  <c r="X85" i="34"/>
  <c r="S72" i="34"/>
  <c r="S73" i="34"/>
  <c r="X72" i="34"/>
  <c r="X73" i="34"/>
  <c r="O72" i="34"/>
  <c r="O73" i="34"/>
  <c r="AH85" i="34"/>
  <c r="AH84" i="34"/>
  <c r="AC84" i="34"/>
  <c r="AC85" i="34"/>
  <c r="P84" i="34"/>
  <c r="P96" i="34" s="1"/>
  <c r="P85" i="34"/>
  <c r="AE84" i="34"/>
  <c r="AE85" i="34"/>
  <c r="Z81" i="34"/>
  <c r="Z82" i="34"/>
  <c r="AE81" i="34"/>
  <c r="AE82" i="34"/>
  <c r="R81" i="34"/>
  <c r="R82" i="34"/>
  <c r="M81" i="34"/>
  <c r="M82" i="34"/>
  <c r="AH87" i="34"/>
  <c r="AH88" i="34"/>
  <c r="AJ88" i="34"/>
  <c r="AJ87" i="34"/>
  <c r="AD87" i="34"/>
  <c r="AD88" i="34"/>
  <c r="W81" i="34"/>
  <c r="W82" i="34"/>
  <c r="AH81" i="34"/>
  <c r="AH82" i="34"/>
  <c r="X82" i="34"/>
  <c r="X81" i="34"/>
  <c r="W87" i="34"/>
  <c r="W88" i="34"/>
  <c r="U87" i="34"/>
  <c r="U88" i="34"/>
  <c r="S87" i="34"/>
  <c r="S88" i="34"/>
  <c r="P81" i="34"/>
  <c r="P82" i="34"/>
  <c r="AG81" i="34"/>
  <c r="AG82" i="34"/>
  <c r="Q81" i="34"/>
  <c r="Q82" i="34"/>
  <c r="AI81" i="34"/>
  <c r="AI82" i="34"/>
  <c r="AC87" i="34"/>
  <c r="AC88" i="34"/>
  <c r="V87" i="34"/>
  <c r="V88" i="34"/>
  <c r="Y87" i="34"/>
  <c r="Y88" i="34"/>
  <c r="AF81" i="34"/>
  <c r="AF82" i="34"/>
  <c r="O81" i="34"/>
  <c r="O82" i="34"/>
  <c r="R87" i="34"/>
  <c r="R88" i="34"/>
  <c r="AA87" i="34"/>
  <c r="AA88" i="34"/>
  <c r="N87" i="34"/>
  <c r="N88" i="34"/>
  <c r="R72" i="34"/>
  <c r="R73" i="34"/>
  <c r="AG72" i="34"/>
  <c r="AG73" i="34"/>
  <c r="AC72" i="34"/>
  <c r="AC73" i="34"/>
  <c r="W84" i="34"/>
  <c r="W96" i="34" s="1"/>
  <c r="W85" i="34"/>
  <c r="Z85" i="34"/>
  <c r="Z84" i="34"/>
  <c r="U85" i="34"/>
  <c r="U84" i="34"/>
  <c r="N72" i="34"/>
  <c r="N73" i="34"/>
  <c r="AH72" i="34"/>
  <c r="AH73" i="34"/>
  <c r="Y72" i="34"/>
  <c r="Y73" i="34"/>
  <c r="Y84" i="34"/>
  <c r="Y96" i="34" s="1"/>
  <c r="Y85" i="34"/>
  <c r="M84" i="34"/>
  <c r="M85" i="34"/>
  <c r="AF84" i="34"/>
  <c r="AF85" i="34"/>
  <c r="AJ72" i="34"/>
  <c r="AJ73" i="34"/>
  <c r="AA72" i="34"/>
  <c r="AA73" i="34"/>
  <c r="AF72" i="34"/>
  <c r="AF73" i="34"/>
  <c r="S84" i="34"/>
  <c r="S96" i="34" s="1"/>
  <c r="S85" i="34"/>
  <c r="N84" i="34"/>
  <c r="N85" i="34"/>
  <c r="AD85" i="34"/>
  <c r="AD84" i="34"/>
  <c r="T85" i="34"/>
  <c r="T84" i="34"/>
  <c r="M72" i="34"/>
  <c r="M73" i="34"/>
  <c r="AB72" i="34"/>
  <c r="AB73" i="34"/>
  <c r="U72" i="34"/>
  <c r="U73" i="34"/>
  <c r="AI84" i="34"/>
  <c r="AI85" i="34"/>
  <c r="Q84" i="34"/>
  <c r="Q85" i="34"/>
  <c r="AJ84" i="34"/>
  <c r="AJ85" i="34"/>
  <c r="G72" i="34"/>
  <c r="G96" i="34" s="1"/>
  <c r="G73" i="34"/>
  <c r="AC81" i="34"/>
  <c r="AC82" i="34"/>
  <c r="AJ81" i="34"/>
  <c r="AJ82" i="34"/>
  <c r="Y81" i="34"/>
  <c r="Y82" i="34"/>
  <c r="Q87" i="34"/>
  <c r="Q88" i="34"/>
  <c r="AE87" i="34"/>
  <c r="AE88" i="34"/>
  <c r="AF87" i="34"/>
  <c r="AF88" i="34"/>
  <c r="V81" i="34"/>
  <c r="V82" i="34"/>
  <c r="AB81" i="34"/>
  <c r="AB82" i="34"/>
  <c r="S81" i="34"/>
  <c r="S82" i="34"/>
  <c r="M87" i="34"/>
  <c r="M88" i="34"/>
  <c r="AG87" i="34"/>
  <c r="AG88" i="34"/>
  <c r="AB87" i="34"/>
  <c r="AB88" i="34"/>
  <c r="U81" i="34"/>
  <c r="U82" i="34"/>
  <c r="N81" i="34"/>
  <c r="N82" i="34"/>
  <c r="T88" i="34"/>
  <c r="T87" i="34"/>
  <c r="Z87" i="34"/>
  <c r="Z88" i="34"/>
  <c r="AI87" i="34"/>
  <c r="AI88" i="34"/>
  <c r="AA81" i="34"/>
  <c r="AA82" i="34"/>
  <c r="AD81" i="34"/>
  <c r="AD82" i="34"/>
  <c r="T81" i="34"/>
  <c r="T82" i="34"/>
  <c r="P88" i="34"/>
  <c r="P87" i="34"/>
  <c r="O87" i="34"/>
  <c r="O88" i="34"/>
  <c r="X87" i="34"/>
  <c r="X88" i="34"/>
  <c r="G82" i="34"/>
  <c r="G79" i="34"/>
  <c r="T96" i="34" l="1"/>
  <c r="Z96" i="34"/>
  <c r="R96" i="34"/>
  <c r="AA96" i="34"/>
  <c r="V96" i="34"/>
  <c r="W69" i="34"/>
  <c r="AJ96" i="34"/>
  <c r="AI96" i="34"/>
  <c r="N96" i="34"/>
  <c r="M96" i="34"/>
  <c r="AE96" i="34"/>
  <c r="AC96" i="34"/>
  <c r="AB96" i="34"/>
  <c r="AC69" i="34"/>
  <c r="K96" i="34"/>
  <c r="L96" i="34"/>
  <c r="Q96" i="34"/>
  <c r="AF96" i="34"/>
  <c r="AD96" i="34"/>
  <c r="U96" i="34"/>
  <c r="AH96" i="34"/>
  <c r="O96" i="34"/>
  <c r="AG96" i="34"/>
  <c r="AB69" i="34"/>
  <c r="I69" i="34"/>
  <c r="AJ69" i="34"/>
  <c r="AE69" i="34"/>
  <c r="V69" i="34"/>
  <c r="T69" i="34"/>
  <c r="U69" i="34"/>
  <c r="K69" i="34"/>
  <c r="S69" i="34"/>
  <c r="O69" i="34"/>
  <c r="P69" i="34"/>
  <c r="H69" i="34"/>
  <c r="J69" i="34"/>
  <c r="AD69" i="34"/>
  <c r="G69" i="34"/>
  <c r="G88" i="34" l="1"/>
  <c r="BK8" i="19" l="1"/>
  <c r="DP8" i="19" s="1"/>
  <c r="BU8" i="19"/>
  <c r="X8" i="19"/>
  <c r="BV35" i="19" l="1"/>
  <c r="BW35" i="19" s="1"/>
  <c r="BV32" i="19"/>
  <c r="BW32" i="19" s="1"/>
  <c r="BV31" i="19"/>
  <c r="BW31" i="19" s="1"/>
  <c r="BV37" i="19"/>
  <c r="BW37" i="19" s="1"/>
  <c r="BV29" i="19"/>
  <c r="BW29" i="19" s="1"/>
  <c r="BV28" i="19"/>
  <c r="BW28" i="19" s="1"/>
  <c r="BV33" i="19"/>
  <c r="BW33" i="19" s="1"/>
  <c r="BV18" i="19"/>
  <c r="BW18" i="19" s="1"/>
  <c r="BV10" i="19"/>
  <c r="BW10" i="19" s="1"/>
  <c r="BV13" i="19"/>
  <c r="BW13" i="19" s="1"/>
  <c r="BV23" i="19"/>
  <c r="BW23" i="19" s="1"/>
  <c r="BV36" i="19"/>
  <c r="BW36" i="19" s="1"/>
  <c r="BV17" i="19"/>
  <c r="BW17" i="19" s="1"/>
  <c r="BV27" i="19"/>
  <c r="BW27" i="19" s="1"/>
  <c r="BV25" i="19"/>
  <c r="BW25" i="19" s="1"/>
  <c r="BV34" i="19"/>
  <c r="BW34" i="19" s="1"/>
  <c r="BV22" i="19"/>
  <c r="BW22" i="19" s="1"/>
  <c r="BV39" i="19"/>
  <c r="BW39" i="19" s="1"/>
  <c r="BV11" i="19"/>
  <c r="BW11" i="19" s="1"/>
  <c r="BV21" i="19"/>
  <c r="BW21" i="19" s="1"/>
  <c r="BV15" i="19"/>
  <c r="BW15" i="19" s="1"/>
  <c r="BV40" i="19"/>
  <c r="BW40" i="19" s="1"/>
  <c r="BV14" i="19"/>
  <c r="BW14" i="19" s="1"/>
  <c r="BV19" i="19"/>
  <c r="BW19" i="19" s="1"/>
  <c r="BV24" i="19"/>
  <c r="BW24" i="19" s="1"/>
  <c r="BV38" i="19"/>
  <c r="BW38" i="19" s="1"/>
  <c r="BV9" i="19"/>
  <c r="BW9" i="19" s="1"/>
  <c r="BV20" i="19"/>
  <c r="BW20" i="19" s="1"/>
  <c r="BV16" i="19"/>
  <c r="BW16" i="19" s="1"/>
  <c r="BV12" i="19"/>
  <c r="BW12" i="19" s="1"/>
  <c r="BV26" i="19"/>
  <c r="BW26" i="19" s="1"/>
  <c r="BV30" i="19"/>
  <c r="BW30" i="19" s="1"/>
  <c r="BV8" i="19"/>
  <c r="BW8" i="19" s="1"/>
  <c r="DO8" i="19"/>
  <c r="DR8" i="19" s="1"/>
  <c r="EA4" i="19" s="1"/>
  <c r="EB40" i="19" s="1"/>
  <c r="EC40" i="19" s="1"/>
  <c r="AH8" i="19"/>
  <c r="EB28" i="19" l="1"/>
  <c r="EC28" i="19" s="1"/>
  <c r="EB13" i="19"/>
  <c r="EC13" i="19" s="1"/>
  <c r="EB9" i="19"/>
  <c r="EC9" i="19" s="1"/>
  <c r="EB32" i="19"/>
  <c r="EC32" i="19" s="1"/>
  <c r="EB24" i="19"/>
  <c r="EC24" i="19" s="1"/>
  <c r="EB18" i="19"/>
  <c r="EC18" i="19" s="1"/>
  <c r="EB17" i="19"/>
  <c r="EC17" i="19" s="1"/>
  <c r="EB36" i="19"/>
  <c r="EC36" i="19" s="1"/>
  <c r="EB31" i="19"/>
  <c r="EC31" i="19" s="1"/>
  <c r="EB35" i="19"/>
  <c r="EC35" i="19" s="1"/>
  <c r="EB26" i="19"/>
  <c r="EC26" i="19" s="1"/>
  <c r="EB29" i="19"/>
  <c r="EC29" i="19" s="1"/>
  <c r="EB23" i="19"/>
  <c r="EC23" i="19" s="1"/>
  <c r="EB10" i="19"/>
  <c r="EC10" i="19" s="1"/>
  <c r="EB15" i="19"/>
  <c r="EC15" i="19" s="1"/>
  <c r="EB21" i="19"/>
  <c r="EC21" i="19" s="1"/>
  <c r="EB30" i="19"/>
  <c r="EC30" i="19" s="1"/>
  <c r="EB34" i="19"/>
  <c r="EC34" i="19" s="1"/>
  <c r="EB22" i="19"/>
  <c r="EC22" i="19" s="1"/>
  <c r="EB12" i="19"/>
  <c r="EC12" i="19" s="1"/>
  <c r="EB39" i="19"/>
  <c r="EC39" i="19" s="1"/>
  <c r="EB25" i="19"/>
  <c r="EC25" i="19" s="1"/>
  <c r="EB20" i="19"/>
  <c r="EC20" i="19" s="1"/>
  <c r="EB14" i="19"/>
  <c r="EC14" i="19" s="1"/>
  <c r="EB33" i="19"/>
  <c r="EC33" i="19" s="1"/>
  <c r="EB11" i="19"/>
  <c r="EC11" i="19" s="1"/>
  <c r="EB19" i="19"/>
  <c r="EC19" i="19" s="1"/>
  <c r="EB27" i="19"/>
  <c r="EC27" i="19" s="1"/>
  <c r="EB16" i="19"/>
  <c r="EC16" i="19" s="1"/>
  <c r="EB38" i="19"/>
  <c r="EC38" i="19" s="1"/>
  <c r="EB37" i="19"/>
  <c r="EC37" i="19" s="1"/>
  <c r="AI22" i="19"/>
  <c r="AJ22" i="19" s="1"/>
  <c r="AI33" i="19"/>
  <c r="AJ33" i="19" s="1"/>
  <c r="AI38" i="19"/>
  <c r="AJ38" i="19" s="1"/>
  <c r="AI31" i="19"/>
  <c r="AJ31" i="19" s="1"/>
  <c r="AI23" i="19"/>
  <c r="AJ23" i="19" s="1"/>
  <c r="AI15" i="19"/>
  <c r="AJ15" i="19" s="1"/>
  <c r="AI29" i="19"/>
  <c r="AJ29" i="19" s="1"/>
  <c r="AI11" i="19"/>
  <c r="AJ11" i="19" s="1"/>
  <c r="AI9" i="19"/>
  <c r="AJ9" i="19" s="1"/>
  <c r="AI10" i="19"/>
  <c r="AJ10" i="19" s="1"/>
  <c r="AI19" i="19"/>
  <c r="AJ19" i="19" s="1"/>
  <c r="AI30" i="19"/>
  <c r="AJ30" i="19" s="1"/>
  <c r="AI26" i="19"/>
  <c r="AJ26" i="19" s="1"/>
  <c r="AI18" i="19"/>
  <c r="AJ18" i="19" s="1"/>
  <c r="AI39" i="19"/>
  <c r="AJ39" i="19" s="1"/>
  <c r="AI32" i="19"/>
  <c r="AJ32" i="19" s="1"/>
  <c r="AI24" i="19"/>
  <c r="AJ24" i="19" s="1"/>
  <c r="AI16" i="19"/>
  <c r="AJ16" i="19" s="1"/>
  <c r="AI20" i="19"/>
  <c r="AJ20" i="19" s="1"/>
  <c r="AI14" i="19"/>
  <c r="AJ14" i="19" s="1"/>
  <c r="AI34" i="19"/>
  <c r="AJ34" i="19" s="1"/>
  <c r="AI36" i="19"/>
  <c r="AJ36" i="19" s="1"/>
  <c r="AI21" i="19"/>
  <c r="AJ21" i="19" s="1"/>
  <c r="AI12" i="19"/>
  <c r="AJ12" i="19" s="1"/>
  <c r="AI35" i="19"/>
  <c r="AJ35" i="19" s="1"/>
  <c r="AI40" i="19"/>
  <c r="AJ40" i="19" s="1"/>
  <c r="AI17" i="19"/>
  <c r="AJ17" i="19" s="1"/>
  <c r="AI13" i="19"/>
  <c r="AJ13" i="19" s="1"/>
  <c r="AI27" i="19"/>
  <c r="AJ27" i="19" s="1"/>
  <c r="AI28" i="19"/>
  <c r="AJ28" i="19" s="1"/>
  <c r="AI37" i="19"/>
  <c r="AJ37" i="19" s="1"/>
  <c r="AI25" i="19"/>
  <c r="AJ25" i="19" s="1"/>
  <c r="AI8" i="19"/>
  <c r="AJ8" i="19" s="1"/>
  <c r="EB8" i="19"/>
  <c r="EG8" i="19" l="1"/>
  <c r="EC8" i="19"/>
  <c r="EG12" i="19"/>
  <c r="EG11" i="19"/>
  <c r="EG9" i="19"/>
  <c r="EG10" i="19"/>
  <c r="EG13" i="19"/>
  <c r="F69" i="34" l="1"/>
  <c r="G85" i="34"/>
</calcChain>
</file>

<file path=xl/comments1.xml><?xml version="1.0" encoding="utf-8"?>
<comments xmlns="http://schemas.openxmlformats.org/spreadsheetml/2006/main">
  <authors>
    <author>AGOSTINHO SANTOS</author>
  </authors>
  <commentList>
    <comment ref="H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L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R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Y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AD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AU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AY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BE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BL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BQ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CH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CL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CR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CY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DD6" authorId="0">
      <text>
        <r>
          <rPr>
            <sz val="14"/>
            <color indexed="81"/>
            <rFont val="Arial"/>
            <family val="2"/>
          </rPr>
          <t>Inserir %</t>
        </r>
      </text>
    </comment>
    <comment ref="H7" authorId="0">
      <text>
        <r>
          <rPr>
            <sz val="14"/>
            <color indexed="81"/>
            <rFont val="Tahoma"/>
            <family val="2"/>
          </rPr>
          <t>Compreensão do Oral/ Oralidade</t>
        </r>
      </text>
    </comment>
    <comment ref="I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L7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M7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N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O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R7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S7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T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U7" authorId="0">
      <text>
        <r>
          <rPr>
            <sz val="14"/>
            <color indexed="81"/>
            <rFont val="Tahoma"/>
            <family val="2"/>
          </rPr>
          <t>Questionários orais/ Interação na aula</t>
        </r>
      </text>
    </comment>
    <comment ref="V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Y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Z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AA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AD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AE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AU7" authorId="0">
      <text>
        <r>
          <rPr>
            <sz val="14"/>
            <color indexed="81"/>
            <rFont val="Tahoma"/>
            <family val="2"/>
          </rPr>
          <t>Compreensão do Oral/ Oralidade</t>
        </r>
      </text>
    </comment>
    <comment ref="AV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AY7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AZ7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BA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B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BE7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BF7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BG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H7" authorId="0">
      <text>
        <r>
          <rPr>
            <sz val="14"/>
            <color indexed="81"/>
            <rFont val="Tahoma"/>
            <family val="2"/>
          </rPr>
          <t>Questionários orais/ Interação na aula</t>
        </r>
      </text>
    </comment>
    <comment ref="BI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BL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M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BN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BQ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BR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CH7" authorId="0">
      <text>
        <r>
          <rPr>
            <sz val="14"/>
            <color indexed="81"/>
            <rFont val="Tahoma"/>
            <family val="2"/>
          </rPr>
          <t>Compreensão do Oral/ Oralidade</t>
        </r>
      </text>
    </comment>
    <comment ref="CI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CL7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CM7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CN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CO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CR7" authorId="0">
      <text>
        <r>
          <rPr>
            <sz val="14"/>
            <color indexed="81"/>
            <rFont val="Tahoma"/>
            <family val="2"/>
          </rPr>
          <t>Projetos de Pesquisa</t>
        </r>
      </text>
    </comment>
    <comment ref="CS7" authorId="0">
      <text>
        <r>
          <rPr>
            <sz val="14"/>
            <color indexed="81"/>
            <rFont val="Tahoma"/>
            <family val="2"/>
          </rPr>
          <t>Trabalho de Grupo/ Pares</t>
        </r>
      </text>
    </comment>
    <comment ref="CT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CU7" authorId="0">
      <text>
        <r>
          <rPr>
            <sz val="14"/>
            <color indexed="81"/>
            <rFont val="Tahoma"/>
            <family val="2"/>
          </rPr>
          <t>Questionários orais/ Interação na aula</t>
        </r>
      </text>
    </comment>
    <comment ref="CV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CY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CZ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DA7" authorId="0">
      <text>
        <r>
          <rPr>
            <sz val="14"/>
            <color indexed="81"/>
            <rFont val="Tahoma"/>
            <family val="2"/>
          </rPr>
          <t>Domínios de Autonomia Curricular</t>
        </r>
      </text>
    </comment>
    <comment ref="DD7" authorId="0">
      <text>
        <r>
          <rPr>
            <sz val="14"/>
            <color indexed="81"/>
            <rFont val="Tahoma"/>
            <family val="2"/>
          </rPr>
          <t>Fichas de Avaliação</t>
        </r>
      </text>
    </comment>
    <comment ref="DE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  <comment ref="DF7" authorId="0">
      <text>
        <r>
          <rPr>
            <sz val="14"/>
            <color indexed="81"/>
            <rFont val="Tahoma"/>
            <family val="2"/>
          </rPr>
          <t>Teste de Avaliação</t>
        </r>
      </text>
    </comment>
  </commentList>
</comments>
</file>

<file path=xl/sharedStrings.xml><?xml version="1.0" encoding="utf-8"?>
<sst xmlns="http://schemas.openxmlformats.org/spreadsheetml/2006/main" count="310" uniqueCount="165">
  <si>
    <t>Gramática</t>
  </si>
  <si>
    <t>Escrita</t>
  </si>
  <si>
    <t>Educação Literária</t>
  </si>
  <si>
    <t>Leitura</t>
  </si>
  <si>
    <t>Oralidade</t>
  </si>
  <si>
    <t>% positivas</t>
  </si>
  <si>
    <t>Número de positivas</t>
  </si>
  <si>
    <t>Número de negativas</t>
  </si>
  <si>
    <t>Média</t>
  </si>
  <si>
    <t>Total de alunos avaliados</t>
  </si>
  <si>
    <t>B</t>
  </si>
  <si>
    <t>SUBTOTAL</t>
  </si>
  <si>
    <t>3.º Período</t>
  </si>
  <si>
    <t>2.º Período</t>
  </si>
  <si>
    <t>1.º Período</t>
  </si>
  <si>
    <t>Ponderação</t>
  </si>
  <si>
    <t>AUTO AVALIAÇÃO</t>
  </si>
  <si>
    <t>PONDERAÇÃO</t>
  </si>
  <si>
    <t>MÉDIA ARITMÉTICA</t>
  </si>
  <si>
    <t>Gramatica</t>
  </si>
  <si>
    <t>Ed Lit</t>
  </si>
  <si>
    <t>Domínios</t>
  </si>
  <si>
    <t>Instrumentos de Avaliação</t>
  </si>
  <si>
    <t xml:space="preserve">Sistematizador/ organizador (A, B, C, I, J) </t>
  </si>
  <si>
    <t>Crítico/Analítico (A, B, C, D, G)</t>
  </si>
  <si>
    <t>Comunicador (A, B, D, E, H)</t>
  </si>
  <si>
    <t>Competências adquiridas</t>
  </si>
  <si>
    <t>Leitor (A, B, C, D, F, H, I)</t>
  </si>
  <si>
    <t>Conhecedor/ sabedor/ culto/ informado (A, B, G, I, J)</t>
  </si>
  <si>
    <t xml:space="preserve">Conhecedor/ sabedor/ culto/ informado (A, B, G, I, J) </t>
  </si>
  <si>
    <t xml:space="preserve">Indagador/ Investigador (C, D, F, H, I) </t>
  </si>
  <si>
    <t xml:space="preserve">Criativo (A, C, D, J) </t>
  </si>
  <si>
    <t xml:space="preserve">Questionador (A, F, G, I, J) </t>
  </si>
  <si>
    <t>Sistematizador/ organizador (A, B, C, I, J)</t>
  </si>
  <si>
    <t>Conhecimentos / Capacidades</t>
  </si>
  <si>
    <t>Criativo</t>
  </si>
  <si>
    <t>Comunicador</t>
  </si>
  <si>
    <t>Crítico/Analítico</t>
  </si>
  <si>
    <t>Sistematizador/ organizador</t>
  </si>
  <si>
    <t>Conhecedor/ sabedor/ culto/ informado</t>
  </si>
  <si>
    <t>Leitor</t>
  </si>
  <si>
    <t>Indagador / Investigador</t>
  </si>
  <si>
    <t>Atitudes</t>
  </si>
  <si>
    <t>Respeitador da diferença/ do outro</t>
  </si>
  <si>
    <t>Participativo/ colaborador</t>
  </si>
  <si>
    <t>Responsável/ autónomo</t>
  </si>
  <si>
    <t>Perfil do aluno</t>
  </si>
  <si>
    <t>Competências</t>
  </si>
  <si>
    <t>Avaliação Global das Competências Adquiridas</t>
  </si>
  <si>
    <t>Conhecedor/ sabedor/ culto/ informado (A, B, G, I, J);  Indagador/ Investigador (C, D, F, H, I);  Sistematizador/ organizador (A, B, C, I, J);  Criativo (A, C, D, J);  Comunicador (A, B, D, E, H)</t>
  </si>
  <si>
    <t>Questionador (A, F, G, I, J); Conhecedor/ sabedor/ culto/ informado (A, B, G, I, J); Sistematizador/ organizador (A, B, C, I, J)</t>
  </si>
  <si>
    <t>Global</t>
  </si>
  <si>
    <t>Conhecer de modo explícito e sistematizado os aspetos essenciais da gramática:</t>
  </si>
  <si>
    <t>. Morfologia</t>
  </si>
  <si>
    <t>. Classes e Subclasses de Palavras</t>
  </si>
  <si>
    <t>. Sintaxe: Funções Sintáticas</t>
  </si>
  <si>
    <t>. Sintaxe: Coordenação e Subordinação</t>
  </si>
  <si>
    <t>GLOB</t>
  </si>
  <si>
    <t>Ed. Liter.</t>
  </si>
  <si>
    <t xml:space="preserve"> Instrumentos</t>
  </si>
  <si>
    <t>Instrumentos</t>
  </si>
  <si>
    <t>Avaliação sumativa</t>
  </si>
  <si>
    <t>S</t>
  </si>
  <si>
    <t>MB</t>
  </si>
  <si>
    <t>SUF</t>
  </si>
  <si>
    <t>Competências/ Perfil do Aluno</t>
  </si>
  <si>
    <t>0 a 5</t>
  </si>
  <si>
    <t>Avaliação Global</t>
  </si>
  <si>
    <t xml:space="preserve">Organizar a informação do texto e registá-la, por meio de técnicas diversas. </t>
  </si>
  <si>
    <t xml:space="preserve">Controlar a produção discursiva a partir do feedback dos interlocutores. </t>
  </si>
  <si>
    <t xml:space="preserve">Distinguir factos de opiniões na explicitação de argumentos. </t>
  </si>
  <si>
    <t xml:space="preserve">Planificar, produzir e avaliar textos orais </t>
  </si>
  <si>
    <t xml:space="preserve">Captar e manter a atenção da audiência (olhar, gesto, recurso eventual a suportes digitais). </t>
  </si>
  <si>
    <t>Fazer uma apresentação oral, devidamente estruturada, sobre um tema.</t>
  </si>
  <si>
    <t xml:space="preserve">Realizar leitura em voz alta, silenciosa e autónoma. </t>
  </si>
  <si>
    <t xml:space="preserve">Explicitar o sentido global de um texto. </t>
  </si>
  <si>
    <t xml:space="preserve">Fazer inferências, justificando-as. </t>
  </si>
  <si>
    <t xml:space="preserve">Identificar tema(s), ideias principais e pontos de vista. </t>
  </si>
  <si>
    <t xml:space="preserve">Reconhecer a forma como o texto está estruturado (partes e subpartes). </t>
  </si>
  <si>
    <t>Compreender a utilização de recursos expressivos para a construção de sentido do texto</t>
  </si>
  <si>
    <t xml:space="preserve">Utilizar procedimentos de registo e tratamento de informação. </t>
  </si>
  <si>
    <t>Sistematizador/ organizador (A, B, C, I, J)/ Conhecedor/ sabedor/culto/informado (A B,G,I,J)</t>
  </si>
  <si>
    <t>Comunicador (A, B, D, E, H); Criativo (A,C,D,J)</t>
  </si>
  <si>
    <t>Questionador</t>
  </si>
  <si>
    <t>Conhecedor/ sabedor/ culto/ informado (A, B, G, I, J); Questionador (A,F,G,I,J); Sistematizador/ organizador (A, B, C, I, J); Questionador (A,F,G,I,J)</t>
  </si>
  <si>
    <t>Criativo (A,C,D,J)</t>
  </si>
  <si>
    <t xml:space="preserve">Ler integralmente textos literários de natureza narrativa, lírica e dramática </t>
  </si>
  <si>
    <t xml:space="preserve">Interpretar o texto em função do género literário. </t>
  </si>
  <si>
    <t xml:space="preserve">Inferir o sentido conotativo de palavras e expressões. </t>
  </si>
  <si>
    <t xml:space="preserve">Reconhecer a estrutura e os elementos constitutivos do texto </t>
  </si>
  <si>
    <t xml:space="preserve">Fazer declamações e representações teatrais. </t>
  </si>
  <si>
    <t xml:space="preserve">Analisar o modo como os temas, as experiências e os valores são representados. </t>
  </si>
  <si>
    <t xml:space="preserve">Valorizar a diversidade de culturas, de vivências e de mundivisões presente nos textos. </t>
  </si>
  <si>
    <t xml:space="preserve"> Questionador (A,F,G,I,J)</t>
  </si>
  <si>
    <t>Sistematizador/ organizador (A, B, C, I, J);</t>
  </si>
  <si>
    <t>Criativo (A, C, D, J)</t>
  </si>
  <si>
    <t xml:space="preserve">Comunicador (A, B, D, E, H) </t>
  </si>
  <si>
    <t xml:space="preserve">Responsável/ autónomo (C, D, E, F, G, I, J)  </t>
  </si>
  <si>
    <t xml:space="preserve">Conhecedor/ sabedor/ culto/ informado (A, B, G, I, J); Comunicador (A, B, D, E, H) </t>
  </si>
  <si>
    <t xml:space="preserve"> Responsável/ autónomo (C, D, E, F, G, I, J)  </t>
  </si>
  <si>
    <t xml:space="preserve">Escrever com respeito pelas regras de ortografia e de pontuação. </t>
  </si>
  <si>
    <t xml:space="preserve">Intervir em blogues e em fóruns, por meio de textos adequados ao género e à situação de comunicação. </t>
  </si>
  <si>
    <t>DAC</t>
  </si>
  <si>
    <t>PP</t>
  </si>
  <si>
    <t>TG</t>
  </si>
  <si>
    <t>FA</t>
  </si>
  <si>
    <t>QA</t>
  </si>
  <si>
    <t>TA</t>
  </si>
  <si>
    <t>Ler textos com características narrativas e expositivas, associados a finalidades várias.</t>
  </si>
  <si>
    <t>Desenvolver um projeto de leitura.</t>
  </si>
  <si>
    <t>Explicar recursos expressivos utilizados na construção de textos literários.</t>
  </si>
  <si>
    <t xml:space="preserve">Escrever textos, de acordo com o género textual que convém à finalidade comunicativa. </t>
  </si>
  <si>
    <t xml:space="preserve">Ouvir para selecionar informação relevante e registá-la por meio de técnicas diversas. </t>
  </si>
  <si>
    <t xml:space="preserve">Analisar textos em função do género textual a que pertencem (estruturação e finalidade). </t>
  </si>
  <si>
    <t>Se atingiu nível Bom ou MBom</t>
  </si>
  <si>
    <t>AAA</t>
  </si>
  <si>
    <t>5.º A</t>
  </si>
  <si>
    <t>1.</t>
  </si>
  <si>
    <t>Debate</t>
  </si>
  <si>
    <t>2.</t>
  </si>
  <si>
    <t xml:space="preserve">Projeto de leitura </t>
  </si>
  <si>
    <t>3.</t>
  </si>
  <si>
    <t>Questionários orais / Interação na aula</t>
  </si>
  <si>
    <t>4.</t>
  </si>
  <si>
    <t>Guiões de trabalho</t>
  </si>
  <si>
    <t>5.</t>
  </si>
  <si>
    <t>Testes de compreensão do oral</t>
  </si>
  <si>
    <t xml:space="preserve">6. </t>
  </si>
  <si>
    <t>Domínios de Autonomia Curricular</t>
  </si>
  <si>
    <t>Projetos de pesquisa orientada</t>
  </si>
  <si>
    <t>Trabalho de grupo / pares</t>
  </si>
  <si>
    <t>Fichas de avaliação</t>
  </si>
  <si>
    <t>Trabalho de grupo/ pares</t>
  </si>
  <si>
    <t>Teste de avaliação</t>
  </si>
  <si>
    <t>Oficina de escrita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</si>
  <si>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</si>
  <si>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</si>
  <si>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</si>
  <si>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</si>
  <si>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</si>
  <si>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</si>
  <si>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</si>
  <si>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</si>
  <si>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</si>
  <si>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</si>
  <si>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</si>
  <si>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</si>
  <si>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</si>
  <si>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</si>
  <si>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</si>
  <si>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</si>
  <si>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</si>
  <si>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</si>
  <si>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</si>
  <si>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</si>
  <si>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</si>
  <si>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</si>
  <si>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x</t>
  </si>
  <si>
    <t>z</t>
  </si>
  <si>
    <t>ab</t>
  </si>
  <si>
    <t>ac</t>
  </si>
  <si>
    <t>ad</t>
  </si>
  <si>
    <t>ae</t>
  </si>
  <si>
    <t>af</t>
  </si>
  <si>
    <t>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</si>
</sst>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%"/>
    <numFmt numFmtId="165" formatCode="0;\-0;;@"/>
    <numFmt numFmtId="166" formatCode="0.0"/>
    <numFmt numFmtId="167" formatCode="0.0&quot;%&quot;"/>
    <numFmt numFmtId="168" formatCode="0;\-0;@"/>
    <numFmt numFmtId="169" formatCode="#,##0\ _€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mic Sans MS"/>
      <family val="4"/>
    </font>
    <font>
      <sz val="10"/>
      <name val="Arial"/>
      <family val="2"/>
    </font>
    <font>
      <sz val="10"/>
      <color theme="1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4"/>
      <name val="Arial"/>
      <family val="2"/>
    </font>
    <font>
      <sz val="9"/>
      <name val="Arial"/>
      <family val="2"/>
    </font>
    <font>
      <sz val="10"/>
      <name val="Tahoma"/>
      <family val="2"/>
    </font>
    <font>
      <sz val="10"/>
      <color rgb="FFFF0000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b/>
      <sz val="8"/>
      <color indexed="9"/>
      <name val="Arial"/>
      <family val="2"/>
    </font>
    <font>
      <sz val="11"/>
      <name val="Tahoma"/>
      <family val="2"/>
    </font>
    <font>
      <sz val="22"/>
      <name val="Arial"/>
      <family val="2"/>
    </font>
    <font>
      <sz val="18"/>
      <name val="Arial"/>
      <family val="2"/>
    </font>
    <font>
      <sz val="12"/>
      <color rgb="FFFF0000"/>
      <name val="Arial"/>
      <family val="2"/>
    </font>
    <font>
      <sz val="11"/>
      <color theme="0"/>
      <name val="Arial"/>
      <family val="2"/>
    </font>
    <font>
      <b/>
      <sz val="11"/>
      <color rgb="FF339966"/>
      <name val="Arial"/>
      <family val="2"/>
    </font>
    <font>
      <sz val="10"/>
      <color rgb="FF339966"/>
      <name val="Arial"/>
      <family val="2"/>
    </font>
    <font>
      <sz val="11"/>
      <color rgb="FF0070C0"/>
      <name val="Arial"/>
      <family val="2"/>
    </font>
    <font>
      <sz val="20"/>
      <name val="Arial"/>
      <family val="2"/>
    </font>
    <font>
      <sz val="14"/>
      <color rgb="FFFF0000"/>
      <name val="Arial"/>
      <family val="2"/>
    </font>
    <font>
      <sz val="22"/>
      <color rgb="FFFF0000"/>
      <name val="Arial"/>
      <family val="2"/>
    </font>
    <font>
      <sz val="18"/>
      <color rgb="FFFF0000"/>
      <name val="Arial"/>
      <family val="2"/>
    </font>
    <font>
      <b/>
      <sz val="1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8"/>
      <color theme="4" tint="-0.24994659260841701"/>
      <name val="Calibri"/>
      <family val="2"/>
      <scheme val="minor"/>
    </font>
    <font>
      <sz val="24"/>
      <name val="Arial"/>
      <family val="2"/>
    </font>
    <font>
      <sz val="14"/>
      <color indexed="81"/>
      <name val="Tahoma"/>
      <family val="2"/>
    </font>
    <font>
      <b/>
      <sz val="12"/>
      <color rgb="FF00B050"/>
      <name val="Arial"/>
      <family val="2"/>
    </font>
    <font>
      <sz val="16"/>
      <name val="Calibri"/>
      <family val="2"/>
      <scheme val="minor"/>
    </font>
    <font>
      <sz val="14"/>
      <color indexed="81"/>
      <name val="Arial"/>
      <family val="2"/>
    </font>
    <font>
      <b/>
      <sz val="22"/>
      <color rgb="FF00B050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27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indexed="27"/>
      </patternFill>
    </fill>
    <fill>
      <patternFill patternType="solid">
        <fgColor theme="2"/>
        <bgColor indexed="27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79998168889431442"/>
        <bgColor indexed="64"/>
      </patternFill>
    </fill>
  </fills>
  <borders count="5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thin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hair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medium">
        <color theme="0" tint="-0.499984740745262"/>
      </bottom>
      <diagonal/>
    </border>
    <border>
      <left/>
      <right/>
      <top style="thin">
        <color theme="0" tint="-0.499984740745262"/>
      </top>
      <bottom style="medium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/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/>
      <bottom/>
      <diagonal/>
    </border>
    <border>
      <left/>
      <right style="thin">
        <color theme="8"/>
      </right>
      <top/>
      <bottom/>
      <diagonal/>
    </border>
    <border>
      <left style="thin">
        <color theme="8"/>
      </left>
      <right/>
      <top/>
      <bottom style="thin">
        <color theme="8"/>
      </bottom>
      <diagonal/>
    </border>
    <border>
      <left/>
      <right style="thin">
        <color theme="8"/>
      </right>
      <top/>
      <bottom style="thin">
        <color theme="8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thin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/>
      <top/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</borders>
  <cellStyleXfs count="17">
    <xf numFmtId="0" fontId="0" fillId="0" borderId="0"/>
    <xf numFmtId="0" fontId="3" fillId="0" borderId="0"/>
    <xf numFmtId="0" fontId="2" fillId="0" borderId="0"/>
    <xf numFmtId="0" fontId="5" fillId="0" borderId="0"/>
    <xf numFmtId="0" fontId="2" fillId="0" borderId="0">
      <alignment horizontal="left" vertical="center"/>
    </xf>
    <xf numFmtId="0" fontId="34" fillId="0" borderId="0" applyNumberFormat="0" applyFill="0" applyBorder="0" applyProtection="0">
      <alignment vertical="top"/>
    </xf>
    <xf numFmtId="0" fontId="33" fillId="14" borderId="0" applyNumberFormat="0" applyProtection="0">
      <alignment horizontal="right" vertical="center" indent="1"/>
    </xf>
    <xf numFmtId="0" fontId="33" fillId="15" borderId="0" applyNumberFormat="0" applyBorder="0" applyAlignment="0" applyProtection="0"/>
    <xf numFmtId="0" fontId="2" fillId="4" borderId="0" applyNumberFormat="0" applyBorder="0" applyAlignment="0" applyProtection="0"/>
    <xf numFmtId="0" fontId="33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16" borderId="0" applyNumberFormat="0" applyBorder="0" applyAlignment="0" applyProtection="0"/>
    <xf numFmtId="0" fontId="33" fillId="13" borderId="0" applyNumberFormat="0" applyBorder="0" applyAlignment="0" applyProtection="0"/>
    <xf numFmtId="0" fontId="35" fillId="0" borderId="0">
      <alignment horizontal="center"/>
    </xf>
    <xf numFmtId="0" fontId="36" fillId="4" borderId="0" applyNumberFormat="0" applyBorder="0" applyProtection="0">
      <alignment horizontal="center" vertical="center"/>
    </xf>
    <xf numFmtId="0" fontId="2" fillId="0" borderId="0" applyNumberFormat="0" applyFill="0" applyBorder="0">
      <alignment horizontal="left" vertical="center" wrapText="1" indent="2"/>
    </xf>
    <xf numFmtId="1" fontId="2" fillId="0" borderId="0" applyFill="0" applyBorder="0" applyProtection="0">
      <alignment horizontal="center" vertical="center"/>
    </xf>
  </cellStyleXfs>
  <cellXfs count="419">
    <xf numFmtId="0" fontId="0" fillId="0" borderId="0" xfId="0"/>
    <xf numFmtId="165" fontId="17" fillId="0" borderId="0" xfId="1" applyNumberFormat="1" applyFont="1" applyAlignment="1" applyProtection="1">
      <alignment horizontal="center"/>
      <protection hidden="1"/>
    </xf>
    <xf numFmtId="0" fontId="21" fillId="0" borderId="0" xfId="1" applyFont="1" applyAlignment="1" applyProtection="1">
      <alignment vertical="center"/>
      <protection hidden="1"/>
    </xf>
    <xf numFmtId="0" fontId="22" fillId="4" borderId="0" xfId="1" applyFont="1" applyFill="1" applyAlignment="1" applyProtection="1">
      <alignment horizontal="center" vertical="center" shrinkToFit="1"/>
      <protection hidden="1"/>
    </xf>
    <xf numFmtId="0" fontId="4" fillId="0" borderId="0" xfId="1" applyFont="1" applyProtection="1">
      <protection hidden="1"/>
    </xf>
    <xf numFmtId="0" fontId="5" fillId="0" borderId="0" xfId="1" applyFont="1" applyBorder="1" applyProtection="1">
      <protection hidden="1"/>
    </xf>
    <xf numFmtId="0" fontId="14" fillId="0" borderId="0" xfId="1" applyFont="1" applyFill="1" applyBorder="1" applyProtection="1">
      <protection hidden="1"/>
    </xf>
    <xf numFmtId="0" fontId="3" fillId="0" borderId="0" xfId="1" applyProtection="1">
      <protection hidden="1"/>
    </xf>
    <xf numFmtId="0" fontId="7" fillId="0" borderId="0" xfId="0" applyFont="1" applyProtection="1">
      <protection hidden="1"/>
    </xf>
    <xf numFmtId="0" fontId="15" fillId="0" borderId="0" xfId="1" applyFont="1" applyFill="1" applyProtection="1">
      <protection hidden="1"/>
    </xf>
    <xf numFmtId="0" fontId="15" fillId="0" borderId="0" xfId="1" applyFont="1" applyFill="1" applyBorder="1" applyProtection="1">
      <protection hidden="1"/>
    </xf>
    <xf numFmtId="0" fontId="15" fillId="2" borderId="0" xfId="1" applyFont="1" applyFill="1" applyProtection="1">
      <protection hidden="1"/>
    </xf>
    <xf numFmtId="0" fontId="7" fillId="0" borderId="0" xfId="0" applyFont="1" applyBorder="1" applyProtection="1">
      <protection hidden="1"/>
    </xf>
    <xf numFmtId="0" fontId="7" fillId="0" borderId="0" xfId="0" applyFont="1" applyFill="1" applyProtection="1">
      <protection hidden="1"/>
    </xf>
    <xf numFmtId="0" fontId="22" fillId="0" borderId="0" xfId="0" applyFont="1" applyAlignment="1" applyProtection="1">
      <alignment horizontal="right" vertical="center" wrapText="1"/>
      <protection hidden="1"/>
    </xf>
    <xf numFmtId="9" fontId="7" fillId="0" borderId="0" xfId="0" applyNumberFormat="1" applyFont="1" applyProtection="1">
      <protection hidden="1"/>
    </xf>
    <xf numFmtId="0" fontId="13" fillId="0" borderId="0" xfId="0" applyFont="1" applyBorder="1" applyAlignment="1" applyProtection="1">
      <alignment horizontal="right" vertical="center" wrapText="1"/>
      <protection hidden="1"/>
    </xf>
    <xf numFmtId="0" fontId="13" fillId="0" borderId="0" xfId="0" applyFont="1" applyAlignment="1" applyProtection="1">
      <alignment horizontal="right" vertical="center" wrapText="1"/>
      <protection hidden="1"/>
    </xf>
    <xf numFmtId="0" fontId="7" fillId="0" borderId="0" xfId="0" applyFont="1" applyFill="1" applyBorder="1" applyProtection="1">
      <protection hidden="1"/>
    </xf>
    <xf numFmtId="166" fontId="7" fillId="0" borderId="0" xfId="0" applyNumberFormat="1" applyFont="1" applyFill="1" applyBorder="1" applyProtection="1">
      <protection hidden="1"/>
    </xf>
    <xf numFmtId="9" fontId="7" fillId="0" borderId="0" xfId="0" applyNumberFormat="1" applyFont="1" applyFill="1" applyBorder="1" applyProtection="1">
      <protection hidden="1"/>
    </xf>
    <xf numFmtId="1" fontId="12" fillId="4" borderId="1" xfId="1" applyNumberFormat="1" applyFont="1" applyFill="1" applyBorder="1" applyAlignment="1" applyProtection="1">
      <alignment horizontal="center" vertical="center"/>
      <protection hidden="1"/>
    </xf>
    <xf numFmtId="1" fontId="12" fillId="2" borderId="1" xfId="1" applyNumberFormat="1" applyFont="1" applyFill="1" applyBorder="1" applyAlignment="1" applyProtection="1">
      <alignment horizontal="center" vertical="center"/>
      <protection hidden="1"/>
    </xf>
    <xf numFmtId="1" fontId="12" fillId="0" borderId="1" xfId="1" applyNumberFormat="1" applyFont="1" applyBorder="1" applyAlignment="1" applyProtection="1">
      <alignment horizontal="center" vertical="center"/>
      <protection hidden="1"/>
    </xf>
    <xf numFmtId="1" fontId="18" fillId="0" borderId="1" xfId="1" applyNumberFormat="1" applyFont="1" applyBorder="1" applyAlignment="1" applyProtection="1">
      <alignment horizontal="center" vertical="center"/>
      <protection hidden="1"/>
    </xf>
    <xf numFmtId="1" fontId="12" fillId="4" borderId="1" xfId="1" applyNumberFormat="1" applyFont="1" applyFill="1" applyBorder="1" applyAlignment="1" applyProtection="1">
      <alignment horizontal="center" vertical="center"/>
      <protection locked="0"/>
    </xf>
    <xf numFmtId="1" fontId="12" fillId="2" borderId="1" xfId="1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Fill="1" applyBorder="1" applyAlignment="1" applyProtection="1">
      <alignment horizontal="center" vertical="center" wrapText="1"/>
      <protection hidden="1"/>
    </xf>
    <xf numFmtId="1" fontId="12" fillId="5" borderId="3" xfId="1" applyNumberFormat="1" applyFont="1" applyFill="1" applyBorder="1" applyAlignment="1" applyProtection="1">
      <alignment horizontal="center" vertical="center"/>
      <protection hidden="1"/>
    </xf>
    <xf numFmtId="0" fontId="7" fillId="0" borderId="17" xfId="0" applyFont="1" applyFill="1" applyBorder="1" applyProtection="1">
      <protection hidden="1"/>
    </xf>
    <xf numFmtId="0" fontId="9" fillId="0" borderId="32" xfId="0" applyFont="1" applyFill="1" applyBorder="1" applyAlignment="1" applyProtection="1">
      <alignment horizontal="center" vertical="center" wrapText="1"/>
      <protection hidden="1"/>
    </xf>
    <xf numFmtId="9" fontId="22" fillId="0" borderId="17" xfId="1" applyNumberFormat="1" applyFont="1" applyBorder="1" applyAlignment="1" applyProtection="1">
      <alignment horizontal="center" vertical="center" shrinkToFit="1"/>
      <protection hidden="1"/>
    </xf>
    <xf numFmtId="165" fontId="17" fillId="0" borderId="17" xfId="1" applyNumberFormat="1" applyFont="1" applyBorder="1" applyAlignment="1" applyProtection="1">
      <alignment horizontal="center"/>
      <protection hidden="1"/>
    </xf>
    <xf numFmtId="0" fontId="16" fillId="0" borderId="11" xfId="0" applyFont="1" applyFill="1" applyBorder="1" applyAlignment="1" applyProtection="1">
      <alignment horizontal="center" vertical="center" wrapText="1"/>
      <protection hidden="1"/>
    </xf>
    <xf numFmtId="0" fontId="30" fillId="0" borderId="17" xfId="0" applyFont="1" applyFill="1" applyBorder="1" applyAlignment="1" applyProtection="1">
      <alignment horizontal="center" vertical="center" wrapText="1"/>
      <protection hidden="1"/>
    </xf>
    <xf numFmtId="0" fontId="30" fillId="0" borderId="32" xfId="0" applyFont="1" applyFill="1" applyBorder="1" applyAlignment="1" applyProtection="1">
      <alignment horizontal="center" vertical="center" wrapText="1"/>
      <protection hidden="1"/>
    </xf>
    <xf numFmtId="0" fontId="16" fillId="0" borderId="11" xfId="0" applyFont="1" applyFill="1" applyBorder="1" applyAlignment="1" applyProtection="1">
      <alignment horizontal="left" vertical="center" wrapText="1"/>
      <protection hidden="1"/>
    </xf>
    <xf numFmtId="0" fontId="16" fillId="0" borderId="1" xfId="0" applyFont="1" applyFill="1" applyBorder="1" applyAlignment="1" applyProtection="1">
      <alignment vertical="center" wrapText="1"/>
      <protection hidden="1"/>
    </xf>
    <xf numFmtId="0" fontId="16" fillId="0" borderId="11" xfId="0" applyFont="1" applyFill="1" applyBorder="1" applyAlignment="1" applyProtection="1">
      <alignment vertical="center" wrapText="1"/>
      <protection hidden="1"/>
    </xf>
    <xf numFmtId="0" fontId="16" fillId="0" borderId="1" xfId="0" applyFont="1" applyFill="1" applyBorder="1" applyAlignment="1" applyProtection="1">
      <alignment horizontal="left" vertical="center" wrapText="1"/>
      <protection hidden="1"/>
    </xf>
    <xf numFmtId="0" fontId="16" fillId="0" borderId="1" xfId="0" applyFont="1" applyBorder="1" applyAlignment="1" applyProtection="1">
      <alignment horizontal="left" vertical="center" wrapText="1"/>
      <protection hidden="1"/>
    </xf>
    <xf numFmtId="0" fontId="16" fillId="0" borderId="1" xfId="0" applyFont="1" applyBorder="1" applyAlignment="1" applyProtection="1">
      <alignment horizontal="center" vertical="center" wrapText="1"/>
      <protection hidden="1"/>
    </xf>
    <xf numFmtId="0" fontId="31" fillId="0" borderId="23" xfId="0" applyFont="1" applyBorder="1" applyAlignment="1" applyProtection="1">
      <alignment horizontal="center" vertical="center" wrapText="1"/>
      <protection hidden="1"/>
    </xf>
    <xf numFmtId="0" fontId="31" fillId="0" borderId="0" xfId="0" applyFont="1" applyAlignment="1" applyProtection="1">
      <alignment horizontal="right" vertical="center" wrapText="1"/>
      <protection hidden="1"/>
    </xf>
    <xf numFmtId="0" fontId="29" fillId="0" borderId="0" xfId="0" applyFont="1" applyBorder="1" applyAlignment="1" applyProtection="1">
      <alignment horizontal="right" vertical="center" wrapText="1"/>
      <protection hidden="1"/>
    </xf>
    <xf numFmtId="0" fontId="29" fillId="0" borderId="0" xfId="0" applyFont="1" applyAlignment="1" applyProtection="1">
      <alignment horizontal="right" vertical="center" wrapText="1"/>
      <protection hidden="1"/>
    </xf>
    <xf numFmtId="0" fontId="17" fillId="0" borderId="0" xfId="0" applyFont="1" applyProtection="1">
      <protection hidden="1"/>
    </xf>
    <xf numFmtId="0" fontId="8" fillId="0" borderId="0" xfId="0" applyFont="1" applyBorder="1" applyAlignment="1" applyProtection="1">
      <alignment horizontal="center" vertical="center" textRotation="90" wrapText="1"/>
      <protection hidden="1"/>
    </xf>
    <xf numFmtId="0" fontId="10" fillId="0" borderId="0" xfId="0" applyFont="1" applyBorder="1" applyAlignment="1" applyProtection="1">
      <alignment horizontal="left" vertical="center"/>
      <protection hidden="1"/>
    </xf>
    <xf numFmtId="165" fontId="17" fillId="0" borderId="23" xfId="1" applyNumberFormat="1" applyFont="1" applyBorder="1" applyAlignment="1" applyProtection="1">
      <alignment horizontal="center" shrinkToFit="1"/>
      <protection hidden="1"/>
    </xf>
    <xf numFmtId="0" fontId="27" fillId="0" borderId="23" xfId="1" applyFont="1" applyBorder="1" applyAlignment="1" applyProtection="1">
      <alignment horizontal="center" vertical="center" shrinkToFit="1"/>
      <protection hidden="1"/>
    </xf>
    <xf numFmtId="0" fontId="5" fillId="0" borderId="0" xfId="1" applyFont="1" applyBorder="1" applyAlignment="1" applyProtection="1">
      <protection hidden="1"/>
    </xf>
    <xf numFmtId="0" fontId="7" fillId="0" borderId="0" xfId="0" applyFont="1" applyAlignment="1" applyProtection="1">
      <protection hidden="1"/>
    </xf>
    <xf numFmtId="0" fontId="14" fillId="0" borderId="0" xfId="1" applyFont="1" applyBorder="1" applyProtection="1">
      <protection hidden="1"/>
    </xf>
    <xf numFmtId="0" fontId="14" fillId="0" borderId="0" xfId="1" applyFont="1" applyProtection="1">
      <protection hidden="1"/>
    </xf>
    <xf numFmtId="0" fontId="5" fillId="0" borderId="1" xfId="0" applyFont="1" applyFill="1" applyBorder="1" applyAlignment="1" applyProtection="1">
      <alignment vertical="center" wrapText="1"/>
      <protection hidden="1"/>
    </xf>
    <xf numFmtId="0" fontId="5" fillId="0" borderId="1" xfId="0" applyFont="1" applyFill="1" applyBorder="1" applyAlignment="1" applyProtection="1">
      <alignment horizontal="left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5" fillId="0" borderId="1" xfId="0" applyFont="1" applyBorder="1" applyAlignment="1" applyProtection="1">
      <alignment horizontal="left" vertical="center" wrapText="1"/>
      <protection hidden="1"/>
    </xf>
    <xf numFmtId="0" fontId="7" fillId="0" borderId="1" xfId="1" applyFont="1" applyBorder="1" applyAlignment="1" applyProtection="1">
      <alignment horizontal="center" vertical="center" shrinkToFit="1"/>
      <protection hidden="1"/>
    </xf>
    <xf numFmtId="167" fontId="19" fillId="0" borderId="0" xfId="1" applyNumberFormat="1" applyFont="1" applyAlignment="1" applyProtection="1">
      <alignment horizontal="center"/>
      <protection hidden="1"/>
    </xf>
    <xf numFmtId="0" fontId="21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0" fillId="0" borderId="0" xfId="1" applyFont="1" applyAlignment="1" applyProtection="1">
      <alignment horizontal="center" vertical="top"/>
      <protection hidden="1"/>
    </xf>
    <xf numFmtId="0" fontId="7" fillId="0" borderId="0" xfId="1" applyFont="1" applyAlignment="1" applyProtection="1">
      <alignment horizontal="center"/>
      <protection hidden="1"/>
    </xf>
    <xf numFmtId="0" fontId="3" fillId="2" borderId="0" xfId="1" applyFill="1" applyProtection="1">
      <protection hidden="1"/>
    </xf>
    <xf numFmtId="0" fontId="7" fillId="0" borderId="1" xfId="1" applyFont="1" applyBorder="1" applyAlignment="1" applyProtection="1">
      <alignment horizontal="center" vertical="center" textRotation="90" shrinkToFit="1"/>
      <protection hidden="1"/>
    </xf>
    <xf numFmtId="1" fontId="14" fillId="7" borderId="0" xfId="1" applyNumberFormat="1" applyFont="1" applyFill="1" applyAlignment="1" applyProtection="1">
      <alignment horizontal="center" vertical="center"/>
      <protection hidden="1"/>
    </xf>
    <xf numFmtId="1" fontId="14" fillId="6" borderId="0" xfId="1" applyNumberFormat="1" applyFont="1" applyFill="1" applyAlignment="1" applyProtection="1">
      <alignment horizontal="center" vertical="center"/>
      <protection hidden="1"/>
    </xf>
    <xf numFmtId="0" fontId="3" fillId="0" borderId="0" xfId="1" applyProtection="1">
      <protection locked="0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37" fillId="0" borderId="0" xfId="1" applyFont="1" applyBorder="1" applyAlignment="1" applyProtection="1">
      <protection hidden="1"/>
    </xf>
    <xf numFmtId="0" fontId="11" fillId="0" borderId="42" xfId="1" applyFont="1" applyBorder="1" applyAlignment="1" applyProtection="1">
      <alignment horizontal="center"/>
      <protection hidden="1"/>
    </xf>
    <xf numFmtId="0" fontId="8" fillId="0" borderId="42" xfId="1" applyFont="1" applyBorder="1" applyAlignment="1" applyProtection="1">
      <alignment horizontal="left"/>
      <protection hidden="1"/>
    </xf>
    <xf numFmtId="0" fontId="10" fillId="0" borderId="43" xfId="1" applyFont="1" applyBorder="1" applyAlignment="1" applyProtection="1">
      <alignment horizontal="left"/>
      <protection hidden="1"/>
    </xf>
    <xf numFmtId="1" fontId="11" fillId="5" borderId="3" xfId="1" applyNumberFormat="1" applyFont="1" applyFill="1" applyBorder="1" applyAlignment="1" applyProtection="1">
      <alignment horizontal="center" vertical="center"/>
      <protection hidden="1"/>
    </xf>
    <xf numFmtId="1" fontId="11" fillId="4" borderId="1" xfId="1" applyNumberFormat="1" applyFont="1" applyFill="1" applyBorder="1" applyAlignment="1" applyProtection="1">
      <alignment horizontal="center" vertical="center"/>
      <protection hidden="1"/>
    </xf>
    <xf numFmtId="1" fontId="11" fillId="2" borderId="1" xfId="1" applyNumberFormat="1" applyFont="1" applyFill="1" applyBorder="1" applyAlignment="1" applyProtection="1">
      <alignment horizontal="center" vertical="center"/>
      <protection hidden="1"/>
    </xf>
    <xf numFmtId="1" fontId="11" fillId="0" borderId="1" xfId="1" applyNumberFormat="1" applyFont="1" applyBorder="1" applyAlignment="1" applyProtection="1">
      <alignment horizontal="center" vertical="center"/>
      <protection hidden="1"/>
    </xf>
    <xf numFmtId="166" fontId="11" fillId="5" borderId="3" xfId="1" applyNumberFormat="1" applyFont="1" applyFill="1" applyBorder="1" applyAlignment="1" applyProtection="1">
      <alignment horizontal="center" vertical="center"/>
      <protection hidden="1"/>
    </xf>
    <xf numFmtId="1" fontId="11" fillId="5" borderId="3" xfId="1" applyNumberFormat="1" applyFont="1" applyFill="1" applyBorder="1" applyAlignment="1" applyProtection="1">
      <alignment horizontal="center" vertical="center"/>
      <protection locked="0"/>
    </xf>
    <xf numFmtId="1" fontId="39" fillId="5" borderId="26" xfId="1" applyNumberFormat="1" applyFont="1" applyFill="1" applyBorder="1" applyAlignment="1" applyProtection="1">
      <alignment horizontal="center" vertical="center"/>
      <protection hidden="1"/>
    </xf>
    <xf numFmtId="166" fontId="11" fillId="4" borderId="1" xfId="1" applyNumberFormat="1" applyFont="1" applyFill="1" applyBorder="1" applyAlignment="1" applyProtection="1">
      <alignment horizontal="center" vertical="center"/>
      <protection hidden="1"/>
    </xf>
    <xf numFmtId="1" fontId="11" fillId="4" borderId="1" xfId="1" applyNumberFormat="1" applyFont="1" applyFill="1" applyBorder="1" applyAlignment="1" applyProtection="1">
      <alignment horizontal="center" vertical="center"/>
      <protection locked="0"/>
    </xf>
    <xf numFmtId="1" fontId="39" fillId="4" borderId="20" xfId="1" applyNumberFormat="1" applyFont="1" applyFill="1" applyBorder="1" applyAlignment="1" applyProtection="1">
      <alignment horizontal="center" vertical="center"/>
      <protection hidden="1"/>
    </xf>
    <xf numFmtId="166" fontId="11" fillId="2" borderId="1" xfId="1" applyNumberFormat="1" applyFont="1" applyFill="1" applyBorder="1" applyAlignment="1" applyProtection="1">
      <alignment horizontal="center" vertical="center"/>
      <protection hidden="1"/>
    </xf>
    <xf numFmtId="1" fontId="11" fillId="2" borderId="1" xfId="1" applyNumberFormat="1" applyFont="1" applyFill="1" applyBorder="1" applyAlignment="1" applyProtection="1">
      <alignment horizontal="center" vertical="center"/>
      <protection locked="0"/>
    </xf>
    <xf numFmtId="1" fontId="39" fillId="2" borderId="20" xfId="1" applyNumberFormat="1" applyFont="1" applyFill="1" applyBorder="1" applyAlignment="1" applyProtection="1">
      <alignment horizontal="center" vertical="center"/>
      <protection hidden="1"/>
    </xf>
    <xf numFmtId="1" fontId="39" fillId="5" borderId="26" xfId="1" applyNumberFormat="1" applyFont="1" applyFill="1" applyBorder="1" applyAlignment="1" applyProtection="1">
      <alignment horizontal="center" vertical="center"/>
      <protection locked="0"/>
    </xf>
    <xf numFmtId="1" fontId="39" fillId="4" borderId="20" xfId="1" applyNumberFormat="1" applyFont="1" applyFill="1" applyBorder="1" applyAlignment="1" applyProtection="1">
      <alignment horizontal="center" vertical="center"/>
      <protection locked="0"/>
    </xf>
    <xf numFmtId="1" fontId="39" fillId="2" borderId="20" xfId="1" applyNumberFormat="1" applyFont="1" applyFill="1" applyBorder="1" applyAlignment="1" applyProtection="1">
      <alignment horizontal="center" vertical="center"/>
      <protection locked="0"/>
    </xf>
    <xf numFmtId="1" fontId="11" fillId="0" borderId="1" xfId="1" applyNumberFormat="1" applyFont="1" applyBorder="1" applyAlignment="1" applyProtection="1">
      <alignment horizontal="center" vertical="center"/>
      <protection locked="0"/>
    </xf>
    <xf numFmtId="1" fontId="39" fillId="0" borderId="20" xfId="1" applyNumberFormat="1" applyFont="1" applyBorder="1" applyAlignment="1" applyProtection="1">
      <alignment horizontal="center" vertical="center"/>
      <protection locked="0"/>
    </xf>
    <xf numFmtId="1" fontId="11" fillId="4" borderId="11" xfId="1" applyNumberFormat="1" applyFont="1" applyFill="1" applyBorder="1" applyAlignment="1" applyProtection="1">
      <alignment horizontal="center" vertical="center"/>
      <protection hidden="1"/>
    </xf>
    <xf numFmtId="1" fontId="12" fillId="0" borderId="1" xfId="1" applyNumberFormat="1" applyFont="1" applyBorder="1" applyAlignment="1" applyProtection="1">
      <alignment horizontal="center" vertical="center"/>
      <protection locked="0"/>
    </xf>
    <xf numFmtId="166" fontId="11" fillId="2" borderId="8" xfId="1" applyNumberFormat="1" applyFont="1" applyFill="1" applyBorder="1" applyAlignment="1" applyProtection="1">
      <alignment horizontal="center" vertical="center"/>
      <protection hidden="1"/>
    </xf>
    <xf numFmtId="1" fontId="11" fillId="2" borderId="8" xfId="1" applyNumberFormat="1" applyFont="1" applyFill="1" applyBorder="1" applyAlignment="1" applyProtection="1">
      <alignment horizontal="center" vertical="center"/>
      <protection hidden="1"/>
    </xf>
    <xf numFmtId="1" fontId="39" fillId="2" borderId="46" xfId="1" applyNumberFormat="1" applyFont="1" applyFill="1" applyBorder="1" applyAlignment="1" applyProtection="1">
      <alignment horizontal="center" vertical="center"/>
      <protection hidden="1"/>
    </xf>
    <xf numFmtId="1" fontId="11" fillId="2" borderId="8" xfId="1" applyNumberFormat="1" applyFont="1" applyFill="1" applyBorder="1" applyAlignment="1" applyProtection="1">
      <alignment horizontal="center" vertical="center"/>
      <protection locked="0"/>
    </xf>
    <xf numFmtId="1" fontId="39" fillId="2" borderId="46" xfId="1" applyNumberFormat="1" applyFont="1" applyFill="1" applyBorder="1" applyAlignment="1" applyProtection="1">
      <alignment horizontal="center" vertical="center"/>
      <protection locked="0"/>
    </xf>
    <xf numFmtId="1" fontId="11" fillId="0" borderId="8" xfId="1" applyNumberFormat="1" applyFont="1" applyBorder="1" applyAlignment="1" applyProtection="1">
      <alignment horizontal="center" vertical="center"/>
      <protection locked="0"/>
    </xf>
    <xf numFmtId="1" fontId="39" fillId="0" borderId="46" xfId="1" applyNumberFormat="1" applyFont="1" applyBorder="1" applyAlignment="1" applyProtection="1">
      <alignment horizontal="center" vertical="center"/>
      <protection locked="0"/>
    </xf>
    <xf numFmtId="0" fontId="16" fillId="0" borderId="11" xfId="1" applyFont="1" applyBorder="1" applyAlignment="1" applyProtection="1">
      <alignment horizontal="center" vertical="center" textRotation="90" wrapText="1"/>
      <protection locked="0"/>
    </xf>
    <xf numFmtId="0" fontId="16" fillId="0" borderId="32" xfId="1" applyFont="1" applyBorder="1" applyAlignment="1" applyProtection="1">
      <alignment horizontal="center" vertical="center" textRotation="90" wrapText="1"/>
      <protection locked="0"/>
    </xf>
    <xf numFmtId="1" fontId="11" fillId="5" borderId="6" xfId="1" applyNumberFormat="1" applyFont="1" applyFill="1" applyBorder="1" applyAlignment="1" applyProtection="1">
      <alignment horizontal="center" vertical="center"/>
      <protection locked="0"/>
    </xf>
    <xf numFmtId="1" fontId="11" fillId="4" borderId="11" xfId="1" applyNumberFormat="1" applyFont="1" applyFill="1" applyBorder="1" applyAlignment="1" applyProtection="1">
      <alignment horizontal="center" vertical="center"/>
      <protection locked="0"/>
    </xf>
    <xf numFmtId="1" fontId="11" fillId="2" borderId="11" xfId="1" applyNumberFormat="1" applyFont="1" applyFill="1" applyBorder="1" applyAlignment="1" applyProtection="1">
      <alignment horizontal="center" vertical="center"/>
      <protection locked="0"/>
    </xf>
    <xf numFmtId="1" fontId="11" fillId="2" borderId="11" xfId="1" applyNumberFormat="1" applyFont="1" applyFill="1" applyBorder="1" applyAlignment="1" applyProtection="1">
      <alignment horizontal="center" vertical="center"/>
      <protection hidden="1"/>
    </xf>
    <xf numFmtId="1" fontId="11" fillId="2" borderId="50" xfId="1" applyNumberFormat="1" applyFont="1" applyFill="1" applyBorder="1" applyAlignment="1" applyProtection="1">
      <alignment horizontal="center" vertical="center"/>
      <protection hidden="1"/>
    </xf>
    <xf numFmtId="9" fontId="16" fillId="0" borderId="5" xfId="1" applyNumberFormat="1" applyFont="1" applyBorder="1" applyAlignment="1" applyProtection="1">
      <alignment horizontal="center" vertical="center"/>
      <protection hidden="1"/>
    </xf>
    <xf numFmtId="164" fontId="16" fillId="0" borderId="39" xfId="1" applyNumberFormat="1" applyFont="1" applyBorder="1" applyAlignment="1" applyProtection="1">
      <alignment vertical="center"/>
      <protection hidden="1"/>
    </xf>
    <xf numFmtId="165" fontId="7" fillId="2" borderId="48" xfId="1" applyNumberFormat="1" applyFont="1" applyFill="1" applyBorder="1" applyAlignment="1" applyProtection="1">
      <alignment horizontal="center"/>
      <protection hidden="1"/>
    </xf>
    <xf numFmtId="0" fontId="16" fillId="0" borderId="11" xfId="1" applyFont="1" applyBorder="1" applyAlignment="1" applyProtection="1">
      <alignment horizontal="center" vertical="center" textRotation="90" wrapText="1"/>
      <protection hidden="1"/>
    </xf>
    <xf numFmtId="0" fontId="16" fillId="0" borderId="32" xfId="1" applyFont="1" applyBorder="1" applyAlignment="1" applyProtection="1">
      <alignment horizontal="center" vertical="center" textRotation="90" wrapText="1"/>
      <protection hidden="1"/>
    </xf>
    <xf numFmtId="1" fontId="11" fillId="0" borderId="11" xfId="1" applyNumberFormat="1" applyFont="1" applyBorder="1" applyAlignment="1" applyProtection="1">
      <alignment horizontal="center" vertical="center"/>
      <protection locked="0"/>
    </xf>
    <xf numFmtId="1" fontId="11" fillId="2" borderId="50" xfId="1" applyNumberFormat="1" applyFont="1" applyFill="1" applyBorder="1" applyAlignment="1" applyProtection="1">
      <alignment horizontal="center" vertical="center"/>
      <protection locked="0"/>
    </xf>
    <xf numFmtId="165" fontId="7" fillId="2" borderId="38" xfId="1" applyNumberFormat="1" applyFont="1" applyFill="1" applyBorder="1" applyAlignment="1" applyProtection="1">
      <alignment horizontal="center"/>
      <protection hidden="1"/>
    </xf>
    <xf numFmtId="0" fontId="16" fillId="0" borderId="11" xfId="1" applyFont="1" applyBorder="1" applyAlignment="1" applyProtection="1">
      <alignment horizontal="center" vertical="center" textRotation="90" shrinkToFit="1"/>
      <protection hidden="1"/>
    </xf>
    <xf numFmtId="0" fontId="16" fillId="0" borderId="32" xfId="1" applyFont="1" applyBorder="1" applyAlignment="1" applyProtection="1">
      <alignment horizontal="center" vertical="center" textRotation="90" shrinkToFit="1"/>
      <protection hidden="1"/>
    </xf>
    <xf numFmtId="1" fontId="11" fillId="0" borderId="50" xfId="1" applyNumberFormat="1" applyFont="1" applyBorder="1" applyAlignment="1" applyProtection="1">
      <alignment horizontal="center" vertical="center"/>
      <protection locked="0"/>
    </xf>
    <xf numFmtId="9" fontId="7" fillId="0" borderId="1" xfId="1" applyNumberFormat="1" applyFont="1" applyBorder="1" applyAlignment="1" applyProtection="1">
      <alignment horizontal="center" vertical="center" shrinkToFit="1"/>
      <protection hidden="1"/>
    </xf>
    <xf numFmtId="0" fontId="22" fillId="0" borderId="0" xfId="1" applyFont="1" applyAlignment="1" applyProtection="1">
      <alignment horizontal="center" vertical="center" shrinkToFit="1"/>
      <protection hidden="1"/>
    </xf>
    <xf numFmtId="0" fontId="26" fillId="0" borderId="0" xfId="1" applyFont="1" applyAlignment="1" applyProtection="1">
      <alignment horizontal="center" vertical="center" textRotation="90" shrinkToFit="1"/>
      <protection hidden="1"/>
    </xf>
    <xf numFmtId="0" fontId="3" fillId="6" borderId="0" xfId="1" applyFill="1" applyAlignment="1" applyProtection="1">
      <alignment horizontal="center" vertical="center" textRotation="90" wrapText="1" shrinkToFit="1"/>
      <protection hidden="1"/>
    </xf>
    <xf numFmtId="0" fontId="3" fillId="0" borderId="23" xfId="1" applyBorder="1" applyAlignment="1" applyProtection="1">
      <alignment shrinkToFit="1"/>
      <protection hidden="1"/>
    </xf>
    <xf numFmtId="1" fontId="3" fillId="5" borderId="3" xfId="1" applyNumberFormat="1" applyFill="1" applyBorder="1" applyAlignment="1" applyProtection="1">
      <alignment horizontal="center" vertical="center"/>
      <protection hidden="1"/>
    </xf>
    <xf numFmtId="1" fontId="3" fillId="5" borderId="3" xfId="1" applyNumberFormat="1" applyFill="1" applyBorder="1" applyAlignment="1" applyProtection="1">
      <alignment horizontal="center" vertical="center"/>
      <protection locked="0"/>
    </xf>
    <xf numFmtId="1" fontId="25" fillId="0" borderId="0" xfId="1" applyNumberFormat="1" applyFont="1" applyAlignment="1" applyProtection="1">
      <alignment horizontal="center" vertical="center"/>
      <protection hidden="1"/>
    </xf>
    <xf numFmtId="1" fontId="3" fillId="4" borderId="1" xfId="1" applyNumberFormat="1" applyFill="1" applyBorder="1" applyAlignment="1" applyProtection="1">
      <alignment horizontal="center" vertical="center"/>
      <protection hidden="1"/>
    </xf>
    <xf numFmtId="1" fontId="3" fillId="4" borderId="1" xfId="1" applyNumberFormat="1" applyFill="1" applyBorder="1" applyAlignment="1" applyProtection="1">
      <alignment horizontal="center" vertical="center"/>
      <protection locked="0"/>
    </xf>
    <xf numFmtId="1" fontId="18" fillId="0" borderId="0" xfId="1" applyNumberFormat="1" applyFont="1" applyAlignment="1" applyProtection="1">
      <alignment horizontal="center" vertical="center"/>
      <protection hidden="1"/>
    </xf>
    <xf numFmtId="0" fontId="3" fillId="0" borderId="0" xfId="1" applyAlignment="1" applyProtection="1">
      <alignment horizontal="center"/>
      <protection hidden="1"/>
    </xf>
    <xf numFmtId="0" fontId="32" fillId="0" borderId="43" xfId="1" applyFont="1" applyBorder="1" applyProtection="1">
      <protection hidden="1"/>
    </xf>
    <xf numFmtId="1" fontId="3" fillId="5" borderId="1" xfId="1" applyNumberFormat="1" applyFill="1" applyBorder="1" applyAlignment="1" applyProtection="1">
      <alignment horizontal="center" vertical="center"/>
      <protection hidden="1"/>
    </xf>
    <xf numFmtId="1" fontId="3" fillId="2" borderId="1" xfId="1" applyNumberFormat="1" applyFill="1" applyBorder="1" applyAlignment="1" applyProtection="1">
      <alignment horizontal="center" vertical="center"/>
      <protection hidden="1"/>
    </xf>
    <xf numFmtId="1" fontId="3" fillId="2" borderId="1" xfId="1" applyNumberFormat="1" applyFill="1" applyBorder="1" applyAlignment="1" applyProtection="1">
      <alignment horizontal="center" vertical="center"/>
      <protection locked="0"/>
    </xf>
    <xf numFmtId="1" fontId="3" fillId="5" borderId="1" xfId="1" applyNumberFormat="1" applyFill="1" applyBorder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wrapText="1"/>
      <protection hidden="1"/>
    </xf>
    <xf numFmtId="1" fontId="3" fillId="0" borderId="1" xfId="1" applyNumberFormat="1" applyBorder="1" applyAlignment="1" applyProtection="1">
      <alignment horizontal="center" vertical="center"/>
      <protection locked="0"/>
    </xf>
    <xf numFmtId="1" fontId="3" fillId="0" borderId="1" xfId="1" applyNumberFormat="1" applyBorder="1" applyAlignment="1" applyProtection="1">
      <alignment horizontal="center" vertical="center"/>
      <protection hidden="1"/>
    </xf>
    <xf numFmtId="1" fontId="3" fillId="2" borderId="8" xfId="1" applyNumberFormat="1" applyFill="1" applyBorder="1" applyAlignment="1" applyProtection="1">
      <alignment horizontal="center" vertical="center"/>
      <protection hidden="1"/>
    </xf>
    <xf numFmtId="1" fontId="3" fillId="2" borderId="8" xfId="1" applyNumberFormat="1" applyFill="1" applyBorder="1" applyAlignment="1" applyProtection="1">
      <alignment horizontal="center" vertical="center"/>
      <protection locked="0"/>
    </xf>
    <xf numFmtId="1" fontId="3" fillId="0" borderId="8" xfId="1" applyNumberFormat="1" applyBorder="1" applyAlignment="1" applyProtection="1">
      <alignment horizontal="center" vertical="center"/>
      <protection hidden="1"/>
    </xf>
    <xf numFmtId="0" fontId="3" fillId="0" borderId="14" xfId="1" applyBorder="1" applyProtection="1">
      <protection hidden="1"/>
    </xf>
    <xf numFmtId="0" fontId="3" fillId="0" borderId="15" xfId="1" applyBorder="1" applyProtection="1">
      <protection hidden="1"/>
    </xf>
    <xf numFmtId="1" fontId="3" fillId="2" borderId="15" xfId="1" applyNumberFormat="1" applyFill="1" applyBorder="1" applyAlignment="1" applyProtection="1">
      <alignment horizontal="right" vertical="center"/>
      <protection hidden="1"/>
    </xf>
    <xf numFmtId="1" fontId="16" fillId="2" borderId="17" xfId="1" applyNumberFormat="1" applyFont="1" applyFill="1" applyBorder="1" applyAlignment="1" applyProtection="1">
      <alignment horizontal="center" vertical="center"/>
      <protection hidden="1"/>
    </xf>
    <xf numFmtId="0" fontId="3" fillId="0" borderId="55" xfId="1" applyBorder="1" applyProtection="1">
      <protection hidden="1"/>
    </xf>
    <xf numFmtId="165" fontId="24" fillId="0" borderId="0" xfId="1" applyNumberFormat="1" applyFont="1" applyAlignment="1" applyProtection="1">
      <alignment horizontal="center"/>
      <protection hidden="1"/>
    </xf>
    <xf numFmtId="0" fontId="3" fillId="0" borderId="19" xfId="1" applyBorder="1" applyProtection="1">
      <protection hidden="1"/>
    </xf>
    <xf numFmtId="0" fontId="3" fillId="0" borderId="0" xfId="1" applyAlignment="1" applyProtection="1">
      <alignment horizontal="right" vertical="center"/>
      <protection hidden="1"/>
    </xf>
    <xf numFmtId="166" fontId="16" fillId="0" borderId="3" xfId="1" applyNumberFormat="1" applyFont="1" applyBorder="1" applyAlignment="1" applyProtection="1">
      <alignment horizontal="center" vertical="center"/>
      <protection hidden="1"/>
    </xf>
    <xf numFmtId="166" fontId="16" fillId="0" borderId="0" xfId="1" applyNumberFormat="1" applyFont="1" applyAlignment="1" applyProtection="1">
      <alignment horizontal="center" vertical="center"/>
      <protection hidden="1"/>
    </xf>
    <xf numFmtId="165" fontId="3" fillId="0" borderId="39" xfId="1" applyNumberFormat="1" applyBorder="1" applyProtection="1">
      <protection hidden="1"/>
    </xf>
    <xf numFmtId="165" fontId="3" fillId="0" borderId="0" xfId="1" applyNumberFormat="1" applyProtection="1">
      <protection hidden="1"/>
    </xf>
    <xf numFmtId="165" fontId="16" fillId="0" borderId="1" xfId="1" applyNumberFormat="1" applyFont="1" applyBorder="1" applyAlignment="1" applyProtection="1">
      <alignment horizontal="center" vertical="center"/>
      <protection hidden="1"/>
    </xf>
    <xf numFmtId="165" fontId="16" fillId="0" borderId="0" xfId="1" applyNumberFormat="1" applyFont="1" applyAlignment="1" applyProtection="1">
      <alignment horizontal="center" vertical="center"/>
      <protection hidden="1"/>
    </xf>
    <xf numFmtId="165" fontId="3" fillId="0" borderId="39" xfId="1" applyNumberFormat="1" applyBorder="1" applyAlignment="1" applyProtection="1">
      <alignment horizontal="center" vertical="center"/>
      <protection hidden="1"/>
    </xf>
    <xf numFmtId="165" fontId="3" fillId="0" borderId="0" xfId="1" applyNumberFormat="1" applyAlignment="1" applyProtection="1">
      <alignment horizontal="center" vertical="center"/>
      <protection hidden="1"/>
    </xf>
    <xf numFmtId="165" fontId="16" fillId="0" borderId="8" xfId="1" applyNumberFormat="1" applyFont="1" applyBorder="1" applyAlignment="1" applyProtection="1">
      <alignment horizontal="center" vertical="center"/>
      <protection hidden="1"/>
    </xf>
    <xf numFmtId="9" fontId="16" fillId="0" borderId="1" xfId="1" applyNumberFormat="1" applyFont="1" applyBorder="1" applyAlignment="1" applyProtection="1">
      <alignment horizontal="center" vertical="center"/>
      <protection hidden="1"/>
    </xf>
    <xf numFmtId="164" fontId="16" fillId="0" borderId="0" xfId="1" applyNumberFormat="1" applyFont="1" applyAlignment="1" applyProtection="1">
      <alignment horizontal="center" vertical="center"/>
      <protection hidden="1"/>
    </xf>
    <xf numFmtId="0" fontId="3" fillId="0" borderId="52" xfId="1" applyBorder="1" applyProtection="1">
      <protection hidden="1"/>
    </xf>
    <xf numFmtId="0" fontId="3" fillId="0" borderId="53" xfId="1" applyBorder="1" applyProtection="1">
      <protection hidden="1"/>
    </xf>
    <xf numFmtId="0" fontId="3" fillId="0" borderId="54" xfId="1" applyBorder="1" applyProtection="1">
      <protection hidden="1"/>
    </xf>
    <xf numFmtId="0" fontId="3" fillId="0" borderId="0" xfId="1" applyAlignment="1" applyProtection="1">
      <alignment vertical="center"/>
      <protection hidden="1"/>
    </xf>
    <xf numFmtId="0" fontId="11" fillId="0" borderId="44" xfId="1" applyFont="1" applyBorder="1" applyAlignment="1" applyProtection="1">
      <alignment horizontal="center"/>
      <protection hidden="1"/>
    </xf>
    <xf numFmtId="1" fontId="3" fillId="2" borderId="15" xfId="1" applyNumberFormat="1" applyFill="1" applyBorder="1" applyAlignment="1" applyProtection="1">
      <alignment vertical="center"/>
      <protection hidden="1"/>
    </xf>
    <xf numFmtId="1" fontId="12" fillId="2" borderId="8" xfId="1" applyNumberFormat="1" applyFont="1" applyFill="1" applyBorder="1" applyAlignment="1" applyProtection="1">
      <alignment horizontal="center" vertical="center"/>
      <protection hidden="1"/>
    </xf>
    <xf numFmtId="1" fontId="12" fillId="4" borderId="10" xfId="1" applyNumberFormat="1" applyFont="1" applyFill="1" applyBorder="1" applyAlignment="1" applyProtection="1">
      <alignment horizontal="center" vertical="center"/>
      <protection hidden="1"/>
    </xf>
    <xf numFmtId="1" fontId="18" fillId="4" borderId="1" xfId="1" applyNumberFormat="1" applyFont="1" applyFill="1" applyBorder="1" applyAlignment="1" applyProtection="1">
      <alignment horizontal="center" vertical="center"/>
      <protection hidden="1"/>
    </xf>
    <xf numFmtId="1" fontId="12" fillId="2" borderId="10" xfId="1" applyNumberFormat="1" applyFont="1" applyFill="1" applyBorder="1" applyAlignment="1" applyProtection="1">
      <alignment horizontal="center" vertical="center"/>
      <protection hidden="1"/>
    </xf>
    <xf numFmtId="1" fontId="18" fillId="2" borderId="1" xfId="1" applyNumberFormat="1" applyFont="1" applyFill="1" applyBorder="1" applyAlignment="1" applyProtection="1">
      <alignment horizontal="center" vertical="center"/>
      <protection hidden="1"/>
    </xf>
    <xf numFmtId="1" fontId="12" fillId="0" borderId="10" xfId="1" applyNumberFormat="1" applyFont="1" applyBorder="1" applyAlignment="1" applyProtection="1">
      <alignment horizontal="center" vertical="center"/>
      <protection hidden="1"/>
    </xf>
    <xf numFmtId="1" fontId="12" fillId="2" borderId="4" xfId="1" applyNumberFormat="1" applyFont="1" applyFill="1" applyBorder="1" applyAlignment="1" applyProtection="1">
      <alignment horizontal="center" vertical="center"/>
      <protection hidden="1"/>
    </xf>
    <xf numFmtId="1" fontId="18" fillId="2" borderId="8" xfId="1" applyNumberFormat="1" applyFont="1" applyFill="1" applyBorder="1" applyAlignment="1" applyProtection="1">
      <alignment horizontal="center" vertical="center"/>
      <protection hidden="1"/>
    </xf>
    <xf numFmtId="1" fontId="12" fillId="0" borderId="8" xfId="1" applyNumberFormat="1" applyFont="1" applyBorder="1" applyAlignment="1" applyProtection="1">
      <alignment horizontal="center" vertical="center"/>
      <protection hidden="1"/>
    </xf>
    <xf numFmtId="1" fontId="12" fillId="0" borderId="8" xfId="1" applyNumberFormat="1" applyFont="1" applyBorder="1" applyAlignment="1" applyProtection="1">
      <alignment horizontal="center" vertical="center"/>
      <protection locked="0"/>
    </xf>
    <xf numFmtId="1" fontId="11" fillId="0" borderId="8" xfId="1" applyNumberFormat="1" applyFont="1" applyBorder="1" applyAlignment="1" applyProtection="1">
      <alignment horizontal="center" vertical="center"/>
      <protection hidden="1"/>
    </xf>
    <xf numFmtId="1" fontId="16" fillId="0" borderId="3" xfId="1" applyNumberFormat="1" applyFont="1" applyBorder="1" applyAlignment="1" applyProtection="1">
      <alignment horizontal="center" vertical="center"/>
      <protection hidden="1"/>
    </xf>
    <xf numFmtId="0" fontId="40" fillId="0" borderId="43" xfId="1" applyFont="1" applyBorder="1" applyAlignment="1" applyProtection="1">
      <alignment horizontal="left" wrapText="1"/>
      <protection hidden="1"/>
    </xf>
    <xf numFmtId="0" fontId="10" fillId="0" borderId="45" xfId="1" applyFont="1" applyBorder="1" applyAlignment="1" applyProtection="1">
      <alignment horizontal="left"/>
      <protection hidden="1"/>
    </xf>
    <xf numFmtId="0" fontId="7" fillId="0" borderId="40" xfId="1" applyFont="1" applyBorder="1" applyAlignment="1" applyProtection="1">
      <alignment horizontal="center"/>
      <protection hidden="1"/>
    </xf>
    <xf numFmtId="0" fontId="3" fillId="0" borderId="41" xfId="1" applyBorder="1" applyProtection="1">
      <protection hidden="1"/>
    </xf>
    <xf numFmtId="1" fontId="3" fillId="4" borderId="10" xfId="1" applyNumberFormat="1" applyFill="1" applyBorder="1" applyAlignment="1" applyProtection="1">
      <alignment horizontal="center" vertical="center"/>
      <protection hidden="1"/>
    </xf>
    <xf numFmtId="1" fontId="3" fillId="2" borderId="10" xfId="1" applyNumberFormat="1" applyFill="1" applyBorder="1" applyAlignment="1" applyProtection="1">
      <alignment horizontal="center" vertical="center"/>
      <protection hidden="1"/>
    </xf>
    <xf numFmtId="1" fontId="3" fillId="0" borderId="10" xfId="1" applyNumberFormat="1" applyBorder="1" applyAlignment="1" applyProtection="1">
      <alignment horizontal="center" vertical="center"/>
      <protection hidden="1"/>
    </xf>
    <xf numFmtId="1" fontId="3" fillId="2" borderId="4" xfId="1" applyNumberFormat="1" applyFill="1" applyBorder="1" applyAlignment="1" applyProtection="1">
      <alignment horizontal="center" vertical="center"/>
      <protection hidden="1"/>
    </xf>
    <xf numFmtId="0" fontId="27" fillId="0" borderId="23" xfId="1" applyFont="1" applyBorder="1" applyAlignment="1" applyProtection="1">
      <alignment horizontal="center" vertical="center" shrinkToFit="1"/>
      <protection locked="0"/>
    </xf>
    <xf numFmtId="0" fontId="5" fillId="0" borderId="1" xfId="0" applyFont="1" applyFill="1" applyBorder="1" applyAlignment="1" applyProtection="1">
      <alignment vertical="center" wrapText="1"/>
      <protection hidden="1"/>
    </xf>
    <xf numFmtId="0" fontId="5" fillId="0" borderId="1" xfId="0" applyFont="1" applyFill="1" applyBorder="1" applyAlignment="1" applyProtection="1">
      <alignment horizontal="left" vertical="center" wrapText="1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left" vertical="center" wrapText="1"/>
      <protection hidden="1"/>
    </xf>
    <xf numFmtId="0" fontId="5" fillId="0" borderId="1" xfId="0" applyFont="1" applyBorder="1" applyAlignment="1" applyProtection="1">
      <alignment horizontal="left" vertical="center" wrapText="1"/>
      <protection hidden="1"/>
    </xf>
    <xf numFmtId="0" fontId="3" fillId="0" borderId="1" xfId="0" applyFont="1" applyFill="1" applyBorder="1" applyAlignment="1" applyProtection="1">
      <alignment horizontal="left" vertical="center" wrapText="1"/>
      <protection hidden="1"/>
    </xf>
    <xf numFmtId="0" fontId="3" fillId="0" borderId="1" xfId="0" applyFont="1" applyFill="1" applyBorder="1" applyAlignment="1" applyProtection="1">
      <alignment vertical="center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11" xfId="0" applyFont="1" applyFill="1" applyBorder="1" applyAlignment="1" applyProtection="1">
      <alignment horizontal="center" vertical="center" wrapText="1"/>
      <protection hidden="1"/>
    </xf>
    <xf numFmtId="0" fontId="17" fillId="4" borderId="15" xfId="0" applyFont="1" applyFill="1" applyBorder="1" applyProtection="1">
      <protection hidden="1"/>
    </xf>
    <xf numFmtId="0" fontId="11" fillId="4" borderId="15" xfId="0" applyFont="1" applyFill="1" applyBorder="1" applyAlignment="1" applyProtection="1">
      <alignment vertical="center" wrapText="1"/>
      <protection hidden="1"/>
    </xf>
    <xf numFmtId="0" fontId="7" fillId="4" borderId="30" xfId="0" applyFont="1" applyFill="1" applyBorder="1" applyProtection="1">
      <protection hidden="1"/>
    </xf>
    <xf numFmtId="0" fontId="10" fillId="4" borderId="4" xfId="0" applyFont="1" applyFill="1" applyBorder="1" applyAlignment="1" applyProtection="1">
      <alignment horizontal="left" vertical="center"/>
      <protection hidden="1"/>
    </xf>
    <xf numFmtId="0" fontId="10" fillId="4" borderId="8" xfId="0" applyFont="1" applyFill="1" applyBorder="1" applyAlignment="1" applyProtection="1">
      <alignment horizontal="left" vertical="center"/>
      <protection hidden="1"/>
    </xf>
    <xf numFmtId="0" fontId="3" fillId="0" borderId="1" xfId="1" applyBorder="1" applyAlignment="1" applyProtection="1">
      <alignment horizontal="center" vertical="center" textRotation="90" shrinkToFit="1"/>
      <protection hidden="1"/>
    </xf>
    <xf numFmtId="0" fontId="3" fillId="0" borderId="23" xfId="1" applyBorder="1" applyAlignment="1" applyProtection="1">
      <alignment horizontal="center" vertical="center" textRotation="90" shrinkToFit="1"/>
      <protection hidden="1"/>
    </xf>
    <xf numFmtId="1" fontId="16" fillId="0" borderId="3" xfId="1" applyNumberFormat="1" applyFont="1" applyBorder="1" applyAlignment="1" applyProtection="1">
      <alignment horizontal="center"/>
      <protection hidden="1"/>
    </xf>
    <xf numFmtId="1" fontId="3" fillId="8" borderId="1" xfId="1" applyNumberFormat="1" applyFill="1" applyBorder="1" applyAlignment="1" applyProtection="1">
      <alignment horizontal="center" vertical="center"/>
      <protection hidden="1"/>
    </xf>
    <xf numFmtId="1" fontId="3" fillId="4" borderId="8" xfId="1" applyNumberFormat="1" applyFill="1" applyBorder="1" applyAlignment="1" applyProtection="1">
      <alignment horizontal="center" vertical="center"/>
      <protection hidden="1"/>
    </xf>
    <xf numFmtId="1" fontId="12" fillId="8" borderId="1" xfId="1" applyNumberFormat="1" applyFont="1" applyFill="1" applyBorder="1" applyAlignment="1" applyProtection="1">
      <alignment horizontal="center" vertical="center"/>
      <protection hidden="1"/>
    </xf>
    <xf numFmtId="1" fontId="12" fillId="4" borderId="8" xfId="1" applyNumberFormat="1" applyFont="1" applyFill="1" applyBorder="1" applyAlignment="1" applyProtection="1">
      <alignment horizontal="center" vertical="center"/>
      <protection hidden="1"/>
    </xf>
    <xf numFmtId="169" fontId="11" fillId="5" borderId="3" xfId="1" applyNumberFormat="1" applyFont="1" applyFill="1" applyBorder="1" applyAlignment="1" applyProtection="1">
      <alignment horizontal="center" vertical="center"/>
      <protection hidden="1"/>
    </xf>
    <xf numFmtId="169" fontId="11" fillId="7" borderId="3" xfId="1" applyNumberFormat="1" applyFont="1" applyFill="1" applyBorder="1" applyAlignment="1" applyProtection="1">
      <alignment horizontal="center" vertical="center"/>
      <protection hidden="1"/>
    </xf>
    <xf numFmtId="169" fontId="11" fillId="4" borderId="1" xfId="1" applyNumberFormat="1" applyFont="1" applyFill="1" applyBorder="1" applyAlignment="1" applyProtection="1">
      <alignment horizontal="center" vertical="center"/>
      <protection hidden="1"/>
    </xf>
    <xf numFmtId="169" fontId="11" fillId="7" borderId="1" xfId="1" applyNumberFormat="1" applyFont="1" applyFill="1" applyBorder="1" applyAlignment="1" applyProtection="1">
      <alignment horizontal="center" vertical="center"/>
      <protection hidden="1"/>
    </xf>
    <xf numFmtId="169" fontId="11" fillId="2" borderId="1" xfId="1" applyNumberFormat="1" applyFont="1" applyFill="1" applyBorder="1" applyAlignment="1" applyProtection="1">
      <alignment horizontal="center" vertical="center"/>
      <protection hidden="1"/>
    </xf>
    <xf numFmtId="169" fontId="11" fillId="6" borderId="1" xfId="1" applyNumberFormat="1" applyFont="1" applyFill="1" applyBorder="1" applyAlignment="1" applyProtection="1">
      <alignment horizontal="center" vertical="center"/>
      <protection hidden="1"/>
    </xf>
    <xf numFmtId="169" fontId="11" fillId="0" borderId="1" xfId="1" applyNumberFormat="1" applyFont="1" applyBorder="1" applyAlignment="1" applyProtection="1">
      <alignment horizontal="center" vertical="center"/>
      <protection hidden="1"/>
    </xf>
    <xf numFmtId="169" fontId="11" fillId="6" borderId="8" xfId="1" applyNumberFormat="1" applyFont="1" applyFill="1" applyBorder="1" applyAlignment="1" applyProtection="1">
      <alignment horizontal="center" vertical="center"/>
      <protection hidden="1"/>
    </xf>
    <xf numFmtId="169" fontId="11" fillId="0" borderId="8" xfId="1" applyNumberFormat="1" applyFont="1" applyBorder="1" applyAlignment="1" applyProtection="1">
      <alignment horizontal="center" vertical="center"/>
      <protection hidden="1"/>
    </xf>
    <xf numFmtId="0" fontId="27" fillId="0" borderId="35" xfId="1" applyFont="1" applyBorder="1" applyAlignment="1" applyProtection="1">
      <alignment horizontal="center" vertical="center" shrinkToFit="1"/>
      <protection hidden="1"/>
    </xf>
    <xf numFmtId="1" fontId="42" fillId="4" borderId="20" xfId="1" applyNumberFormat="1" applyFont="1" applyFill="1" applyBorder="1" applyAlignment="1" applyProtection="1">
      <alignment horizontal="center" vertical="center"/>
      <protection hidden="1"/>
    </xf>
    <xf numFmtId="0" fontId="10" fillId="0" borderId="23" xfId="0" applyFont="1" applyBorder="1" applyAlignment="1" applyProtection="1">
      <alignment horizontal="left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19" xfId="0" applyFont="1" applyBorder="1" applyAlignment="1" applyProtection="1">
      <alignment vertical="center" textRotation="90" wrapText="1"/>
      <protection hidden="1"/>
    </xf>
    <xf numFmtId="0" fontId="7" fillId="4" borderId="2" xfId="0" applyFont="1" applyFill="1" applyBorder="1" applyProtection="1">
      <protection hidden="1"/>
    </xf>
    <xf numFmtId="0" fontId="17" fillId="4" borderId="0" xfId="0" applyFont="1" applyFill="1" applyBorder="1" applyProtection="1">
      <protection hidden="1"/>
    </xf>
    <xf numFmtId="0" fontId="11" fillId="4" borderId="0" xfId="0" applyFont="1" applyFill="1" applyBorder="1" applyAlignment="1" applyProtection="1">
      <alignment vertical="center" wrapText="1"/>
      <protection hidden="1"/>
    </xf>
    <xf numFmtId="0" fontId="7" fillId="0" borderId="53" xfId="0" applyFont="1" applyBorder="1" applyProtection="1">
      <protection hidden="1"/>
    </xf>
    <xf numFmtId="0" fontId="5" fillId="0" borderId="1" xfId="0" applyFont="1" applyFill="1" applyBorder="1" applyAlignment="1" applyProtection="1">
      <alignment horizontal="left" vertical="center" wrapText="1"/>
      <protection hidden="1"/>
    </xf>
    <xf numFmtId="9" fontId="14" fillId="0" borderId="11" xfId="0" applyNumberFormat="1" applyFont="1" applyFill="1" applyBorder="1" applyAlignment="1" applyProtection="1">
      <alignment horizontal="center" vertical="center"/>
      <protection hidden="1"/>
    </xf>
    <xf numFmtId="9" fontId="43" fillId="4" borderId="11" xfId="0" applyNumberFormat="1" applyFont="1" applyFill="1" applyBorder="1" applyAlignment="1" applyProtection="1">
      <alignment horizontal="center" vertical="center"/>
      <protection hidden="1"/>
    </xf>
    <xf numFmtId="9" fontId="43" fillId="4" borderId="9" xfId="0" applyNumberFormat="1" applyFont="1" applyFill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locked="0"/>
    </xf>
    <xf numFmtId="0" fontId="14" fillId="0" borderId="0" xfId="0" applyFont="1" applyAlignment="1" applyProtection="1">
      <protection hidden="1"/>
    </xf>
    <xf numFmtId="0" fontId="14" fillId="0" borderId="0" xfId="1" applyFont="1" applyAlignment="1" applyProtection="1">
      <alignment vertical="center"/>
      <protection hidden="1"/>
    </xf>
    <xf numFmtId="0" fontId="14" fillId="0" borderId="0" xfId="1" applyFont="1" applyBorder="1" applyAlignment="1" applyProtection="1">
      <protection locked="0"/>
    </xf>
    <xf numFmtId="0" fontId="14" fillId="10" borderId="9" xfId="0" applyFont="1" applyFill="1" applyBorder="1" applyAlignment="1" applyProtection="1">
      <alignment vertical="center"/>
      <protection hidden="1"/>
    </xf>
    <xf numFmtId="9" fontId="14" fillId="3" borderId="32" xfId="0" applyNumberFormat="1" applyFont="1" applyFill="1" applyBorder="1" applyAlignment="1" applyProtection="1">
      <alignment horizontal="center" vertical="center"/>
      <protection hidden="1"/>
    </xf>
    <xf numFmtId="9" fontId="14" fillId="3" borderId="31" xfId="0" applyNumberFormat="1" applyFont="1" applyFill="1" applyBorder="1" applyAlignment="1" applyProtection="1">
      <alignment horizontal="center" vertical="center"/>
      <protection hidden="1"/>
    </xf>
    <xf numFmtId="1" fontId="14" fillId="0" borderId="0" xfId="0" applyNumberFormat="1" applyFont="1" applyAlignment="1" applyProtection="1">
      <alignment horizontal="center" vertical="center"/>
      <protection hidden="1"/>
    </xf>
    <xf numFmtId="9" fontId="14" fillId="4" borderId="38" xfId="0" applyNumberFormat="1" applyFont="1" applyFill="1" applyBorder="1" applyAlignment="1" applyProtection="1">
      <alignment horizontal="center" vertical="center"/>
      <protection hidden="1"/>
    </xf>
    <xf numFmtId="1" fontId="44" fillId="4" borderId="57" xfId="0" applyNumberFormat="1" applyFont="1" applyFill="1" applyBorder="1" applyAlignment="1" applyProtection="1">
      <alignment horizontal="center" vertical="center"/>
      <protection hidden="1"/>
    </xf>
    <xf numFmtId="1" fontId="44" fillId="4" borderId="5" xfId="0" applyNumberFormat="1" applyFont="1" applyFill="1" applyBorder="1" applyAlignment="1" applyProtection="1">
      <alignment horizontal="center" vertical="center"/>
      <protection hidden="1"/>
    </xf>
    <xf numFmtId="9" fontId="14" fillId="4" borderId="50" xfId="0" applyNumberFormat="1" applyFont="1" applyFill="1" applyBorder="1" applyAlignment="1" applyProtection="1">
      <alignment horizontal="center" vertical="center"/>
      <protection hidden="1"/>
    </xf>
    <xf numFmtId="1" fontId="14" fillId="0" borderId="0" xfId="0" applyNumberFormat="1" applyFont="1" applyBorder="1" applyAlignment="1" applyProtection="1">
      <alignment horizontal="center" vertical="center"/>
      <protection hidden="1"/>
    </xf>
    <xf numFmtId="9" fontId="14" fillId="0" borderId="0" xfId="0" applyNumberFormat="1" applyFont="1" applyBorder="1" applyAlignment="1" applyProtection="1">
      <alignment horizontal="center" vertical="center"/>
      <protection hidden="1"/>
    </xf>
    <xf numFmtId="9" fontId="14" fillId="0" borderId="0" xfId="0" applyNumberFormat="1" applyFont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28" fillId="17" borderId="49" xfId="0" applyFont="1" applyFill="1" applyBorder="1" applyAlignment="1" applyProtection="1">
      <alignment horizontal="center" vertical="top" wrapText="1"/>
      <protection hidden="1"/>
    </xf>
    <xf numFmtId="0" fontId="28" fillId="10" borderId="3" xfId="0" applyFont="1" applyFill="1" applyBorder="1" applyAlignment="1" applyProtection="1">
      <alignment horizontal="center" vertical="top" wrapText="1"/>
      <protection hidden="1"/>
    </xf>
    <xf numFmtId="0" fontId="12" fillId="10" borderId="6" xfId="0" applyFont="1" applyFill="1" applyBorder="1" applyAlignment="1" applyProtection="1">
      <alignment horizontal="left" vertical="center" wrapText="1"/>
      <protection hidden="1"/>
    </xf>
    <xf numFmtId="0" fontId="10" fillId="0" borderId="1" xfId="0" applyFont="1" applyBorder="1" applyAlignment="1" applyProtection="1">
      <alignment horizontal="left" vertical="center" wrapText="1"/>
      <protection hidden="1"/>
    </xf>
    <xf numFmtId="0" fontId="10" fillId="0" borderId="1" xfId="0" applyFont="1" applyBorder="1" applyAlignment="1" applyProtection="1">
      <alignment horizontal="left" vertical="top" wrapText="1"/>
      <protection hidden="1"/>
    </xf>
    <xf numFmtId="0" fontId="10" fillId="0" borderId="1" xfId="0" applyFont="1" applyFill="1" applyBorder="1" applyAlignment="1" applyProtection="1">
      <alignment horizontal="left" vertical="center" wrapText="1"/>
      <protection hidden="1"/>
    </xf>
    <xf numFmtId="0" fontId="5" fillId="0" borderId="0" xfId="1" applyFont="1" applyBorder="1" applyAlignment="1" applyProtection="1">
      <alignment wrapText="1"/>
      <protection hidden="1"/>
    </xf>
    <xf numFmtId="0" fontId="7" fillId="0" borderId="1" xfId="0" applyFont="1" applyFill="1" applyBorder="1" applyAlignment="1" applyProtection="1">
      <alignment wrapText="1"/>
      <protection hidden="1"/>
    </xf>
    <xf numFmtId="0" fontId="7" fillId="4" borderId="49" xfId="0" applyFont="1" applyFill="1" applyBorder="1" applyAlignment="1" applyProtection="1">
      <alignment wrapText="1"/>
      <protection hidden="1"/>
    </xf>
    <xf numFmtId="0" fontId="7" fillId="4" borderId="0" xfId="0" applyFont="1" applyFill="1" applyBorder="1" applyAlignment="1" applyProtection="1">
      <alignment wrapText="1"/>
      <protection hidden="1"/>
    </xf>
    <xf numFmtId="0" fontId="10" fillId="4" borderId="51" xfId="0" applyFont="1" applyFill="1" applyBorder="1" applyAlignment="1" applyProtection="1">
      <alignment horizontal="left" vertical="center" wrapText="1"/>
      <protection hidden="1"/>
    </xf>
    <xf numFmtId="0" fontId="10" fillId="0" borderId="0" xfId="0" applyFont="1" applyBorder="1" applyAlignment="1" applyProtection="1">
      <alignment horizontal="left" vertical="center" wrapText="1"/>
      <protection hidden="1"/>
    </xf>
    <xf numFmtId="0" fontId="7" fillId="0" borderId="0" xfId="0" applyFont="1" applyAlignment="1" applyProtection="1">
      <alignment wrapText="1"/>
      <protection hidden="1"/>
    </xf>
    <xf numFmtId="0" fontId="1" fillId="0" borderId="0" xfId="0" applyFont="1" applyAlignment="1">
      <alignment horizontal="left" vertical="top" wrapText="1"/>
    </xf>
    <xf numFmtId="9" fontId="14" fillId="0" borderId="20" xfId="0" applyNumberFormat="1" applyFont="1" applyFill="1" applyBorder="1" applyAlignment="1" applyProtection="1">
      <alignment horizontal="center" vertical="center"/>
      <protection hidden="1"/>
    </xf>
    <xf numFmtId="9" fontId="43" fillId="4" borderId="20" xfId="0" applyNumberFormat="1" applyFont="1" applyFill="1" applyBorder="1" applyAlignment="1" applyProtection="1">
      <alignment horizontal="center" vertical="center"/>
      <protection hidden="1"/>
    </xf>
    <xf numFmtId="0" fontId="14" fillId="10" borderId="20" xfId="0" applyFont="1" applyFill="1" applyBorder="1" applyAlignment="1" applyProtection="1">
      <alignment vertical="center"/>
      <protection hidden="1"/>
    </xf>
    <xf numFmtId="9" fontId="14" fillId="3" borderId="24" xfId="0" applyNumberFormat="1" applyFont="1" applyFill="1" applyBorder="1" applyAlignment="1" applyProtection="1">
      <alignment horizontal="center" vertical="center"/>
      <protection hidden="1"/>
    </xf>
    <xf numFmtId="9" fontId="14" fillId="4" borderId="46" xfId="0" applyNumberFormat="1" applyFont="1" applyFill="1" applyBorder="1" applyAlignment="1" applyProtection="1">
      <alignment horizontal="center" vertical="center"/>
      <protection hidden="1"/>
    </xf>
    <xf numFmtId="0" fontId="9" fillId="10" borderId="17" xfId="0" applyFont="1" applyFill="1" applyBorder="1" applyAlignment="1" applyProtection="1">
      <alignment horizontal="left" vertical="center" wrapText="1"/>
      <protection hidden="1"/>
    </xf>
    <xf numFmtId="0" fontId="28" fillId="17" borderId="17" xfId="0" applyFont="1" applyFill="1" applyBorder="1" applyAlignment="1" applyProtection="1">
      <alignment horizontal="center" vertical="top" wrapText="1"/>
      <protection hidden="1"/>
    </xf>
    <xf numFmtId="0" fontId="14" fillId="17" borderId="13" xfId="0" applyFont="1" applyFill="1" applyBorder="1" applyAlignment="1" applyProtection="1">
      <alignment horizontal="center" vertical="center"/>
      <protection hidden="1"/>
    </xf>
    <xf numFmtId="0" fontId="14" fillId="17" borderId="13" xfId="0" applyFont="1" applyFill="1" applyBorder="1" applyAlignment="1" applyProtection="1">
      <alignment horizontal="center" vertical="center"/>
      <protection locked="0"/>
    </xf>
    <xf numFmtId="0" fontId="14" fillId="17" borderId="26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horizontal="center" vertical="center"/>
      <protection locked="0"/>
    </xf>
    <xf numFmtId="0" fontId="3" fillId="0" borderId="20" xfId="0" applyFont="1" applyFill="1" applyBorder="1" applyAlignment="1" applyProtection="1">
      <alignment horizontal="center" vertical="center"/>
      <protection locked="0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3" fillId="0" borderId="28" xfId="0" applyFont="1" applyFill="1" applyBorder="1" applyAlignment="1" applyProtection="1">
      <alignment horizontal="center" vertical="center"/>
      <protection locked="0"/>
    </xf>
    <xf numFmtId="0" fontId="3" fillId="0" borderId="17" xfId="0" applyFont="1" applyFill="1" applyBorder="1" applyAlignment="1" applyProtection="1">
      <alignment horizontal="center" vertical="center"/>
      <protection locked="0"/>
    </xf>
    <xf numFmtId="0" fontId="3" fillId="0" borderId="18" xfId="0" applyFont="1" applyFill="1" applyBorder="1" applyAlignment="1" applyProtection="1">
      <alignment horizontal="center" vertical="center"/>
      <protection locked="0"/>
    </xf>
    <xf numFmtId="0" fontId="3" fillId="0" borderId="11" xfId="0" applyFont="1" applyFill="1" applyBorder="1" applyAlignment="1" applyProtection="1">
      <alignment horizontal="center"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32" xfId="0" applyFont="1" applyFill="1" applyBorder="1" applyAlignment="1" applyProtection="1">
      <alignment horizontal="center" vertical="center"/>
      <protection locked="0"/>
    </xf>
    <xf numFmtId="0" fontId="3" fillId="0" borderId="23" xfId="0" applyFont="1" applyFill="1" applyBorder="1" applyAlignment="1" applyProtection="1">
      <alignment horizontal="center" vertical="center"/>
      <protection locked="0"/>
    </xf>
    <xf numFmtId="0" fontId="3" fillId="0" borderId="24" xfId="0" applyFont="1" applyFill="1" applyBorder="1" applyAlignment="1" applyProtection="1">
      <alignment horizontal="center" vertical="center"/>
      <protection locked="0"/>
    </xf>
    <xf numFmtId="0" fontId="14" fillId="0" borderId="1" xfId="0" applyFont="1" applyFill="1" applyBorder="1" applyAlignment="1" applyProtection="1">
      <alignment vertical="center" wrapText="1"/>
      <protection hidden="1"/>
    </xf>
    <xf numFmtId="0" fontId="14" fillId="0" borderId="1" xfId="0" applyFont="1" applyFill="1" applyBorder="1" applyAlignment="1" applyProtection="1">
      <alignment horizontal="left" vertical="center" wrapText="1"/>
      <protection hidden="1"/>
    </xf>
    <xf numFmtId="0" fontId="14" fillId="0" borderId="1" xfId="0" applyFont="1" applyFill="1" applyBorder="1" applyAlignment="1" applyProtection="1">
      <alignment horizontal="left" vertical="top" wrapText="1"/>
      <protection hidden="1"/>
    </xf>
    <xf numFmtId="0" fontId="23" fillId="0" borderId="17" xfId="0" applyFont="1" applyFill="1" applyBorder="1" applyAlignment="1" applyProtection="1">
      <alignment horizontal="left" vertical="center" wrapText="1"/>
      <protection hidden="1"/>
    </xf>
    <xf numFmtId="0" fontId="11" fillId="0" borderId="17" xfId="0" applyFont="1" applyFill="1" applyBorder="1" applyAlignment="1" applyProtection="1">
      <alignment vertical="center" wrapText="1"/>
      <protection hidden="1"/>
    </xf>
    <xf numFmtId="9" fontId="6" fillId="0" borderId="28" xfId="0" applyNumberFormat="1" applyFont="1" applyFill="1" applyBorder="1" applyAlignment="1" applyProtection="1">
      <alignment horizontal="center" vertical="center"/>
      <protection hidden="1"/>
    </xf>
    <xf numFmtId="9" fontId="6" fillId="0" borderId="17" xfId="0" applyNumberFormat="1" applyFont="1" applyFill="1" applyBorder="1" applyAlignment="1" applyProtection="1">
      <alignment horizontal="center" vertical="center"/>
      <protection hidden="1"/>
    </xf>
    <xf numFmtId="9" fontId="6" fillId="0" borderId="18" xfId="0" applyNumberFormat="1" applyFont="1" applyFill="1" applyBorder="1" applyAlignment="1" applyProtection="1">
      <alignment horizontal="center" vertical="center"/>
      <protection hidden="1"/>
    </xf>
    <xf numFmtId="0" fontId="10" fillId="0" borderId="10" xfId="0" applyFont="1" applyFill="1" applyBorder="1" applyAlignment="1" applyProtection="1">
      <alignment vertical="center" wrapText="1"/>
      <protection hidden="1"/>
    </xf>
    <xf numFmtId="0" fontId="10" fillId="0" borderId="1" xfId="0" applyFont="1" applyFill="1" applyBorder="1" applyAlignment="1" applyProtection="1">
      <alignment vertical="center"/>
      <protection hidden="1"/>
    </xf>
    <xf numFmtId="0" fontId="23" fillId="0" borderId="1" xfId="0" applyFont="1" applyFill="1" applyBorder="1" applyAlignment="1" applyProtection="1">
      <alignment vertical="center"/>
      <protection hidden="1"/>
    </xf>
    <xf numFmtId="9" fontId="3" fillId="0" borderId="11" xfId="0" applyNumberFormat="1" applyFont="1" applyFill="1" applyBorder="1" applyAlignment="1" applyProtection="1">
      <alignment horizontal="center" vertical="center"/>
      <protection hidden="1"/>
    </xf>
    <xf numFmtId="9" fontId="3" fillId="0" borderId="20" xfId="0" applyNumberFormat="1" applyFont="1" applyFill="1" applyBorder="1" applyAlignment="1" applyProtection="1">
      <alignment horizontal="center" vertical="center"/>
      <protection hidden="1"/>
    </xf>
    <xf numFmtId="1" fontId="16" fillId="0" borderId="11" xfId="0" applyNumberFormat="1" applyFont="1" applyFill="1" applyBorder="1" applyAlignment="1" applyProtection="1">
      <alignment horizontal="center" vertical="center"/>
      <protection hidden="1"/>
    </xf>
    <xf numFmtId="1" fontId="16" fillId="0" borderId="6" xfId="0" applyNumberFormat="1" applyFont="1" applyFill="1" applyBorder="1" applyAlignment="1" applyProtection="1">
      <alignment horizontal="center" vertical="center"/>
      <protection hidden="1"/>
    </xf>
    <xf numFmtId="1" fontId="16" fillId="0" borderId="26" xfId="0" applyNumberFormat="1" applyFont="1" applyFill="1" applyBorder="1" applyAlignment="1" applyProtection="1">
      <alignment horizontal="center" vertical="center"/>
      <protection hidden="1"/>
    </xf>
    <xf numFmtId="1" fontId="16" fillId="0" borderId="20" xfId="0" applyNumberFormat="1" applyFont="1" applyFill="1" applyBorder="1" applyAlignment="1" applyProtection="1">
      <alignment horizontal="center" vertical="center"/>
      <protection hidden="1"/>
    </xf>
    <xf numFmtId="0" fontId="10" fillId="0" borderId="12" xfId="0" applyFont="1" applyFill="1" applyBorder="1" applyAlignment="1" applyProtection="1">
      <alignment vertical="center" wrapText="1"/>
      <protection hidden="1"/>
    </xf>
    <xf numFmtId="0" fontId="10" fillId="0" borderId="10" xfId="0" applyFont="1" applyFill="1" applyBorder="1" applyAlignment="1" applyProtection="1">
      <alignment vertical="center"/>
      <protection hidden="1"/>
    </xf>
    <xf numFmtId="0" fontId="23" fillId="0" borderId="10" xfId="0" applyFont="1" applyFill="1" applyBorder="1" applyAlignment="1" applyProtection="1">
      <alignment vertical="center"/>
      <protection hidden="1"/>
    </xf>
    <xf numFmtId="0" fontId="23" fillId="0" borderId="10" xfId="0" applyFont="1" applyFill="1" applyBorder="1" applyAlignment="1" applyProtection="1">
      <alignment horizontal="left" vertical="center"/>
      <protection hidden="1"/>
    </xf>
    <xf numFmtId="1" fontId="8" fillId="0" borderId="32" xfId="0" applyNumberFormat="1" applyFont="1" applyBorder="1" applyAlignment="1" applyProtection="1">
      <alignment horizontal="center" vertical="center"/>
      <protection hidden="1"/>
    </xf>
    <xf numFmtId="1" fontId="3" fillId="0" borderId="8" xfId="1" applyNumberFormat="1" applyBorder="1" applyAlignment="1" applyProtection="1">
      <alignment horizontal="center" vertical="center"/>
      <protection locked="0"/>
    </xf>
    <xf numFmtId="1" fontId="11" fillId="8" borderId="3" xfId="1" applyNumberFormat="1" applyFont="1" applyFill="1" applyBorder="1" applyAlignment="1" applyProtection="1">
      <alignment horizontal="center" vertical="center"/>
      <protection hidden="1"/>
    </xf>
    <xf numFmtId="0" fontId="3" fillId="2" borderId="25" xfId="1" applyFill="1" applyBorder="1" applyAlignment="1" applyProtection="1">
      <alignment horizontal="center" vertical="center"/>
      <protection locked="0"/>
    </xf>
    <xf numFmtId="1" fontId="3" fillId="0" borderId="3" xfId="1" applyNumberFormat="1" applyBorder="1" applyAlignment="1" applyProtection="1">
      <alignment horizontal="center" vertical="center"/>
      <protection locked="0"/>
    </xf>
    <xf numFmtId="0" fontId="3" fillId="4" borderId="21" xfId="1" applyFill="1" applyBorder="1" applyAlignment="1" applyProtection="1">
      <alignment horizontal="center" vertical="center"/>
      <protection locked="0"/>
    </xf>
    <xf numFmtId="0" fontId="3" fillId="2" borderId="21" xfId="1" applyFill="1" applyBorder="1" applyAlignment="1" applyProtection="1">
      <alignment horizontal="center" vertical="center"/>
      <protection locked="0"/>
    </xf>
    <xf numFmtId="0" fontId="3" fillId="2" borderId="33" xfId="1" applyFill="1" applyBorder="1" applyAlignment="1" applyProtection="1">
      <alignment horizontal="center" vertical="center"/>
      <protection locked="0"/>
    </xf>
    <xf numFmtId="0" fontId="3" fillId="0" borderId="21" xfId="1" applyBorder="1" applyAlignment="1" applyProtection="1">
      <alignment horizontal="center" vertical="center"/>
      <protection locked="0"/>
    </xf>
    <xf numFmtId="168" fontId="10" fillId="0" borderId="56" xfId="0" applyNumberFormat="1" applyFont="1" applyBorder="1" applyAlignment="1" applyProtection="1">
      <alignment horizontal="center" vertical="center" wrapText="1"/>
      <protection hidden="1"/>
    </xf>
    <xf numFmtId="168" fontId="10" fillId="0" borderId="58" xfId="0" applyNumberFormat="1" applyFont="1" applyBorder="1" applyAlignment="1" applyProtection="1">
      <alignment horizontal="center" vertical="center" wrapText="1"/>
      <protection hidden="1"/>
    </xf>
    <xf numFmtId="168" fontId="10" fillId="0" borderId="56" xfId="0" applyNumberFormat="1" applyFont="1" applyBorder="1" applyAlignment="1" applyProtection="1">
      <alignment horizontal="center" textRotation="90" wrapText="1"/>
      <protection hidden="1"/>
    </xf>
    <xf numFmtId="168" fontId="10" fillId="0" borderId="32" xfId="0" applyNumberFormat="1" applyFont="1" applyBorder="1" applyAlignment="1" applyProtection="1">
      <alignment horizontal="center" textRotation="90" wrapText="1"/>
      <protection hidden="1"/>
    </xf>
    <xf numFmtId="168" fontId="10" fillId="0" borderId="24" xfId="0" applyNumberFormat="1" applyFont="1" applyBorder="1" applyAlignment="1" applyProtection="1">
      <alignment horizontal="center" textRotation="90" wrapText="1"/>
      <protection hidden="1"/>
    </xf>
    <xf numFmtId="0" fontId="3" fillId="0" borderId="1" xfId="1" applyBorder="1" applyAlignment="1" applyProtection="1">
      <alignment horizontal="center" vertical="center" textRotation="90" shrinkToFit="1"/>
      <protection hidden="1"/>
    </xf>
    <xf numFmtId="0" fontId="3" fillId="0" borderId="23" xfId="1" applyBorder="1" applyAlignment="1" applyProtection="1">
      <alignment horizontal="center" vertical="center" textRotation="90" shrinkToFit="1"/>
      <protection hidden="1"/>
    </xf>
    <xf numFmtId="0" fontId="23" fillId="0" borderId="1" xfId="1" applyFont="1" applyBorder="1" applyAlignment="1" applyProtection="1">
      <alignment horizontal="center" vertical="center" textRotation="90" wrapText="1" shrinkToFit="1"/>
      <protection hidden="1"/>
    </xf>
    <xf numFmtId="0" fontId="23" fillId="0" borderId="23" xfId="1" applyFont="1" applyBorder="1" applyAlignment="1" applyProtection="1">
      <alignment horizontal="center" vertical="center" textRotation="90" wrapText="1" shrinkToFit="1"/>
      <protection hidden="1"/>
    </xf>
    <xf numFmtId="165" fontId="3" fillId="8" borderId="1" xfId="1" applyNumberFormat="1" applyFill="1" applyBorder="1" applyAlignment="1" applyProtection="1">
      <alignment horizontal="left" vertical="center" shrinkToFit="1"/>
      <protection locked="0"/>
    </xf>
    <xf numFmtId="165" fontId="3" fillId="5" borderId="1" xfId="1" applyNumberFormat="1" applyFill="1" applyBorder="1" applyAlignment="1" applyProtection="1">
      <alignment horizontal="left" vertical="center" shrinkToFit="1"/>
      <protection locked="0"/>
    </xf>
    <xf numFmtId="0" fontId="23" fillId="0" borderId="1" xfId="1" applyFont="1" applyBorder="1" applyAlignment="1" applyProtection="1">
      <alignment horizontal="center" vertical="center" textRotation="90" shrinkToFit="1"/>
      <protection hidden="1"/>
    </xf>
    <xf numFmtId="0" fontId="23" fillId="0" borderId="23" xfId="1" applyFont="1" applyBorder="1" applyAlignment="1" applyProtection="1">
      <alignment horizontal="center" vertical="center" textRotation="90" shrinkToFit="1"/>
      <protection hidden="1"/>
    </xf>
    <xf numFmtId="165" fontId="3" fillId="5" borderId="3" xfId="1" applyNumberFormat="1" applyFill="1" applyBorder="1" applyAlignment="1" applyProtection="1">
      <alignment horizontal="left" vertical="center" shrinkToFit="1"/>
      <protection locked="0"/>
    </xf>
    <xf numFmtId="0" fontId="11" fillId="0" borderId="22" xfId="1" applyFont="1" applyBorder="1" applyAlignment="1" applyProtection="1">
      <alignment horizontal="center" vertical="center" shrinkToFit="1"/>
      <protection hidden="1"/>
    </xf>
    <xf numFmtId="0" fontId="11" fillId="0" borderId="23" xfId="1" applyFont="1" applyBorder="1" applyAlignment="1" applyProtection="1">
      <alignment horizontal="center" vertical="center" shrinkToFit="1"/>
      <protection hidden="1"/>
    </xf>
    <xf numFmtId="9" fontId="7" fillId="0" borderId="11" xfId="1" applyNumberFormat="1" applyFont="1" applyBorder="1" applyAlignment="1" applyProtection="1">
      <alignment horizontal="center" vertical="center" shrinkToFit="1"/>
      <protection locked="0"/>
    </xf>
    <xf numFmtId="9" fontId="7" fillId="0" borderId="12" xfId="1" applyNumberFormat="1" applyFont="1" applyBorder="1" applyAlignment="1" applyProtection="1">
      <alignment horizontal="center" vertical="center" shrinkToFit="1"/>
      <protection locked="0"/>
    </xf>
    <xf numFmtId="9" fontId="7" fillId="0" borderId="10" xfId="1" applyNumberFormat="1" applyFont="1" applyBorder="1" applyAlignment="1" applyProtection="1">
      <alignment horizontal="center" vertical="center" shrinkToFit="1"/>
      <protection locked="0"/>
    </xf>
    <xf numFmtId="0" fontId="11" fillId="0" borderId="1" xfId="1" applyFont="1" applyBorder="1" applyAlignment="1" applyProtection="1">
      <alignment horizontal="center" vertical="center" shrinkToFit="1"/>
      <protection hidden="1"/>
    </xf>
    <xf numFmtId="0" fontId="17" fillId="0" borderId="1" xfId="1" applyFont="1" applyBorder="1" applyAlignment="1" applyProtection="1">
      <alignment horizontal="center" vertical="center" textRotation="90" shrinkToFit="1"/>
      <protection hidden="1"/>
    </xf>
    <xf numFmtId="0" fontId="17" fillId="0" borderId="23" xfId="1" applyFont="1" applyBorder="1" applyAlignment="1" applyProtection="1">
      <alignment horizontal="center" vertical="center" textRotation="90" shrinkToFit="1"/>
      <protection hidden="1"/>
    </xf>
    <xf numFmtId="0" fontId="23" fillId="0" borderId="1" xfId="1" applyFont="1" applyBorder="1" applyAlignment="1" applyProtection="1">
      <alignment horizontal="center" vertical="center" textRotation="90" wrapText="1" shrinkToFit="1"/>
      <protection locked="0"/>
    </xf>
    <xf numFmtId="0" fontId="23" fillId="0" borderId="23" xfId="1" applyFont="1" applyBorder="1" applyAlignment="1" applyProtection="1">
      <alignment horizontal="center" vertical="center" textRotation="90" wrapText="1" shrinkToFit="1"/>
      <protection locked="0"/>
    </xf>
    <xf numFmtId="0" fontId="8" fillId="0" borderId="21" xfId="1" applyFont="1" applyBorder="1" applyAlignment="1" applyProtection="1">
      <alignment horizontal="center" vertical="center" shrinkToFit="1"/>
      <protection hidden="1"/>
    </xf>
    <xf numFmtId="0" fontId="8" fillId="0" borderId="1" xfId="1" applyFont="1" applyBorder="1" applyAlignment="1" applyProtection="1">
      <alignment horizontal="center" vertical="center" shrinkToFit="1"/>
      <protection hidden="1"/>
    </xf>
    <xf numFmtId="0" fontId="23" fillId="0" borderId="8" xfId="1" applyFont="1" applyBorder="1" applyAlignment="1" applyProtection="1">
      <alignment horizontal="center" vertical="center" textRotation="90" shrinkToFit="1"/>
      <protection hidden="1"/>
    </xf>
    <xf numFmtId="0" fontId="23" fillId="0" borderId="7" xfId="1" applyFont="1" applyBorder="1" applyAlignment="1" applyProtection="1">
      <alignment horizontal="center" vertical="center" textRotation="90" shrinkToFit="1"/>
      <protection hidden="1"/>
    </xf>
    <xf numFmtId="0" fontId="23" fillId="0" borderId="35" xfId="1" applyFont="1" applyBorder="1" applyAlignment="1" applyProtection="1">
      <alignment horizontal="center" vertical="center" textRotation="90" shrinkToFit="1"/>
      <protection hidden="1"/>
    </xf>
    <xf numFmtId="0" fontId="3" fillId="0" borderId="0" xfId="1" applyAlignment="1" applyProtection="1">
      <alignment horizontal="right" vertical="center"/>
      <protection hidden="1"/>
    </xf>
    <xf numFmtId="165" fontId="3" fillId="5" borderId="8" xfId="1" applyNumberFormat="1" applyFill="1" applyBorder="1" applyAlignment="1" applyProtection="1">
      <alignment horizontal="left" vertical="center" shrinkToFit="1"/>
      <protection locked="0"/>
    </xf>
    <xf numFmtId="1" fontId="3" fillId="2" borderId="15" xfId="1" applyNumberFormat="1" applyFill="1" applyBorder="1" applyAlignment="1" applyProtection="1">
      <alignment horizontal="right" vertical="center"/>
      <protection hidden="1"/>
    </xf>
    <xf numFmtId="0" fontId="22" fillId="0" borderId="49" xfId="1" applyFont="1" applyBorder="1" applyAlignment="1" applyProtection="1">
      <alignment horizontal="center" vertical="center" shrinkToFit="1"/>
      <protection hidden="1"/>
    </xf>
    <xf numFmtId="0" fontId="22" fillId="0" borderId="29" xfId="1" applyFont="1" applyBorder="1" applyAlignment="1" applyProtection="1">
      <alignment horizontal="center" vertical="center" shrinkToFit="1"/>
      <protection hidden="1"/>
    </xf>
    <xf numFmtId="0" fontId="22" fillId="0" borderId="47" xfId="1" applyFont="1" applyBorder="1" applyAlignment="1" applyProtection="1">
      <alignment horizontal="center" vertical="center" shrinkToFit="1"/>
      <protection hidden="1"/>
    </xf>
    <xf numFmtId="0" fontId="22" fillId="0" borderId="30" xfId="1" applyFont="1" applyBorder="1" applyAlignment="1" applyProtection="1">
      <alignment horizontal="center" vertical="center" shrinkToFit="1"/>
      <protection hidden="1"/>
    </xf>
    <xf numFmtId="0" fontId="22" fillId="0" borderId="17" xfId="1" applyFont="1" applyBorder="1" applyAlignment="1" applyProtection="1">
      <alignment horizontal="center" vertical="center" wrapText="1" shrinkToFit="1"/>
      <protection hidden="1"/>
    </xf>
    <xf numFmtId="0" fontId="22" fillId="0" borderId="28" xfId="1" applyFont="1" applyBorder="1" applyAlignment="1" applyProtection="1">
      <alignment horizontal="center" vertical="center" wrapText="1" shrinkToFit="1"/>
      <protection hidden="1"/>
    </xf>
    <xf numFmtId="0" fontId="22" fillId="0" borderId="18" xfId="1" applyFont="1" applyBorder="1" applyAlignment="1" applyProtection="1">
      <alignment horizontal="center" vertical="center" wrapText="1" shrinkToFit="1"/>
      <protection hidden="1"/>
    </xf>
    <xf numFmtId="0" fontId="21" fillId="9" borderId="40" xfId="1" applyFont="1" applyFill="1" applyBorder="1" applyAlignment="1" applyProtection="1">
      <alignment horizontal="center" vertical="center"/>
      <protection hidden="1"/>
    </xf>
    <xf numFmtId="0" fontId="21" fillId="9" borderId="41" xfId="1" applyFont="1" applyFill="1" applyBorder="1" applyAlignment="1" applyProtection="1">
      <alignment horizontal="center" vertical="center"/>
      <protection hidden="1"/>
    </xf>
    <xf numFmtId="0" fontId="21" fillId="9" borderId="42" xfId="1" applyFont="1" applyFill="1" applyBorder="1" applyAlignment="1" applyProtection="1">
      <alignment horizontal="center" vertical="center"/>
      <protection hidden="1"/>
    </xf>
    <xf numFmtId="0" fontId="21" fillId="9" borderId="43" xfId="1" applyFont="1" applyFill="1" applyBorder="1" applyAlignment="1" applyProtection="1">
      <alignment horizontal="center" vertical="center"/>
      <protection hidden="1"/>
    </xf>
    <xf numFmtId="0" fontId="21" fillId="9" borderId="44" xfId="1" applyFont="1" applyFill="1" applyBorder="1" applyAlignment="1" applyProtection="1">
      <alignment horizontal="center" vertical="center"/>
      <protection hidden="1"/>
    </xf>
    <xf numFmtId="0" fontId="21" fillId="9" borderId="45" xfId="1" applyFont="1" applyFill="1" applyBorder="1" applyAlignment="1" applyProtection="1">
      <alignment horizontal="center" vertical="center"/>
      <protection hidden="1"/>
    </xf>
    <xf numFmtId="0" fontId="23" fillId="0" borderId="1" xfId="1" applyFont="1" applyBorder="1" applyAlignment="1" applyProtection="1">
      <alignment horizontal="center" vertical="center" textRotation="90" shrinkToFit="1"/>
      <protection locked="0"/>
    </xf>
    <xf numFmtId="0" fontId="23" fillId="0" borderId="23" xfId="1" applyFont="1" applyBorder="1" applyAlignment="1" applyProtection="1">
      <alignment horizontal="center" vertical="center" textRotation="90" shrinkToFit="1"/>
      <protection locked="0"/>
    </xf>
    <xf numFmtId="0" fontId="10" fillId="0" borderId="20" xfId="1" applyFont="1" applyBorder="1" applyAlignment="1" applyProtection="1">
      <alignment horizontal="center" vertical="center" textRotation="90" shrinkToFit="1"/>
      <protection hidden="1"/>
    </xf>
    <xf numFmtId="0" fontId="10" fillId="0" borderId="24" xfId="1" applyFont="1" applyBorder="1" applyAlignment="1" applyProtection="1">
      <alignment horizontal="center" vertical="center" textRotation="90" shrinkToFit="1"/>
      <protection hidden="1"/>
    </xf>
    <xf numFmtId="0" fontId="11" fillId="0" borderId="11" xfId="1" applyFont="1" applyBorder="1" applyAlignment="1" applyProtection="1">
      <alignment horizontal="center" vertical="center" shrinkToFit="1"/>
      <protection hidden="1"/>
    </xf>
    <xf numFmtId="0" fontId="11" fillId="0" borderId="12" xfId="1" applyFont="1" applyBorder="1" applyAlignment="1" applyProtection="1">
      <alignment horizontal="center" vertical="center" shrinkToFit="1"/>
      <protection hidden="1"/>
    </xf>
    <xf numFmtId="0" fontId="11" fillId="0" borderId="10" xfId="1" applyFont="1" applyBorder="1" applyAlignment="1" applyProtection="1">
      <alignment horizontal="center" vertical="center" shrinkToFit="1"/>
      <protection hidden="1"/>
    </xf>
    <xf numFmtId="0" fontId="16" fillId="0" borderId="1" xfId="1" applyFont="1" applyBorder="1" applyAlignment="1" applyProtection="1">
      <alignment horizontal="center" vertical="center" textRotation="90" wrapText="1" shrinkToFit="1"/>
      <protection hidden="1"/>
    </xf>
    <xf numFmtId="0" fontId="16" fillId="0" borderId="23" xfId="1" applyFont="1" applyBorder="1" applyAlignment="1" applyProtection="1">
      <alignment horizontal="center" vertical="center" textRotation="90" wrapText="1" shrinkToFit="1"/>
      <protection hidden="1"/>
    </xf>
    <xf numFmtId="0" fontId="17" fillId="0" borderId="10" xfId="1" applyFont="1" applyBorder="1" applyAlignment="1" applyProtection="1">
      <alignment horizontal="center" vertical="center" textRotation="90" shrinkToFit="1"/>
      <protection hidden="1"/>
    </xf>
    <xf numFmtId="0" fontId="17" fillId="0" borderId="37" xfId="1" applyFont="1" applyBorder="1" applyAlignment="1" applyProtection="1">
      <alignment horizontal="center" vertical="center" textRotation="90" shrinkToFit="1"/>
      <protection hidden="1"/>
    </xf>
    <xf numFmtId="0" fontId="17" fillId="0" borderId="8" xfId="1" applyFont="1" applyBorder="1" applyAlignment="1" applyProtection="1">
      <alignment horizontal="center" vertical="center" textRotation="90" shrinkToFit="1"/>
      <protection hidden="1"/>
    </xf>
    <xf numFmtId="0" fontId="17" fillId="0" borderId="35" xfId="1" applyFont="1" applyBorder="1" applyAlignment="1" applyProtection="1">
      <alignment horizontal="center" vertical="center" textRotation="90" shrinkToFit="1"/>
      <protection hidden="1"/>
    </xf>
    <xf numFmtId="0" fontId="3" fillId="0" borderId="2" xfId="1" applyBorder="1" applyAlignment="1" applyProtection="1">
      <alignment horizontal="right" vertical="center"/>
      <protection hidden="1"/>
    </xf>
    <xf numFmtId="1" fontId="3" fillId="2" borderId="16" xfId="1" applyNumberFormat="1" applyFill="1" applyBorder="1" applyAlignment="1" applyProtection="1">
      <alignment horizontal="right" vertical="center"/>
      <protection hidden="1"/>
    </xf>
    <xf numFmtId="165" fontId="3" fillId="0" borderId="1" xfId="1" applyNumberFormat="1" applyBorder="1" applyAlignment="1" applyProtection="1">
      <alignment horizontal="left" vertical="center" shrinkToFit="1"/>
      <protection locked="0"/>
    </xf>
    <xf numFmtId="0" fontId="13" fillId="0" borderId="27" xfId="0" applyFont="1" applyBorder="1" applyAlignment="1" applyProtection="1">
      <alignment horizontal="center" vertical="center" textRotation="90"/>
      <protection hidden="1"/>
    </xf>
    <xf numFmtId="0" fontId="13" fillId="0" borderId="21" xfId="0" applyFont="1" applyBorder="1" applyAlignment="1" applyProtection="1">
      <alignment horizontal="center" vertical="center" textRotation="90"/>
      <protection hidden="1"/>
    </xf>
    <xf numFmtId="0" fontId="13" fillId="0" borderId="22" xfId="0" applyFont="1" applyBorder="1" applyAlignment="1" applyProtection="1">
      <alignment horizontal="center" vertical="center" textRotation="90"/>
      <protection hidden="1"/>
    </xf>
    <xf numFmtId="0" fontId="10" fillId="0" borderId="1" xfId="0" applyFont="1" applyBorder="1" applyAlignment="1" applyProtection="1">
      <alignment horizontal="left" vertical="center"/>
      <protection hidden="1"/>
    </xf>
    <xf numFmtId="0" fontId="10" fillId="0" borderId="17" xfId="0" applyFont="1" applyBorder="1" applyAlignment="1" applyProtection="1">
      <alignment horizontal="left" vertical="center"/>
      <protection hidden="1"/>
    </xf>
    <xf numFmtId="0" fontId="13" fillId="0" borderId="14" xfId="0" applyFont="1" applyBorder="1" applyAlignment="1" applyProtection="1">
      <alignment horizontal="center" vertical="center" textRotation="90" wrapText="1"/>
      <protection hidden="1"/>
    </xf>
    <xf numFmtId="0" fontId="13" fillId="0" borderId="19" xfId="0" applyFont="1" applyBorder="1" applyAlignment="1" applyProtection="1">
      <alignment horizontal="center" vertical="center" textRotation="90" wrapText="1"/>
      <protection hidden="1"/>
    </xf>
    <xf numFmtId="0" fontId="13" fillId="0" borderId="52" xfId="0" applyFont="1" applyBorder="1" applyAlignment="1" applyProtection="1">
      <alignment horizontal="center" vertical="center" textRotation="90" wrapText="1"/>
      <protection hidden="1"/>
    </xf>
    <xf numFmtId="0" fontId="21" fillId="0" borderId="27" xfId="0" applyFont="1" applyFill="1" applyBorder="1" applyAlignment="1" applyProtection="1">
      <alignment horizontal="center" vertical="center"/>
      <protection hidden="1"/>
    </xf>
    <xf numFmtId="0" fontId="21" fillId="0" borderId="17" xfId="0" applyFont="1" applyFill="1" applyBorder="1" applyAlignment="1" applyProtection="1">
      <alignment horizontal="center" vertical="center"/>
      <protection hidden="1"/>
    </xf>
    <xf numFmtId="0" fontId="21" fillId="0" borderId="22" xfId="0" applyFont="1" applyFill="1" applyBorder="1" applyAlignment="1" applyProtection="1">
      <alignment horizontal="center" vertical="center"/>
      <protection hidden="1"/>
    </xf>
    <xf numFmtId="0" fontId="21" fillId="0" borderId="23" xfId="0" applyFont="1" applyFill="1" applyBorder="1" applyAlignment="1" applyProtection="1">
      <alignment horizontal="center" vertical="center"/>
      <protection hidden="1"/>
    </xf>
    <xf numFmtId="0" fontId="14" fillId="0" borderId="1" xfId="0" applyFont="1" applyFill="1" applyBorder="1" applyAlignment="1" applyProtection="1">
      <alignment horizontal="left" vertical="center" wrapText="1"/>
      <protection hidden="1"/>
    </xf>
    <xf numFmtId="0" fontId="14" fillId="0" borderId="1" xfId="0" applyFont="1" applyFill="1" applyBorder="1" applyAlignment="1" applyProtection="1">
      <alignment horizontal="center" vertical="center" wrapText="1"/>
      <protection hidden="1"/>
    </xf>
    <xf numFmtId="0" fontId="21" fillId="0" borderId="17" xfId="0" applyFont="1" applyFill="1" applyBorder="1" applyAlignment="1" applyProtection="1">
      <alignment horizontal="center" vertical="center" wrapText="1"/>
      <protection hidden="1"/>
    </xf>
    <xf numFmtId="0" fontId="21" fillId="0" borderId="23" xfId="0" applyFont="1" applyFill="1" applyBorder="1" applyAlignment="1" applyProtection="1">
      <alignment horizontal="center" vertical="center" wrapText="1"/>
      <protection hidden="1"/>
    </xf>
    <xf numFmtId="0" fontId="13" fillId="0" borderId="33" xfId="0" applyFont="1" applyFill="1" applyBorder="1" applyAlignment="1" applyProtection="1">
      <alignment horizontal="center" vertical="center" textRotation="90"/>
      <protection hidden="1"/>
    </xf>
    <xf numFmtId="0" fontId="13" fillId="0" borderId="34" xfId="0" applyFont="1" applyFill="1" applyBorder="1" applyAlignment="1" applyProtection="1">
      <alignment horizontal="center" vertical="center" textRotation="90"/>
      <protection hidden="1"/>
    </xf>
    <xf numFmtId="0" fontId="13" fillId="0" borderId="25" xfId="0" applyFont="1" applyFill="1" applyBorder="1" applyAlignment="1" applyProtection="1">
      <alignment horizontal="center" vertical="center" textRotation="90"/>
      <protection hidden="1"/>
    </xf>
    <xf numFmtId="0" fontId="13" fillId="0" borderId="21" xfId="0" applyFont="1" applyFill="1" applyBorder="1" applyAlignment="1" applyProtection="1">
      <alignment horizontal="center" vertical="center" textRotation="90"/>
      <protection hidden="1"/>
    </xf>
    <xf numFmtId="0" fontId="13" fillId="4" borderId="1" xfId="0" applyFont="1" applyFill="1" applyBorder="1" applyAlignment="1" applyProtection="1">
      <alignment horizontal="center" vertical="center" wrapText="1"/>
      <protection hidden="1"/>
    </xf>
    <xf numFmtId="0" fontId="13" fillId="0" borderId="22" xfId="0" applyFont="1" applyBorder="1" applyAlignment="1" applyProtection="1">
      <alignment horizontal="center" vertical="center" wrapText="1"/>
      <protection hidden="1"/>
    </xf>
    <xf numFmtId="0" fontId="13" fillId="0" borderId="23" xfId="0" applyFont="1" applyBorder="1" applyAlignment="1" applyProtection="1">
      <alignment horizontal="center" vertical="center" wrapText="1"/>
      <protection hidden="1"/>
    </xf>
    <xf numFmtId="0" fontId="10" fillId="0" borderId="10" xfId="0" applyFont="1" applyFill="1" applyBorder="1" applyAlignment="1" applyProtection="1">
      <alignment horizontal="left" vertical="center"/>
      <protection hidden="1"/>
    </xf>
    <xf numFmtId="0" fontId="10" fillId="0" borderId="1" xfId="0" applyFont="1" applyFill="1" applyBorder="1" applyAlignment="1" applyProtection="1">
      <alignment horizontal="left" vertical="center"/>
      <protection hidden="1"/>
    </xf>
    <xf numFmtId="0" fontId="14" fillId="0" borderId="1" xfId="0" applyFont="1" applyFill="1" applyBorder="1" applyAlignment="1" applyProtection="1">
      <alignment vertical="center" wrapText="1"/>
      <protection hidden="1"/>
    </xf>
    <xf numFmtId="0" fontId="13" fillId="0" borderId="21" xfId="0" applyFont="1" applyFill="1" applyBorder="1" applyAlignment="1" applyProtection="1">
      <alignment horizontal="center" vertical="center" textRotation="90" wrapText="1"/>
      <protection hidden="1"/>
    </xf>
    <xf numFmtId="0" fontId="10" fillId="0" borderId="1" xfId="0" applyFont="1" applyBorder="1" applyAlignment="1" applyProtection="1">
      <alignment horizontal="left" vertical="center" wrapText="1"/>
      <protection hidden="1"/>
    </xf>
    <xf numFmtId="0" fontId="5" fillId="0" borderId="1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3" xfId="0" applyFont="1" applyBorder="1" applyAlignment="1" applyProtection="1">
      <alignment horizontal="center" vertical="center" wrapText="1"/>
      <protection hidden="1"/>
    </xf>
    <xf numFmtId="0" fontId="14" fillId="0" borderId="8" xfId="0" applyFont="1" applyFill="1" applyBorder="1" applyAlignment="1" applyProtection="1">
      <alignment horizontal="center" vertical="center" wrapText="1"/>
      <protection hidden="1"/>
    </xf>
    <xf numFmtId="0" fontId="14" fillId="0" borderId="7" xfId="0" applyFont="1" applyFill="1" applyBorder="1" applyAlignment="1" applyProtection="1">
      <alignment horizontal="center" vertical="center" wrapText="1"/>
      <protection hidden="1"/>
    </xf>
    <xf numFmtId="0" fontId="14" fillId="0" borderId="3" xfId="0" applyFont="1" applyFill="1" applyBorder="1" applyAlignment="1" applyProtection="1">
      <alignment horizontal="center" vertical="center" wrapText="1"/>
      <protection hidden="1"/>
    </xf>
    <xf numFmtId="0" fontId="28" fillId="0" borderId="36" xfId="0" applyFont="1" applyBorder="1" applyAlignment="1" applyProtection="1">
      <alignment horizontal="right" vertical="center"/>
      <protection hidden="1"/>
    </xf>
    <xf numFmtId="0" fontId="28" fillId="0" borderId="37" xfId="0" applyFont="1" applyBorder="1" applyAlignment="1" applyProtection="1">
      <alignment horizontal="right" vertical="center"/>
      <protection hidden="1"/>
    </xf>
    <xf numFmtId="0" fontId="10" fillId="0" borderId="23" xfId="0" applyFont="1" applyBorder="1" applyAlignment="1" applyProtection="1">
      <alignment horizontal="left" vertical="center"/>
      <protection hidden="1"/>
    </xf>
    <xf numFmtId="0" fontId="10" fillId="0" borderId="30" xfId="0" applyFont="1" applyFill="1" applyBorder="1" applyAlignment="1" applyProtection="1">
      <alignment horizontal="left" vertical="center" wrapText="1"/>
      <protection hidden="1"/>
    </xf>
    <xf numFmtId="0" fontId="10" fillId="0" borderId="17" xfId="0" applyFont="1" applyFill="1" applyBorder="1" applyAlignment="1" applyProtection="1">
      <alignment horizontal="left" vertical="center" wrapText="1"/>
      <protection hidden="1"/>
    </xf>
    <xf numFmtId="0" fontId="10" fillId="0" borderId="12" xfId="0" applyFont="1" applyFill="1" applyBorder="1" applyAlignment="1" applyProtection="1">
      <alignment horizontal="left" vertical="center"/>
      <protection hidden="1"/>
    </xf>
    <xf numFmtId="0" fontId="10" fillId="0" borderId="12" xfId="0" applyFont="1" applyFill="1" applyBorder="1" applyAlignment="1" applyProtection="1">
      <alignment horizontal="left" vertical="center" wrapText="1"/>
      <protection hidden="1"/>
    </xf>
    <xf numFmtId="0" fontId="10" fillId="0" borderId="10" xfId="0" applyFont="1" applyFill="1" applyBorder="1" applyAlignment="1" applyProtection="1">
      <alignment horizontal="left" vertical="center" wrapText="1"/>
      <protection hidden="1"/>
    </xf>
  </cellXfs>
  <cellStyles count="17">
    <cellStyle name="20% - Cor3 2" xfId="8"/>
    <cellStyle name="40% - Cor2 2" xfId="9"/>
    <cellStyle name="40% - Cor4 2" xfId="11"/>
    <cellStyle name="40% - Cor5 2" xfId="12"/>
    <cellStyle name="40% - Cor6 2" xfId="7"/>
    <cellStyle name="60% - Cor3 2" xfId="10"/>
    <cellStyle name="Cabeçalho 2 2" xfId="14"/>
    <cellStyle name="Cabeçalho 3 2" xfId="6"/>
    <cellStyle name="Etiqueta" xfId="13"/>
    <cellStyle name="Funcionário" xfId="15"/>
    <cellStyle name="Normal" xfId="0" builtinId="0"/>
    <cellStyle name="Normal 2" xfId="1"/>
    <cellStyle name="Normal 2 2" xfId="3"/>
    <cellStyle name="Normal 3" xfId="2"/>
    <cellStyle name="Normal 4" xfId="4"/>
    <cellStyle name="Título 2" xfId="5"/>
    <cellStyle name="Total 2" xfId="16"/>
  </cellStyles>
  <dxfs count="32"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</dxf>
    <dxf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6795556505021"/>
        </top>
        <bottom style="medium">
          <color theme="2" tint="-0.499984740745262"/>
        </bottom>
        <vertical/>
        <horizontal/>
      </border>
    </dxf>
    <dxf>
      <font>
        <color theme="1"/>
      </font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3743705557422"/>
        </top>
        <bottom style="medium">
          <color theme="2" tint="-0.499984740745262"/>
        </bottom>
        <vertical/>
        <horizontal style="thin">
          <color theme="0" tint="-0.14993743705557422"/>
        </horizontal>
      </border>
    </dxf>
    <dxf>
      <font>
        <color theme="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4.9989318521683403E-2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0.14996795556505021"/>
        </patternFill>
      </fill>
    </dxf>
    <dxf>
      <fill>
        <patternFill patternType="solid">
          <fgColor theme="4" tint="0.79992065187536243"/>
          <bgColor theme="0" tint="-4.9989318521683403E-2"/>
        </patternFill>
      </fill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color theme="1"/>
      </font>
      <fill>
        <patternFill patternType="none">
          <bgColor auto="1"/>
        </patternFill>
      </fill>
      <border>
        <left/>
        <right/>
        <top style="thin">
          <color theme="2" tint="-9.9917600024414813E-2"/>
        </top>
        <bottom style="thin">
          <color theme="2" tint="-9.9948118533890809E-2"/>
        </bottom>
        <vertical/>
        <horizontal style="thin">
          <color theme="2" tint="-9.9917600024414813E-2"/>
        </horizontal>
      </border>
    </dxf>
    <dxf>
      <font>
        <color theme="1"/>
      </font>
      <fill>
        <patternFill>
          <bgColor theme="6" tint="0.79998168889431442"/>
        </patternFill>
      </fill>
      <border diagonalUp="0" diagonalDown="0">
        <left style="thin">
          <color theme="0"/>
        </left>
        <right style="thin">
          <color theme="0"/>
        </right>
        <top/>
        <bottom style="medium">
          <color theme="2" tint="-0.499984740745262"/>
        </bottom>
        <vertical style="thin">
          <color theme="0"/>
        </vertical>
        <horizontal/>
      </border>
    </dxf>
    <dxf>
      <font>
        <color theme="0"/>
      </font>
      <fill>
        <patternFill>
          <bgColor theme="3"/>
        </patternFill>
      </fill>
    </dxf>
    <dxf>
      <font>
        <color theme="1"/>
      </font>
      <border diagonalUp="0" diagonalDown="0">
        <left/>
        <right/>
        <top/>
        <bottom/>
        <vertical style="thin">
          <color theme="0"/>
        </vertical>
        <horizontal/>
      </border>
    </dxf>
    <dxf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6795556505021"/>
        </top>
        <bottom style="medium">
          <color theme="2" tint="-0.499984740745262"/>
        </bottom>
        <vertical/>
        <horizontal/>
      </border>
    </dxf>
    <dxf>
      <font>
        <color theme="1"/>
      </font>
      <fill>
        <patternFill patternType="solid">
          <bgColor theme="6" tint="0.79998168889431442"/>
        </patternFill>
      </fill>
      <border diagonalUp="0" diagonalDown="0">
        <left/>
        <right/>
        <top style="thin">
          <color theme="0" tint="-0.14993743705557422"/>
        </top>
        <bottom style="medium">
          <color theme="2" tint="-0.499984740745262"/>
        </bottom>
        <vertical/>
        <horizontal style="thin">
          <color theme="0" tint="-0.14993743705557422"/>
        </horizontal>
      </border>
    </dxf>
    <dxf>
      <font>
        <color theme="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3743705557422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4.9989318521683403E-2"/>
        </patternFill>
      </fill>
      <border>
        <left style="thin">
          <color theme="0"/>
        </left>
        <right style="thin">
          <color theme="0"/>
        </right>
        <vertical style="thin">
          <color theme="0"/>
        </vertical>
      </border>
    </dxf>
    <dxf>
      <fill>
        <patternFill>
          <bgColor theme="0" tint="-0.14996795556505021"/>
        </patternFill>
      </fill>
    </dxf>
    <dxf>
      <fill>
        <patternFill patternType="solid">
          <fgColor theme="4" tint="0.79992065187536243"/>
          <bgColor theme="0" tint="-4.9989318521683403E-2"/>
        </patternFill>
      </fill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  <dxf>
      <font>
        <color theme="1"/>
      </font>
      <fill>
        <patternFill patternType="none">
          <bgColor auto="1"/>
        </patternFill>
      </fill>
      <border>
        <left/>
        <right/>
        <top style="thin">
          <color theme="2" tint="-9.9917600024414813E-2"/>
        </top>
        <bottom style="thin">
          <color theme="2" tint="-9.9948118533890809E-2"/>
        </bottom>
        <vertical/>
        <horizontal style="thin">
          <color theme="2" tint="-9.9917600024414813E-2"/>
        </horizontal>
      </border>
    </dxf>
    <dxf>
      <font>
        <color theme="1"/>
      </font>
      <fill>
        <patternFill>
          <bgColor theme="6" tint="0.79998168889431442"/>
        </patternFill>
      </fill>
      <border diagonalUp="0" diagonalDown="0">
        <left style="thin">
          <color theme="0"/>
        </left>
        <right style="thin">
          <color theme="0"/>
        </right>
        <top/>
        <bottom style="medium">
          <color theme="2" tint="-0.499984740745262"/>
        </bottom>
        <vertical style="thin">
          <color theme="0"/>
        </vertical>
        <horizontal/>
      </border>
    </dxf>
    <dxf>
      <font>
        <color theme="0"/>
      </font>
      <fill>
        <patternFill>
          <bgColor theme="3"/>
        </patternFill>
      </fill>
    </dxf>
    <dxf>
      <font>
        <color theme="1"/>
      </font>
      <border diagonalUp="0" diagonalDown="0">
        <left/>
        <right/>
        <top/>
        <bottom/>
        <vertical style="thin">
          <color theme="0"/>
        </vertical>
        <horizontal/>
      </border>
    </dxf>
  </dxfs>
  <tableStyles count="2" defaultTableStyle="TableStyleMedium2" defaultPivotStyle="PivotStyleLight16">
    <tableStyle name="Tabela de Ausências dos Funcionários" pivot="0" count="13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secondRowStripe" dxfId="25"/>
      <tableStyleElement type="firstColumnStripe" dxfId="24"/>
      <tableStyleElement type="secondColumnStripe" dxfId="23"/>
      <tableStyleElement type="firstHeaderCell" dxfId="22"/>
      <tableStyleElement type="lastHeaderCell" dxfId="21"/>
      <tableStyleElement type="firstTotalCell" dxfId="20"/>
      <tableStyleElement type="lastTotalCell" dxfId="19"/>
    </tableStyle>
    <tableStyle name="Tabela de Ausências dos Funcionários 2" pivot="0" count="13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secondRowStripe" dxfId="12"/>
      <tableStyleElement type="firstColumnStripe" dxfId="11"/>
      <tableStyleElement type="secondColumnStripe" dxfId="10"/>
      <tableStyleElement type="firstHeaderCell" dxfId="9"/>
      <tableStyleElement type="lastHeaderCell" dxfId="8"/>
      <tableStyleElement type="firstTotalCell" dxfId="7"/>
      <tableStyleElement type="lastTotalCell" dxfId="6"/>
    </tableStyle>
  </tableStyles>
  <colors>
    <mruColors>
      <color rgb="FFF6F9CB"/>
      <color rgb="FFFF9900"/>
      <color rgb="FFEEEE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137</xdr:col>
      <xdr:colOff>0</xdr:colOff>
      <xdr:row>0</xdr:row>
      <xdr:rowOff>0</xdr:rowOff>
    </xdr:from>
    <xdr:ext cx="0" cy="452438"/>
    <xdr:sp macro="" textlink="">
      <xdr:nvSpPr>
        <xdr:cNvPr id="2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8670250" y="8096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136</xdr:col>
      <xdr:colOff>0</xdr:colOff>
      <xdr:row>0</xdr:row>
      <xdr:rowOff>0</xdr:rowOff>
    </xdr:from>
    <xdr:ext cx="0" cy="452438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5593675" y="809625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140</xdr:col>
      <xdr:colOff>0</xdr:colOff>
      <xdr:row>0</xdr:row>
      <xdr:rowOff>0</xdr:rowOff>
    </xdr:from>
    <xdr:ext cx="0" cy="452438"/>
    <xdr:sp macro="" textlink="">
      <xdr:nvSpPr>
        <xdr:cNvPr id="26" name="AutoShape 1" descr="Resultado de imagem para interrogaÃ§Ã£o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1899225" y="1905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139</xdr:col>
      <xdr:colOff>0</xdr:colOff>
      <xdr:row>0</xdr:row>
      <xdr:rowOff>0</xdr:rowOff>
    </xdr:from>
    <xdr:ext cx="0" cy="452438"/>
    <xdr:sp macro="" textlink="">
      <xdr:nvSpPr>
        <xdr:cNvPr id="27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28384500" y="19050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0</xdr:colOff>
      <xdr:row>2</xdr:row>
      <xdr:rowOff>0</xdr:rowOff>
    </xdr:from>
    <xdr:ext cx="0" cy="452438"/>
    <xdr:sp macro="" textlink="">
      <xdr:nvSpPr>
        <xdr:cNvPr id="2" name="AutoShape 3" descr="Resultado de imagem para interrogaÃ§Ã£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21174075" y="15430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7"/>
    <xdr:sp macro="" textlink="">
      <xdr:nvSpPr>
        <xdr:cNvPr id="3" name="AutoShape 4" descr="Resultado de imagem para interrogaÃ§Ã£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21174075" y="123825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8"/>
    <xdr:sp macro="" textlink="">
      <xdr:nvSpPr>
        <xdr:cNvPr id="4" name="AutoShape 3" descr="Resultado de imagem para interrogaÃ§Ã£o">
          <a:extLst>
            <a:ext uri="{FF2B5EF4-FFF2-40B4-BE49-F238E27FC236}">
              <a16:creationId xmlns:a16="http://schemas.microsoft.com/office/drawing/2014/main" xmlns="" id="{BBE7829C-9407-4AC1-9713-8B7D9FCA6D6D}"/>
            </a:ext>
          </a:extLst>
        </xdr:cNvPr>
        <xdr:cNvSpPr>
          <a:spLocks noChangeAspect="1" noChangeArrowheads="1"/>
        </xdr:cNvSpPr>
      </xdr:nvSpPr>
      <xdr:spPr bwMode="auto">
        <a:xfrm>
          <a:off x="9829800" y="6286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7"/>
    <xdr:sp macro="" textlink="">
      <xdr:nvSpPr>
        <xdr:cNvPr id="5" name="AutoShape 4" descr="Resultado de imagem para interrogaÃ§Ã£o">
          <a:extLst>
            <a:ext uri="{FF2B5EF4-FFF2-40B4-BE49-F238E27FC236}">
              <a16:creationId xmlns:a16="http://schemas.microsoft.com/office/drawing/2014/main" xmlns="" id="{54409756-81E8-44A5-84BB-49E39B5EFE06}"/>
            </a:ext>
          </a:extLst>
        </xdr:cNvPr>
        <xdr:cNvSpPr>
          <a:spLocks noChangeAspect="1" noChangeArrowheads="1"/>
        </xdr:cNvSpPr>
      </xdr:nvSpPr>
      <xdr:spPr bwMode="auto">
        <a:xfrm>
          <a:off x="9829800" y="62865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8"/>
    <xdr:sp macro="" textlink="">
      <xdr:nvSpPr>
        <xdr:cNvPr id="6" name="AutoShape 3" descr="Resultado de imagem para interrogaÃ§Ã£o">
          <a:extLst>
            <a:ext uri="{FF2B5EF4-FFF2-40B4-BE49-F238E27FC236}">
              <a16:creationId xmlns:a16="http://schemas.microsoft.com/office/drawing/2014/main" xmlns="" id="{0507DC33-E5B8-49E8-9DD9-E40FDA715A25}"/>
            </a:ext>
          </a:extLst>
        </xdr:cNvPr>
        <xdr:cNvSpPr>
          <a:spLocks noChangeAspect="1" noChangeArrowheads="1"/>
        </xdr:cNvSpPr>
      </xdr:nvSpPr>
      <xdr:spPr bwMode="auto">
        <a:xfrm>
          <a:off x="9829800" y="6286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7"/>
    <xdr:sp macro="" textlink="">
      <xdr:nvSpPr>
        <xdr:cNvPr id="7" name="AutoShape 4" descr="Resultado de imagem para interrogaÃ§Ã£o">
          <a:extLst>
            <a:ext uri="{FF2B5EF4-FFF2-40B4-BE49-F238E27FC236}">
              <a16:creationId xmlns:a16="http://schemas.microsoft.com/office/drawing/2014/main" xmlns="" id="{E2D0BE83-810E-4869-B359-81BFD7253086}"/>
            </a:ext>
          </a:extLst>
        </xdr:cNvPr>
        <xdr:cNvSpPr>
          <a:spLocks noChangeAspect="1" noChangeArrowheads="1"/>
        </xdr:cNvSpPr>
      </xdr:nvSpPr>
      <xdr:spPr bwMode="auto">
        <a:xfrm>
          <a:off x="9829800" y="62865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8"/>
    <xdr:sp macro="" textlink="">
      <xdr:nvSpPr>
        <xdr:cNvPr id="8" name="AutoShape 3" descr="Resultado de imagem para interrogaÃ§Ã£o">
          <a:extLst>
            <a:ext uri="{FF2B5EF4-FFF2-40B4-BE49-F238E27FC236}">
              <a16:creationId xmlns:a16="http://schemas.microsoft.com/office/drawing/2014/main" xmlns="" id="{EEAD39D1-A2B0-4B1E-BC1F-906DE274F1CA}"/>
            </a:ext>
          </a:extLst>
        </xdr:cNvPr>
        <xdr:cNvSpPr>
          <a:spLocks noChangeAspect="1" noChangeArrowheads="1"/>
        </xdr:cNvSpPr>
      </xdr:nvSpPr>
      <xdr:spPr bwMode="auto">
        <a:xfrm>
          <a:off x="9829800" y="628650"/>
          <a:ext cx="0" cy="452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16</xdr:col>
      <xdr:colOff>0</xdr:colOff>
      <xdr:row>2</xdr:row>
      <xdr:rowOff>0</xdr:rowOff>
    </xdr:from>
    <xdr:ext cx="0" cy="452437"/>
    <xdr:sp macro="" textlink="">
      <xdr:nvSpPr>
        <xdr:cNvPr id="9" name="AutoShape 4" descr="Resultado de imagem para interrogaÃ§Ã£o">
          <a:extLst>
            <a:ext uri="{FF2B5EF4-FFF2-40B4-BE49-F238E27FC236}">
              <a16:creationId xmlns:a16="http://schemas.microsoft.com/office/drawing/2014/main" xmlns="" id="{8A8E438F-CCB1-4AA2-B03C-BBB659799458}"/>
            </a:ext>
          </a:extLst>
        </xdr:cNvPr>
        <xdr:cNvSpPr>
          <a:spLocks noChangeAspect="1" noChangeArrowheads="1"/>
        </xdr:cNvSpPr>
      </xdr:nvSpPr>
      <xdr:spPr bwMode="auto">
        <a:xfrm>
          <a:off x="9829800" y="628650"/>
          <a:ext cx="0" cy="4524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Acer\Documents\Docs%20Agostinho\Dossier%20atividade\2014-15\calendario_ano_letivo_2014-15%20e%20seguintes%20(1)%20%20em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DATAS"/>
      <sheetName val="ANUAL"/>
      <sheetName val="FERIADOS"/>
      <sheetName val="TURMAS"/>
      <sheetName val="PERIODOS"/>
      <sheetName val="CONTAR FERIAS"/>
    </sheetNames>
    <sheetDataSet>
      <sheetData sheetId="0" refreshError="1"/>
      <sheetData sheetId="1" refreshError="1"/>
      <sheetData sheetId="2">
        <row r="9">
          <cell r="AH9">
            <v>42099</v>
          </cell>
        </row>
        <row r="10">
          <cell r="AH10">
            <v>42052</v>
          </cell>
        </row>
        <row r="12">
          <cell r="AH12">
            <v>42097</v>
          </cell>
        </row>
        <row r="13">
          <cell r="AH13">
            <v>42159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2">
    <pageSetUpPr fitToPage="1"/>
  </sheetPr>
  <dimension ref="A1:KA71"/>
  <sheetViews>
    <sheetView showGridLines="0" tabSelected="1" zoomScale="70" zoomScaleNormal="70" zoomScalePageLayoutView="70" workbookViewId="0">
      <selection activeCell="L24" sqref="L24"/>
    </sheetView>
  </sheetViews>
  <sheetFormatPr defaultColWidth="0" defaultRowHeight="0" customHeight="1" zeroHeight="1" x14ac:dyDescent="0.2"/>
  <cols>
    <col min="1" max="1" width="2.7109375" style="7" customWidth="1"/>
    <col min="2" max="2" width="5.140625" style="7" customWidth="1"/>
    <col min="3" max="7" width="3.7109375" style="7" customWidth="1"/>
    <col min="8" max="8" width="6.7109375" style="7" customWidth="1"/>
    <col min="9" max="9" width="5.7109375" style="7" customWidth="1"/>
    <col min="10" max="10" width="4.28515625" style="7" hidden="1" customWidth="1"/>
    <col min="11" max="13" width="4.7109375" style="7" customWidth="1"/>
    <col min="14" max="14" width="4.28515625" style="7" customWidth="1"/>
    <col min="15" max="15" width="5.7109375" style="7" customWidth="1"/>
    <col min="16" max="16" width="4.28515625" style="7" hidden="1" customWidth="1"/>
    <col min="17" max="17" width="4.7109375" style="7" customWidth="1"/>
    <col min="18" max="22" width="4.28515625" style="7" customWidth="1"/>
    <col min="23" max="23" width="4.28515625" style="7" hidden="1" customWidth="1"/>
    <col min="24" max="24" width="4.7109375" style="7" customWidth="1"/>
    <col min="25" max="26" width="4.28515625" style="7" customWidth="1"/>
    <col min="27" max="27" width="5.7109375" style="7" customWidth="1"/>
    <col min="28" max="28" width="4.28515625" style="7" hidden="1" customWidth="1"/>
    <col min="29" max="29" width="4.7109375" style="7" customWidth="1"/>
    <col min="30" max="31" width="4.28515625" style="7" customWidth="1"/>
    <col min="32" max="32" width="4.28515625" style="7" hidden="1" customWidth="1"/>
    <col min="33" max="33" width="4.7109375" style="7" customWidth="1"/>
    <col min="34" max="34" width="6.7109375" style="7" hidden="1" customWidth="1"/>
    <col min="35" max="36" width="6.7109375" style="7" customWidth="1"/>
    <col min="37" max="37" width="7.7109375" style="7" customWidth="1"/>
    <col min="38" max="38" width="7.7109375" style="7" hidden="1" customWidth="1"/>
    <col min="39" max="39" width="7.7109375" style="7" customWidth="1"/>
    <col min="40" max="40" width="0.85546875" style="7" customWidth="1"/>
    <col min="41" max="41" width="5.140625" style="7" customWidth="1"/>
    <col min="42" max="46" width="3.7109375" style="7" customWidth="1"/>
    <col min="47" max="47" width="6.7109375" style="7" customWidth="1"/>
    <col min="48" max="48" width="5.7109375" style="7" customWidth="1"/>
    <col min="49" max="49" width="4.28515625" style="7" hidden="1" customWidth="1"/>
    <col min="50" max="52" width="4.7109375" style="7" customWidth="1"/>
    <col min="53" max="53" width="4.28515625" style="7" customWidth="1"/>
    <col min="54" max="54" width="5.7109375" style="7" customWidth="1"/>
    <col min="55" max="55" width="4.28515625" style="7" hidden="1" customWidth="1"/>
    <col min="56" max="56" width="4.7109375" style="7" customWidth="1"/>
    <col min="57" max="61" width="4.28515625" style="7" customWidth="1"/>
    <col min="62" max="62" width="4.28515625" style="7" hidden="1" customWidth="1"/>
    <col min="63" max="63" width="4.7109375" style="7" customWidth="1"/>
    <col min="64" max="65" width="4.28515625" style="7" customWidth="1"/>
    <col min="66" max="66" width="5.7109375" style="7" customWidth="1"/>
    <col min="67" max="67" width="4.28515625" style="7" hidden="1" customWidth="1"/>
    <col min="68" max="68" width="6.7109375" style="7" customWidth="1"/>
    <col min="69" max="70" width="4.28515625" style="7" customWidth="1"/>
    <col min="71" max="71" width="4.28515625" style="7" hidden="1" customWidth="1"/>
    <col min="72" max="72" width="4.7109375" style="7" customWidth="1"/>
    <col min="73" max="73" width="6.7109375" style="7" hidden="1" customWidth="1"/>
    <col min="74" max="75" width="6.7109375" style="7" customWidth="1"/>
    <col min="76" max="76" width="7.7109375" style="7" customWidth="1"/>
    <col min="77" max="77" width="7.7109375" style="7" hidden="1" customWidth="1"/>
    <col min="78" max="78" width="7.7109375" style="7" customWidth="1"/>
    <col min="79" max="79" width="0.85546875" style="7" customWidth="1"/>
    <col min="80" max="80" width="5.140625" style="7" customWidth="1"/>
    <col min="81" max="85" width="3.7109375" style="7" customWidth="1"/>
    <col min="86" max="86" width="6.7109375" style="7" customWidth="1"/>
    <col min="87" max="87" width="5.7109375" style="7" customWidth="1"/>
    <col min="88" max="88" width="4.28515625" style="7" hidden="1" customWidth="1"/>
    <col min="89" max="91" width="4.7109375" style="7" customWidth="1"/>
    <col min="92" max="92" width="4.28515625" style="7" customWidth="1"/>
    <col min="93" max="93" width="5.7109375" style="7" customWidth="1"/>
    <col min="94" max="94" width="6.7109375" style="7" hidden="1" customWidth="1"/>
    <col min="95" max="99" width="4.7109375" style="7" customWidth="1"/>
    <col min="100" max="100" width="4.28515625" style="7" customWidth="1"/>
    <col min="101" max="101" width="4.28515625" style="7" hidden="1" customWidth="1"/>
    <col min="102" max="103" width="4.7109375" style="7" customWidth="1"/>
    <col min="104" max="104" width="4.28515625" style="7" customWidth="1"/>
    <col min="105" max="105" width="5.7109375" style="7" customWidth="1"/>
    <col min="106" max="106" width="4.28515625" style="7" hidden="1" customWidth="1"/>
    <col min="107" max="107" width="4.7109375" style="7" customWidth="1"/>
    <col min="108" max="109" width="4.28515625" style="7" customWidth="1"/>
    <col min="110" max="110" width="4.28515625" style="7" hidden="1" customWidth="1"/>
    <col min="111" max="111" width="4.7109375" style="7" customWidth="1"/>
    <col min="112" max="112" width="6.7109375" style="7" hidden="1" customWidth="1"/>
    <col min="113" max="113" width="6.7109375" style="7" customWidth="1"/>
    <col min="114" max="131" width="6.7109375" style="7" hidden="1" customWidth="1"/>
    <col min="132" max="133" width="6.7109375" style="7" customWidth="1"/>
    <col min="134" max="134" width="7.7109375" style="7" customWidth="1"/>
    <col min="135" max="135" width="7.7109375" style="7" hidden="1" customWidth="1"/>
    <col min="136" max="136" width="7.7109375" style="7" customWidth="1"/>
    <col min="137" max="137" width="5.7109375" style="7" hidden="1" customWidth="1"/>
    <col min="138" max="138" width="3.7109375" style="7" customWidth="1"/>
    <col min="139" max="139" width="5.7109375" style="7" customWidth="1"/>
    <col min="140" max="140" width="52.7109375" style="54" customWidth="1"/>
    <col min="141" max="141" width="4.42578125" style="7" customWidth="1"/>
    <col min="142" max="142" width="9.140625" style="7" customWidth="1"/>
    <col min="143" max="162" width="9.140625" style="7" hidden="1" customWidth="1"/>
    <col min="163" max="167" width="24.5703125" style="7" hidden="1" customWidth="1"/>
    <col min="168" max="173" width="9.140625" style="7" hidden="1" customWidth="1"/>
    <col min="174" max="287" width="24.5703125" style="7" hidden="1" customWidth="1"/>
    <col min="288" max="16384" width="9.140625" style="7" hidden="1"/>
  </cols>
  <sheetData>
    <row r="1" spans="1:141" s="65" customFormat="1" ht="24.95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69"/>
      <c r="AJ1" s="69"/>
      <c r="AK1" s="69"/>
      <c r="AL1" s="69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4"/>
    </row>
    <row r="2" spans="1:141" s="65" customFormat="1" ht="24.95" customHeight="1" x14ac:dyDescent="0.35">
      <c r="A2" s="7"/>
      <c r="B2" s="61" t="s">
        <v>116</v>
      </c>
      <c r="C2" s="7"/>
      <c r="D2" s="7"/>
      <c r="E2" s="7"/>
      <c r="F2" s="7"/>
      <c r="G2" s="7"/>
      <c r="H2" s="7"/>
      <c r="I2" s="7"/>
      <c r="J2" s="7"/>
      <c r="K2" s="61" t="s">
        <v>67</v>
      </c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69"/>
      <c r="AJ2" s="69"/>
      <c r="AK2" s="69"/>
      <c r="AL2" s="69"/>
      <c r="AM2" s="7"/>
      <c r="AN2" s="7"/>
      <c r="AO2" s="61" t="s">
        <v>116</v>
      </c>
      <c r="AP2" s="7"/>
      <c r="AQ2" s="7"/>
      <c r="AR2" s="7"/>
      <c r="AS2" s="7"/>
      <c r="AT2" s="7"/>
      <c r="AU2" s="7"/>
      <c r="AV2" s="7"/>
      <c r="AW2" s="7"/>
      <c r="AX2" s="61" t="s">
        <v>67</v>
      </c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61" t="s">
        <v>116</v>
      </c>
      <c r="CC2" s="7"/>
      <c r="CD2" s="7"/>
      <c r="CE2" s="7"/>
      <c r="CF2" s="7"/>
      <c r="CG2" s="7"/>
      <c r="CH2" s="7"/>
      <c r="CI2" s="7"/>
      <c r="CJ2" s="7"/>
      <c r="CK2" s="61" t="s">
        <v>67</v>
      </c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4"/>
    </row>
    <row r="3" spans="1:141" s="65" customFormat="1" ht="20.100000000000001" customHeight="1" thickBot="1" x14ac:dyDescent="0.35">
      <c r="A3" s="7"/>
      <c r="B3" s="7"/>
      <c r="C3" s="7"/>
      <c r="D3" s="7"/>
      <c r="E3" s="7"/>
      <c r="F3" s="2"/>
      <c r="G3" s="2"/>
      <c r="H3" s="2"/>
      <c r="I3" s="2"/>
      <c r="J3" s="2"/>
      <c r="K3" s="2"/>
      <c r="L3" s="7"/>
      <c r="M3" s="7"/>
      <c r="N3" s="7"/>
      <c r="O3" s="7"/>
      <c r="P3" s="7"/>
      <c r="Q3" s="2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69"/>
      <c r="AJ3" s="69"/>
      <c r="AK3" s="69"/>
      <c r="AL3" s="69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4"/>
    </row>
    <row r="4" spans="1:141" ht="32.1" customHeight="1" x14ac:dyDescent="0.3">
      <c r="A4" s="63"/>
      <c r="B4" s="347" t="s">
        <v>14</v>
      </c>
      <c r="C4" s="348"/>
      <c r="D4" s="348"/>
      <c r="E4" s="348"/>
      <c r="F4" s="348"/>
      <c r="G4" s="348"/>
      <c r="H4" s="348"/>
      <c r="I4" s="348"/>
      <c r="J4" s="348"/>
      <c r="K4" s="348"/>
      <c r="L4" s="348"/>
      <c r="M4" s="348"/>
      <c r="N4" s="348"/>
      <c r="O4" s="348"/>
      <c r="P4" s="348"/>
      <c r="Q4" s="348"/>
      <c r="R4" s="348"/>
      <c r="S4" s="348"/>
      <c r="T4" s="348"/>
      <c r="U4" s="348"/>
      <c r="V4" s="348"/>
      <c r="W4" s="348"/>
      <c r="X4" s="348"/>
      <c r="Y4" s="348"/>
      <c r="Z4" s="348"/>
      <c r="AA4" s="348"/>
      <c r="AB4" s="348"/>
      <c r="AC4" s="348"/>
      <c r="AD4" s="348"/>
      <c r="AE4" s="348"/>
      <c r="AF4" s="348"/>
      <c r="AG4" s="348"/>
      <c r="AH4" s="348"/>
      <c r="AI4" s="348"/>
      <c r="AJ4" s="348"/>
      <c r="AK4" s="348"/>
      <c r="AL4" s="348"/>
      <c r="AM4" s="349"/>
      <c r="AN4" s="121"/>
      <c r="AO4" s="347" t="s">
        <v>13</v>
      </c>
      <c r="AP4" s="348"/>
      <c r="AQ4" s="348"/>
      <c r="AR4" s="348"/>
      <c r="AS4" s="348"/>
      <c r="AT4" s="348"/>
      <c r="AU4" s="348"/>
      <c r="AV4" s="348"/>
      <c r="AW4" s="348"/>
      <c r="AX4" s="348"/>
      <c r="AY4" s="348"/>
      <c r="AZ4" s="348"/>
      <c r="BA4" s="348"/>
      <c r="BB4" s="348"/>
      <c r="BC4" s="348"/>
      <c r="BD4" s="348"/>
      <c r="BE4" s="348"/>
      <c r="BF4" s="348"/>
      <c r="BG4" s="348"/>
      <c r="BH4" s="348"/>
      <c r="BI4" s="348"/>
      <c r="BJ4" s="348"/>
      <c r="BK4" s="348"/>
      <c r="BL4" s="348"/>
      <c r="BM4" s="348"/>
      <c r="BN4" s="348"/>
      <c r="BO4" s="348"/>
      <c r="BP4" s="348"/>
      <c r="BQ4" s="348"/>
      <c r="BR4" s="348"/>
      <c r="BS4" s="348"/>
      <c r="BT4" s="348"/>
      <c r="BU4" s="348"/>
      <c r="BV4" s="348"/>
      <c r="BW4" s="348"/>
      <c r="BX4" s="348"/>
      <c r="BY4" s="348"/>
      <c r="BZ4" s="349"/>
      <c r="CA4" s="121"/>
      <c r="CB4" s="347" t="s">
        <v>12</v>
      </c>
      <c r="CC4" s="348"/>
      <c r="CD4" s="348"/>
      <c r="CE4" s="348"/>
      <c r="CF4" s="348"/>
      <c r="CG4" s="348"/>
      <c r="CH4" s="348"/>
      <c r="CI4" s="348"/>
      <c r="CJ4" s="348"/>
      <c r="CK4" s="348"/>
      <c r="CL4" s="348"/>
      <c r="CM4" s="348"/>
      <c r="CN4" s="348"/>
      <c r="CO4" s="348"/>
      <c r="CP4" s="348"/>
      <c r="CQ4" s="348"/>
      <c r="CR4" s="348"/>
      <c r="CS4" s="348"/>
      <c r="CT4" s="348"/>
      <c r="CU4" s="348"/>
      <c r="CV4" s="348"/>
      <c r="CW4" s="348"/>
      <c r="CX4" s="348"/>
      <c r="CY4" s="348"/>
      <c r="CZ4" s="348"/>
      <c r="DA4" s="348"/>
      <c r="DB4" s="348"/>
      <c r="DC4" s="348"/>
      <c r="DD4" s="348"/>
      <c r="DE4" s="348"/>
      <c r="DF4" s="348"/>
      <c r="DG4" s="348"/>
      <c r="DH4" s="348"/>
      <c r="DI4" s="350"/>
      <c r="DJ4" s="31">
        <f>CH6</f>
        <v>0</v>
      </c>
      <c r="DK4" s="31"/>
      <c r="DL4" s="31"/>
      <c r="DM4" s="32">
        <f>COUNTIF(DK7:DM7,"&lt;&gt;=0")</f>
        <v>3</v>
      </c>
      <c r="DN4" s="31">
        <f>CL6</f>
        <v>0</v>
      </c>
      <c r="DO4" s="31"/>
      <c r="DP4" s="31"/>
      <c r="DQ4" s="32">
        <f>COUNTIF(DO7:DQ7,"&lt;&gt;=0")</f>
        <v>3</v>
      </c>
      <c r="DR4" s="31">
        <f>R6</f>
        <v>0</v>
      </c>
      <c r="DS4" s="31"/>
      <c r="DT4" s="31"/>
      <c r="DU4" s="32">
        <f>COUNTIF(DS7:DU7,"&lt;&gt;=0")</f>
        <v>3</v>
      </c>
      <c r="DV4" s="31">
        <f>Y6</f>
        <v>0</v>
      </c>
      <c r="DW4" s="31"/>
      <c r="DX4" s="31"/>
      <c r="DY4" s="32">
        <f>COUNTIF(DW7:DY7,"&lt;&gt;=0")</f>
        <v>3</v>
      </c>
      <c r="DZ4" s="31">
        <f>AD6</f>
        <v>0</v>
      </c>
      <c r="EA4" s="32">
        <f>COUNTIF(DJ8:EA8,"&lt;&gt;=0")</f>
        <v>18</v>
      </c>
      <c r="EB4" s="351" t="s">
        <v>51</v>
      </c>
      <c r="EC4" s="351"/>
      <c r="ED4" s="351"/>
      <c r="EE4" s="352"/>
      <c r="EF4" s="353"/>
      <c r="EG4" s="3"/>
      <c r="EH4" s="64"/>
      <c r="EI4" s="354" t="s">
        <v>22</v>
      </c>
      <c r="EJ4" s="355"/>
      <c r="EK4" s="4"/>
    </row>
    <row r="5" spans="1:141" ht="24.95" customHeight="1" x14ac:dyDescent="0.2">
      <c r="A5" s="63"/>
      <c r="B5" s="339" t="s">
        <v>21</v>
      </c>
      <c r="C5" s="340"/>
      <c r="D5" s="340"/>
      <c r="E5" s="340"/>
      <c r="F5" s="340"/>
      <c r="G5" s="340"/>
      <c r="H5" s="334" t="s">
        <v>4</v>
      </c>
      <c r="I5" s="334"/>
      <c r="J5" s="334"/>
      <c r="K5" s="334"/>
      <c r="L5" s="334" t="s">
        <v>3</v>
      </c>
      <c r="M5" s="334"/>
      <c r="N5" s="334"/>
      <c r="O5" s="334"/>
      <c r="P5" s="334"/>
      <c r="Q5" s="334"/>
      <c r="R5" s="334" t="s">
        <v>2</v>
      </c>
      <c r="S5" s="334"/>
      <c r="T5" s="334"/>
      <c r="U5" s="334"/>
      <c r="V5" s="334"/>
      <c r="W5" s="334"/>
      <c r="X5" s="334"/>
      <c r="Y5" s="334" t="s">
        <v>1</v>
      </c>
      <c r="Z5" s="334"/>
      <c r="AA5" s="334"/>
      <c r="AB5" s="334"/>
      <c r="AC5" s="334"/>
      <c r="AD5" s="334" t="s">
        <v>0</v>
      </c>
      <c r="AE5" s="334"/>
      <c r="AF5" s="334"/>
      <c r="AG5" s="334"/>
      <c r="AH5" s="59"/>
      <c r="AI5" s="337" t="s">
        <v>18</v>
      </c>
      <c r="AJ5" s="341" t="s">
        <v>66</v>
      </c>
      <c r="AK5" s="360" t="s">
        <v>17</v>
      </c>
      <c r="AL5" s="102"/>
      <c r="AM5" s="362" t="s">
        <v>16</v>
      </c>
      <c r="AN5" s="122"/>
      <c r="AO5" s="339" t="s">
        <v>21</v>
      </c>
      <c r="AP5" s="340"/>
      <c r="AQ5" s="340"/>
      <c r="AR5" s="340"/>
      <c r="AS5" s="340"/>
      <c r="AT5" s="340"/>
      <c r="AU5" s="334" t="s">
        <v>4</v>
      </c>
      <c r="AV5" s="334"/>
      <c r="AW5" s="334"/>
      <c r="AX5" s="334"/>
      <c r="AY5" s="334" t="s">
        <v>3</v>
      </c>
      <c r="AZ5" s="334"/>
      <c r="BA5" s="334"/>
      <c r="BB5" s="334"/>
      <c r="BC5" s="334"/>
      <c r="BD5" s="334"/>
      <c r="BE5" s="334" t="s">
        <v>2</v>
      </c>
      <c r="BF5" s="334"/>
      <c r="BG5" s="334"/>
      <c r="BH5" s="334"/>
      <c r="BI5" s="334"/>
      <c r="BJ5" s="334"/>
      <c r="BK5" s="334"/>
      <c r="BL5" s="334" t="s">
        <v>1</v>
      </c>
      <c r="BM5" s="334"/>
      <c r="BN5" s="334"/>
      <c r="BO5" s="334"/>
      <c r="BP5" s="334"/>
      <c r="BQ5" s="334" t="s">
        <v>0</v>
      </c>
      <c r="BR5" s="334"/>
      <c r="BS5" s="334"/>
      <c r="BT5" s="334"/>
      <c r="BU5" s="59"/>
      <c r="BV5" s="322" t="s">
        <v>18</v>
      </c>
      <c r="BW5" s="341" t="s">
        <v>66</v>
      </c>
      <c r="BX5" s="326" t="s">
        <v>17</v>
      </c>
      <c r="BY5" s="112"/>
      <c r="BZ5" s="362" t="s">
        <v>16</v>
      </c>
      <c r="CA5" s="122"/>
      <c r="CB5" s="339" t="s">
        <v>21</v>
      </c>
      <c r="CC5" s="340"/>
      <c r="CD5" s="340"/>
      <c r="CE5" s="340"/>
      <c r="CF5" s="340"/>
      <c r="CG5" s="340"/>
      <c r="CH5" s="334" t="s">
        <v>4</v>
      </c>
      <c r="CI5" s="334"/>
      <c r="CJ5" s="334"/>
      <c r="CK5" s="334"/>
      <c r="CL5" s="334" t="s">
        <v>3</v>
      </c>
      <c r="CM5" s="334"/>
      <c r="CN5" s="334"/>
      <c r="CO5" s="334"/>
      <c r="CP5" s="334"/>
      <c r="CQ5" s="334"/>
      <c r="CR5" s="364" t="s">
        <v>58</v>
      </c>
      <c r="CS5" s="365"/>
      <c r="CT5" s="365"/>
      <c r="CU5" s="365"/>
      <c r="CV5" s="365"/>
      <c r="CW5" s="365"/>
      <c r="CX5" s="366"/>
      <c r="CY5" s="364" t="s">
        <v>1</v>
      </c>
      <c r="CZ5" s="365"/>
      <c r="DA5" s="365"/>
      <c r="DB5" s="365"/>
      <c r="DC5" s="366"/>
      <c r="DD5" s="334" t="s">
        <v>0</v>
      </c>
      <c r="DE5" s="364"/>
      <c r="DF5" s="365"/>
      <c r="DG5" s="366"/>
      <c r="DH5" s="59"/>
      <c r="DI5" s="367" t="s">
        <v>18</v>
      </c>
      <c r="DJ5" s="320" t="s">
        <v>4</v>
      </c>
      <c r="DK5" s="203"/>
      <c r="DL5" s="203"/>
      <c r="DM5" s="203"/>
      <c r="DN5" s="320" t="s">
        <v>3</v>
      </c>
      <c r="DO5" s="203"/>
      <c r="DP5" s="203"/>
      <c r="DQ5" s="203"/>
      <c r="DR5" s="320" t="s">
        <v>20</v>
      </c>
      <c r="DS5" s="203"/>
      <c r="DT5" s="203"/>
      <c r="DU5" s="203"/>
      <c r="DV5" s="320" t="s">
        <v>1</v>
      </c>
      <c r="DW5" s="203"/>
      <c r="DX5" s="203"/>
      <c r="DY5" s="203"/>
      <c r="DZ5" s="320" t="s">
        <v>19</v>
      </c>
      <c r="EA5" s="203"/>
      <c r="EB5" s="322" t="s">
        <v>18</v>
      </c>
      <c r="EC5" s="341" t="s">
        <v>66</v>
      </c>
      <c r="ED5" s="326" t="s">
        <v>17</v>
      </c>
      <c r="EE5" s="117"/>
      <c r="EF5" s="362" t="s">
        <v>16</v>
      </c>
      <c r="EG5" s="123"/>
      <c r="EH5" s="64"/>
      <c r="EI5" s="356"/>
      <c r="EJ5" s="357"/>
    </row>
    <row r="6" spans="1:141" ht="30" customHeight="1" thickBot="1" x14ac:dyDescent="0.25">
      <c r="A6" s="63"/>
      <c r="B6" s="339" t="s">
        <v>15</v>
      </c>
      <c r="C6" s="340"/>
      <c r="D6" s="340"/>
      <c r="E6" s="340"/>
      <c r="F6" s="340"/>
      <c r="G6" s="340"/>
      <c r="H6" s="331"/>
      <c r="I6" s="333"/>
      <c r="J6" s="49">
        <f>COUNTIF(H7:I7,"&lt;&gt;=0")</f>
        <v>2</v>
      </c>
      <c r="K6" s="335" t="s">
        <v>11</v>
      </c>
      <c r="L6" s="331"/>
      <c r="M6" s="332"/>
      <c r="N6" s="332"/>
      <c r="O6" s="333"/>
      <c r="P6" s="49">
        <f>COUNTIF(L7:O7,"&lt;&gt;=0")</f>
        <v>4</v>
      </c>
      <c r="Q6" s="335" t="s">
        <v>11</v>
      </c>
      <c r="R6" s="331"/>
      <c r="S6" s="332"/>
      <c r="T6" s="332"/>
      <c r="U6" s="332"/>
      <c r="V6" s="333"/>
      <c r="W6" s="120"/>
      <c r="X6" s="335" t="s">
        <v>11</v>
      </c>
      <c r="Y6" s="331"/>
      <c r="Z6" s="332"/>
      <c r="AA6" s="333"/>
      <c r="AB6" s="49">
        <f>COUNTIF(Y7:AA7,"&lt;&gt;=0")</f>
        <v>3</v>
      </c>
      <c r="AC6" s="335" t="s">
        <v>11</v>
      </c>
      <c r="AD6" s="331"/>
      <c r="AE6" s="333"/>
      <c r="AF6" s="120"/>
      <c r="AG6" s="335" t="s">
        <v>11</v>
      </c>
      <c r="AH6" s="66"/>
      <c r="AI6" s="337"/>
      <c r="AJ6" s="342"/>
      <c r="AK6" s="360"/>
      <c r="AL6" s="102"/>
      <c r="AM6" s="362"/>
      <c r="AN6" s="122"/>
      <c r="AO6" s="339" t="s">
        <v>15</v>
      </c>
      <c r="AP6" s="340"/>
      <c r="AQ6" s="340"/>
      <c r="AR6" s="340"/>
      <c r="AS6" s="340"/>
      <c r="AT6" s="340"/>
      <c r="AU6" s="331"/>
      <c r="AV6" s="333"/>
      <c r="AW6" s="49">
        <f>COUNTIF(AU7:AV7,"&lt;&gt;=0")</f>
        <v>2</v>
      </c>
      <c r="AX6" s="335" t="s">
        <v>11</v>
      </c>
      <c r="AY6" s="331"/>
      <c r="AZ6" s="332"/>
      <c r="BA6" s="332"/>
      <c r="BB6" s="333"/>
      <c r="BC6" s="49">
        <f>COUNTIF(AY7:BB7,"&lt;&gt;=0")</f>
        <v>4</v>
      </c>
      <c r="BD6" s="335" t="s">
        <v>11</v>
      </c>
      <c r="BE6" s="331"/>
      <c r="BF6" s="332"/>
      <c r="BG6" s="332"/>
      <c r="BH6" s="332"/>
      <c r="BI6" s="333"/>
      <c r="BJ6" s="49">
        <f>COUNTIF(BE7:BI7,"&lt;&gt;=0")</f>
        <v>5</v>
      </c>
      <c r="BK6" s="335" t="s">
        <v>11</v>
      </c>
      <c r="BL6" s="331"/>
      <c r="BM6" s="332"/>
      <c r="BN6" s="333"/>
      <c r="BO6" s="49">
        <f>COUNTIF(BL7:BN7,"&lt;&gt;=0")</f>
        <v>3</v>
      </c>
      <c r="BP6" s="369" t="s">
        <v>11</v>
      </c>
      <c r="BQ6" s="331"/>
      <c r="BR6" s="333"/>
      <c r="BS6" s="49">
        <f>COUNTIF(BQ7:BR7,"&lt;&gt;=0")</f>
        <v>2</v>
      </c>
      <c r="BT6" s="335" t="s">
        <v>11</v>
      </c>
      <c r="BU6" s="66"/>
      <c r="BV6" s="322"/>
      <c r="BW6" s="342"/>
      <c r="BX6" s="326"/>
      <c r="BY6" s="112"/>
      <c r="BZ6" s="362"/>
      <c r="CA6" s="122"/>
      <c r="CB6" s="339" t="s">
        <v>15</v>
      </c>
      <c r="CC6" s="340"/>
      <c r="CD6" s="340"/>
      <c r="CE6" s="340"/>
      <c r="CF6" s="340"/>
      <c r="CG6" s="340"/>
      <c r="CH6" s="331"/>
      <c r="CI6" s="333"/>
      <c r="CJ6" s="49">
        <f>COUNTIF(CH7:CI7,"&lt;&gt;=0")</f>
        <v>2</v>
      </c>
      <c r="CK6" s="335" t="s">
        <v>11</v>
      </c>
      <c r="CL6" s="331"/>
      <c r="CM6" s="332"/>
      <c r="CN6" s="332"/>
      <c r="CO6" s="333"/>
      <c r="CP6" s="49">
        <f>COUNTIF(CL7:CO7,"&lt;&gt;=0")</f>
        <v>4</v>
      </c>
      <c r="CQ6" s="335" t="s">
        <v>11</v>
      </c>
      <c r="CR6" s="331"/>
      <c r="CS6" s="332"/>
      <c r="CT6" s="332"/>
      <c r="CU6" s="332"/>
      <c r="CV6" s="333"/>
      <c r="CW6" s="49">
        <f>COUNTIF(CR7:CV7,"&lt;&gt;=0")</f>
        <v>5</v>
      </c>
      <c r="CX6" s="335" t="s">
        <v>11</v>
      </c>
      <c r="CY6" s="331"/>
      <c r="CZ6" s="332"/>
      <c r="DA6" s="333"/>
      <c r="DB6" s="49">
        <f>COUNTIF(CY7:DA7,"&lt;&gt;=0")</f>
        <v>3</v>
      </c>
      <c r="DC6" s="335" t="s">
        <v>11</v>
      </c>
      <c r="DD6" s="331"/>
      <c r="DE6" s="333"/>
      <c r="DF6" s="49">
        <f>COUNTIF(DD7:DE7,"&lt;&gt;=0")</f>
        <v>2</v>
      </c>
      <c r="DG6" s="371" t="s">
        <v>11</v>
      </c>
      <c r="DH6" s="49">
        <f>COUNTIF(CH7:DG7,"&lt;&gt;=0")</f>
        <v>26</v>
      </c>
      <c r="DI6" s="367"/>
      <c r="DJ6" s="320"/>
      <c r="DK6" s="203"/>
      <c r="DL6" s="203"/>
      <c r="DM6" s="203"/>
      <c r="DN6" s="320"/>
      <c r="DO6" s="203"/>
      <c r="DP6" s="203"/>
      <c r="DQ6" s="203"/>
      <c r="DR6" s="320"/>
      <c r="DS6" s="203"/>
      <c r="DT6" s="203"/>
      <c r="DU6" s="203"/>
      <c r="DV6" s="320"/>
      <c r="DW6" s="203"/>
      <c r="DX6" s="203"/>
      <c r="DY6" s="203"/>
      <c r="DZ6" s="320"/>
      <c r="EA6" s="203"/>
      <c r="EB6" s="322"/>
      <c r="EC6" s="342"/>
      <c r="ED6" s="326"/>
      <c r="EE6" s="117"/>
      <c r="EF6" s="362"/>
      <c r="EG6" s="123"/>
      <c r="EH6" s="64"/>
      <c r="EI6" s="356"/>
      <c r="EJ6" s="357"/>
    </row>
    <row r="7" spans="1:141" ht="30" customHeight="1" thickBot="1" x14ac:dyDescent="0.25">
      <c r="A7" s="63"/>
      <c r="B7" s="329" t="s">
        <v>59</v>
      </c>
      <c r="C7" s="330"/>
      <c r="D7" s="330"/>
      <c r="E7" s="330"/>
      <c r="F7" s="330"/>
      <c r="G7" s="330"/>
      <c r="H7" s="219" t="s">
        <v>57</v>
      </c>
      <c r="I7" s="50" t="s">
        <v>102</v>
      </c>
      <c r="J7" s="49"/>
      <c r="K7" s="336"/>
      <c r="L7" s="188" t="s">
        <v>103</v>
      </c>
      <c r="M7" s="50" t="s">
        <v>104</v>
      </c>
      <c r="N7" s="50" t="s">
        <v>105</v>
      </c>
      <c r="O7" s="50" t="s">
        <v>102</v>
      </c>
      <c r="P7" s="50"/>
      <c r="Q7" s="336"/>
      <c r="R7" s="50" t="s">
        <v>103</v>
      </c>
      <c r="S7" s="50" t="s">
        <v>104</v>
      </c>
      <c r="T7" s="50" t="s">
        <v>105</v>
      </c>
      <c r="U7" s="50" t="s">
        <v>106</v>
      </c>
      <c r="V7" s="50" t="s">
        <v>107</v>
      </c>
      <c r="W7" s="49">
        <f>COUNTIF(R7:V7,"&lt;&gt;=0")</f>
        <v>5</v>
      </c>
      <c r="X7" s="336"/>
      <c r="Y7" s="50" t="s">
        <v>105</v>
      </c>
      <c r="Z7" s="50" t="s">
        <v>107</v>
      </c>
      <c r="AA7" s="50" t="s">
        <v>102</v>
      </c>
      <c r="AB7" s="50"/>
      <c r="AC7" s="336"/>
      <c r="AD7" s="50" t="s">
        <v>105</v>
      </c>
      <c r="AE7" s="50" t="s">
        <v>107</v>
      </c>
      <c r="AF7" s="49">
        <f>COUNTIF(AD7:AE7,"&lt;&gt;=0")</f>
        <v>2</v>
      </c>
      <c r="AG7" s="336"/>
      <c r="AH7" s="124"/>
      <c r="AI7" s="338"/>
      <c r="AJ7" s="343"/>
      <c r="AK7" s="361"/>
      <c r="AL7" s="103"/>
      <c r="AM7" s="363"/>
      <c r="AN7" s="122"/>
      <c r="AO7" s="329" t="s">
        <v>60</v>
      </c>
      <c r="AP7" s="330"/>
      <c r="AQ7" s="330"/>
      <c r="AR7" s="330"/>
      <c r="AS7" s="330"/>
      <c r="AT7" s="330"/>
      <c r="AU7" s="50" t="s">
        <v>57</v>
      </c>
      <c r="AV7" s="50" t="s">
        <v>102</v>
      </c>
      <c r="AW7" s="49"/>
      <c r="AX7" s="336"/>
      <c r="AY7" s="188" t="s">
        <v>103</v>
      </c>
      <c r="AZ7" s="50" t="s">
        <v>104</v>
      </c>
      <c r="BA7" s="50" t="s">
        <v>105</v>
      </c>
      <c r="BB7" s="50" t="s">
        <v>102</v>
      </c>
      <c r="BC7" s="50"/>
      <c r="BD7" s="336"/>
      <c r="BE7" s="50" t="s">
        <v>103</v>
      </c>
      <c r="BF7" s="50" t="s">
        <v>104</v>
      </c>
      <c r="BG7" s="50" t="s">
        <v>105</v>
      </c>
      <c r="BH7" s="50" t="s">
        <v>106</v>
      </c>
      <c r="BI7" s="50" t="s">
        <v>107</v>
      </c>
      <c r="BK7" s="336"/>
      <c r="BL7" s="50" t="s">
        <v>105</v>
      </c>
      <c r="BM7" s="50" t="s">
        <v>107</v>
      </c>
      <c r="BN7" s="50" t="s">
        <v>102</v>
      </c>
      <c r="BP7" s="370"/>
      <c r="BQ7" s="50" t="s">
        <v>105</v>
      </c>
      <c r="BR7" s="50" t="s">
        <v>107</v>
      </c>
      <c r="BT7" s="336"/>
      <c r="BU7" s="124"/>
      <c r="BV7" s="323"/>
      <c r="BW7" s="343"/>
      <c r="BX7" s="327"/>
      <c r="BY7" s="113"/>
      <c r="BZ7" s="363"/>
      <c r="CA7" s="122"/>
      <c r="CB7" s="329" t="s">
        <v>60</v>
      </c>
      <c r="CC7" s="330"/>
      <c r="CD7" s="330"/>
      <c r="CE7" s="330"/>
      <c r="CF7" s="330"/>
      <c r="CG7" s="330"/>
      <c r="CH7" s="50" t="s">
        <v>57</v>
      </c>
      <c r="CI7" s="50" t="s">
        <v>102</v>
      </c>
      <c r="CJ7" s="49"/>
      <c r="CK7" s="336"/>
      <c r="CL7" s="188" t="s">
        <v>103</v>
      </c>
      <c r="CM7" s="188" t="s">
        <v>104</v>
      </c>
      <c r="CN7" s="188" t="s">
        <v>105</v>
      </c>
      <c r="CO7" s="188" t="s">
        <v>102</v>
      </c>
      <c r="CQ7" s="336"/>
      <c r="CR7" s="50" t="s">
        <v>103</v>
      </c>
      <c r="CS7" s="50" t="s">
        <v>104</v>
      </c>
      <c r="CT7" s="50" t="s">
        <v>105</v>
      </c>
      <c r="CU7" s="50" t="s">
        <v>106</v>
      </c>
      <c r="CV7" s="50" t="s">
        <v>107</v>
      </c>
      <c r="CX7" s="336"/>
      <c r="CY7" s="50" t="s">
        <v>105</v>
      </c>
      <c r="CZ7" s="50" t="s">
        <v>107</v>
      </c>
      <c r="DA7" s="50" t="s">
        <v>102</v>
      </c>
      <c r="DB7" s="50"/>
      <c r="DC7" s="336"/>
      <c r="DD7" s="50" t="s">
        <v>105</v>
      </c>
      <c r="DE7" s="50" t="s">
        <v>107</v>
      </c>
      <c r="DF7" s="50"/>
      <c r="DG7" s="372"/>
      <c r="DI7" s="368"/>
      <c r="DJ7" s="321"/>
      <c r="DK7" s="204"/>
      <c r="DL7" s="204"/>
      <c r="DM7" s="204"/>
      <c r="DN7" s="321"/>
      <c r="DO7" s="204"/>
      <c r="DP7" s="204"/>
      <c r="DQ7" s="204"/>
      <c r="DR7" s="321"/>
      <c r="DS7" s="204"/>
      <c r="DT7" s="204"/>
      <c r="DU7" s="204"/>
      <c r="DV7" s="321"/>
      <c r="DW7" s="204"/>
      <c r="DX7" s="204"/>
      <c r="DY7" s="204"/>
      <c r="DZ7" s="321"/>
      <c r="EA7" s="204"/>
      <c r="EB7" s="323"/>
      <c r="EC7" s="343"/>
      <c r="ED7" s="327"/>
      <c r="EE7" s="118"/>
      <c r="EF7" s="363"/>
      <c r="EH7" s="64"/>
      <c r="EI7" s="358"/>
      <c r="EJ7" s="359"/>
    </row>
    <row r="8" spans="1:141" ht="16.5" customHeight="1" x14ac:dyDescent="0.2">
      <c r="A8" s="60"/>
      <c r="B8" s="309">
        <v>1</v>
      </c>
      <c r="C8" s="328" t="s">
        <v>115</v>
      </c>
      <c r="D8" s="328"/>
      <c r="E8" s="328"/>
      <c r="F8" s="328"/>
      <c r="G8" s="328"/>
      <c r="H8" s="310"/>
      <c r="I8" s="126"/>
      <c r="J8" s="125"/>
      <c r="K8" s="28" t="str">
        <f>IF(COUNTBLANK(H8:I8)=J$6,"",AVERAGE(H8:I8)*H$6)</f>
        <v/>
      </c>
      <c r="L8" s="126"/>
      <c r="M8" s="126"/>
      <c r="N8" s="126"/>
      <c r="O8" s="126"/>
      <c r="P8" s="125"/>
      <c r="Q8" s="28" t="str">
        <f>IF(COUNTBLANK(L8:O8)=$P$6,"",AVERAGE(L8:O8)*$L$6)</f>
        <v/>
      </c>
      <c r="R8" s="126"/>
      <c r="S8" s="126"/>
      <c r="T8" s="126"/>
      <c r="U8" s="126"/>
      <c r="V8" s="126"/>
      <c r="W8" s="125"/>
      <c r="X8" s="28" t="str">
        <f>IF(COUNTBLANK(R8:V8)=W$7,"",AVERAGE(R8:V8)*R$6)</f>
        <v/>
      </c>
      <c r="Y8" s="126"/>
      <c r="Z8" s="126"/>
      <c r="AA8" s="126"/>
      <c r="AB8" s="126"/>
      <c r="AC8" s="28" t="str">
        <f>IF(COUNTBLANK(Y8:AA8)=AB$6,"",AVERAGE(Y8:AA8)*Y$6)</f>
        <v/>
      </c>
      <c r="AD8" s="126"/>
      <c r="AE8" s="126"/>
      <c r="AF8" s="125"/>
      <c r="AG8" s="28" t="str">
        <f>IF(COUNTBLANK(AD8:AE8)=AF$7,"",AVERAGE(AD8:AE8)*AD$6)</f>
        <v/>
      </c>
      <c r="AH8" s="205">
        <f>COUNTIF(H8:AG8,"&lt;&gt;=0")</f>
        <v>26</v>
      </c>
      <c r="AI8" s="75" t="str">
        <f>IF(COUNTBLANK(H8:AG8)=AH$8,"",SUM(K8,Q8,X8,AC8,AG8))</f>
        <v/>
      </c>
      <c r="AJ8" s="79" t="str">
        <f>IF(AI8="","",""&amp;IF(AI8&gt;=90,5,IF(AI8&gt;=70,4,IF(AI8&gt;=50,3,IF(AI8&gt;=20,2,IF(AI8&gt;0,1,IF(AI8=0,"")))))&amp;""))</f>
        <v/>
      </c>
      <c r="AK8" s="80"/>
      <c r="AL8" s="104"/>
      <c r="AM8" s="81"/>
      <c r="AN8" s="127"/>
      <c r="AO8" s="309"/>
      <c r="AP8" s="328"/>
      <c r="AQ8" s="328"/>
      <c r="AR8" s="328"/>
      <c r="AS8" s="328"/>
      <c r="AT8" s="328"/>
      <c r="AU8" s="310"/>
      <c r="AV8" s="126"/>
      <c r="AW8" s="125"/>
      <c r="AX8" s="28" t="str">
        <f>IF(COUNTBLANK(AU8:AV8)=AW$6,"",AVERAGE(AU8:AV8)*AU$6)</f>
        <v/>
      </c>
      <c r="AY8" s="126"/>
      <c r="AZ8" s="126"/>
      <c r="BA8" s="126"/>
      <c r="BB8" s="126"/>
      <c r="BC8" s="125"/>
      <c r="BD8" s="28" t="str">
        <f>IF(COUNTBLANK(AY8:BB8)=$BC$6,"",AVERAGE(AY8:BB8)*$L$6)</f>
        <v/>
      </c>
      <c r="BE8" s="126"/>
      <c r="BF8" s="126"/>
      <c r="BG8" s="126"/>
      <c r="BH8" s="126"/>
      <c r="BI8" s="126"/>
      <c r="BJ8" s="125"/>
      <c r="BK8" s="28" t="str">
        <f t="shared" ref="BK8" si="0">IF(COUNTBLANK(BE8:BI8)=BJ$6,"",AVERAGE(BE8:BI8)*BE$6)</f>
        <v/>
      </c>
      <c r="BL8" s="126"/>
      <c r="BM8" s="126"/>
      <c r="BN8" s="126"/>
      <c r="BO8" s="125"/>
      <c r="BP8" s="28" t="str">
        <f>IF(COUNTBLANK(BL8:BN8)=BO$6,"",AVERAGE(BL8:BN8)*BL$6)</f>
        <v/>
      </c>
      <c r="BQ8" s="126"/>
      <c r="BR8" s="126"/>
      <c r="BS8" s="125"/>
      <c r="BT8" s="28" t="str">
        <f t="shared" ref="BT8" si="1">IF(COUNTBLANK(BQ8:BR8)=BS$6,"",AVERAGE(BQ8:BR8)*BQ$6)</f>
        <v/>
      </c>
      <c r="BU8" s="205">
        <f>COUNTIF(AU8:BT8,"&lt;&gt;=0")</f>
        <v>26</v>
      </c>
      <c r="BV8" s="75" t="str">
        <f>IF(COUNTBLANK(AU8:BT8)=BU$8,"",SUM(AX8,BD8,BK8,BP8,BT8))</f>
        <v/>
      </c>
      <c r="BW8" s="75" t="str">
        <f>IF(BV8="","",""&amp;IF(BV8&gt;=90,5,IF(BV8&gt;=70,4,IF(BV8&gt;=50,3,IF(BV8&gt;=20,2,IF(BV8&gt;0,1,IF(BV8=0,"")))))&amp;""))</f>
        <v/>
      </c>
      <c r="BX8" s="80"/>
      <c r="BY8" s="104"/>
      <c r="BZ8" s="88"/>
      <c r="CA8" s="127"/>
      <c r="CB8" s="309"/>
      <c r="CC8" s="328"/>
      <c r="CD8" s="328"/>
      <c r="CE8" s="328"/>
      <c r="CF8" s="328"/>
      <c r="CG8" s="328"/>
      <c r="CH8" s="310"/>
      <c r="CI8" s="126"/>
      <c r="CJ8" s="125"/>
      <c r="CK8" s="28" t="str">
        <f>IF(COUNTBLANK(CH8:CI8)=CJ$6,"",AVERAGE(CH8:CI8)*CH$6)</f>
        <v/>
      </c>
      <c r="CL8" s="126"/>
      <c r="CM8" s="126"/>
      <c r="CN8" s="126"/>
      <c r="CO8" s="126"/>
      <c r="CP8" s="125"/>
      <c r="CQ8" s="28" t="str">
        <f>IF(COUNTBLANK(CL8:CO8)=$P$6,"",AVERAGE(CL8:CO8)*$L$6)</f>
        <v/>
      </c>
      <c r="CR8" s="126"/>
      <c r="CS8" s="126"/>
      <c r="CT8" s="126"/>
      <c r="CU8" s="126"/>
      <c r="CV8" s="126"/>
      <c r="CW8" s="125"/>
      <c r="CX8" s="28" t="str">
        <f t="shared" ref="CX8" si="2">IF(COUNTBLANK(CR8:CV8)=CW$6,"",AVERAGE(CR8:CV8)*CR$6)</f>
        <v/>
      </c>
      <c r="CY8" s="126"/>
      <c r="CZ8" s="126"/>
      <c r="DA8" s="126"/>
      <c r="DB8" s="125"/>
      <c r="DC8" s="28" t="str">
        <f>IF(COUNTBLANK(CY8:DA8)=DB$6,"",AVERAGE(CY8:DA8)*CY$6)</f>
        <v/>
      </c>
      <c r="DD8" s="126"/>
      <c r="DE8" s="126"/>
      <c r="DF8" s="125"/>
      <c r="DG8" s="28" t="str">
        <f>IF(COUNTBLANK(DD8:DE8)=DF$6,"",AVERAGE(DD8:DE8)*DD$6)</f>
        <v/>
      </c>
      <c r="DH8" s="205"/>
      <c r="DI8" s="75" t="str">
        <f t="shared" ref="DI8" si="3">IF(COUNTBLANK(CH8:DG8)=DH$6,"",SUM(CK8,CQ8,CX8,DC8,DG8))</f>
        <v/>
      </c>
      <c r="DJ8" s="210" t="str">
        <f>CK8</f>
        <v/>
      </c>
      <c r="DK8" s="211" t="str">
        <f>Q8</f>
        <v/>
      </c>
      <c r="DL8" s="211" t="str">
        <f>BD8</f>
        <v/>
      </c>
      <c r="DM8" s="211" t="str">
        <f>CQ8</f>
        <v/>
      </c>
      <c r="DN8" s="211" t="str">
        <f>IF(COUNTBLANK(DK8:DM8)=DM$4,"",AVERAGE(DK8:DM8))</f>
        <v/>
      </c>
      <c r="DO8" s="211" t="str">
        <f>X8</f>
        <v/>
      </c>
      <c r="DP8" s="211" t="str">
        <f>BK8</f>
        <v/>
      </c>
      <c r="DQ8" s="211" t="str">
        <f>CX8</f>
        <v/>
      </c>
      <c r="DR8" s="211" t="str">
        <f>IF(COUNTBLANK(DO8:DQ8)=DQ$4,"",AVERAGE(DO8:DQ8))</f>
        <v/>
      </c>
      <c r="DS8" s="211" t="str">
        <f>AC8</f>
        <v/>
      </c>
      <c r="DT8" s="211" t="str">
        <f>BP8</f>
        <v/>
      </c>
      <c r="DU8" s="211" t="str">
        <f t="shared" ref="DU8" si="4">DC8</f>
        <v/>
      </c>
      <c r="DV8" s="211" t="str">
        <f>IF(COUNTBLANK(DS8:DU8)=DU$4,"",AVERAGE(DS8:DU8))</f>
        <v/>
      </c>
      <c r="DW8" s="211" t="str">
        <f>AG8</f>
        <v/>
      </c>
      <c r="DX8" s="211" t="str">
        <f>BT8</f>
        <v/>
      </c>
      <c r="DY8" s="211" t="str">
        <f>DG8</f>
        <v/>
      </c>
      <c r="DZ8" s="211" t="str">
        <f>IF(COUNTBLANK(DW8:DY8)=DY$4,"",AVERAGE(DW8:DY8))</f>
        <v/>
      </c>
      <c r="EA8" s="211"/>
      <c r="EB8" s="210" t="str">
        <f>IF(COUNTBLANK(DJ8:EA8)=EA$4,"",SUM(DJ8,DN8,DR8,DV8,DZ8))</f>
        <v/>
      </c>
      <c r="EC8" s="210" t="str">
        <f>IF(EB8="","",""&amp;IF(EB8&gt;=90,5,IF(EB8&gt;=70,4,IF(EB8&gt;=50,3,IF(EB8&gt;=20,2,IF(EB8&gt;0,1,IF(EB8=0,"")))))&amp;""))</f>
        <v/>
      </c>
      <c r="ED8" s="80"/>
      <c r="EE8" s="104"/>
      <c r="EF8" s="88"/>
      <c r="EG8" s="67">
        <f>COUNTIF(H8:DG8,"&lt;&gt;=0")</f>
        <v>104</v>
      </c>
      <c r="EH8" s="64"/>
      <c r="EI8" s="182"/>
      <c r="EJ8" s="183"/>
    </row>
    <row r="9" spans="1:141" ht="17.100000000000001" customHeight="1" x14ac:dyDescent="0.35">
      <c r="A9" s="60"/>
      <c r="B9" s="311"/>
      <c r="C9" s="324"/>
      <c r="D9" s="324"/>
      <c r="E9" s="324"/>
      <c r="F9" s="324"/>
      <c r="G9" s="324"/>
      <c r="H9" s="129"/>
      <c r="I9" s="129"/>
      <c r="J9" s="128"/>
      <c r="K9" s="21" t="str">
        <f t="shared" ref="K9:K40" si="5">IF(COUNTBLANK(H9:I9)=J$6,"",AVERAGE(H9:I9)*H$6)</f>
        <v/>
      </c>
      <c r="L9" s="129"/>
      <c r="M9" s="129"/>
      <c r="N9" s="129"/>
      <c r="O9" s="129"/>
      <c r="P9" s="128"/>
      <c r="Q9" s="21" t="str">
        <f>IF(COUNTBLANK(L9:O9)=$P$6,"",AVERAGE(L9:O9)*$L$6)</f>
        <v/>
      </c>
      <c r="R9" s="129"/>
      <c r="S9" s="129"/>
      <c r="T9" s="129"/>
      <c r="U9" s="129"/>
      <c r="V9" s="129"/>
      <c r="W9" s="128"/>
      <c r="X9" s="21" t="str">
        <f>IF(COUNTBLANK(R9:V9)=W$7,"",AVERAGE(R9:V9)*R$6)</f>
        <v/>
      </c>
      <c r="Y9" s="129"/>
      <c r="Z9" s="129"/>
      <c r="AA9" s="129"/>
      <c r="AB9" s="129"/>
      <c r="AC9" s="21" t="str">
        <f>IF(COUNTBLANK(Y9:AA9)=AB$6,"",AVERAGE(Y9:AA9)*Y$6)</f>
        <v/>
      </c>
      <c r="AD9" s="129"/>
      <c r="AE9" s="129"/>
      <c r="AF9" s="128"/>
      <c r="AG9" s="21" t="str">
        <f t="shared" ref="AG9:AG40" si="6">IF(COUNTBLANK(AD9:AE9)=AF$7,"",AVERAGE(AD9:AE9)*AD$6)</f>
        <v/>
      </c>
      <c r="AH9" s="128">
        <f t="shared" ref="AH9:AH40" si="7">COUNTIF(H9:AG9,"&lt;&gt;=0")</f>
        <v>26</v>
      </c>
      <c r="AI9" s="76" t="str">
        <f t="shared" ref="AI9:AI40" si="8">IF(COUNTBLANK(H9:AG9)=AH$8,"",SUM(K9,Q9,X9,AC9,AG9))</f>
        <v/>
      </c>
      <c r="AJ9" s="82" t="str">
        <f t="shared" ref="AJ9:AJ40" si="9">IF(AI9="","",""&amp;IF(AI9&gt;=90,5,IF(AI9&gt;=70,4,IF(AI9&gt;=50,3,IF(AI9&gt;=20,2,IF(AI9&gt;0,1,IF(AI9=0,"")))))&amp;""))</f>
        <v/>
      </c>
      <c r="AK9" s="83"/>
      <c r="AL9" s="105"/>
      <c r="AM9" s="84"/>
      <c r="AN9" s="130"/>
      <c r="AO9" s="311"/>
      <c r="AP9" s="324"/>
      <c r="AQ9" s="324"/>
      <c r="AR9" s="324"/>
      <c r="AS9" s="324"/>
      <c r="AT9" s="324"/>
      <c r="AU9" s="129"/>
      <c r="AV9" s="129"/>
      <c r="AW9" s="128"/>
      <c r="AX9" s="21" t="str">
        <f t="shared" ref="AX9:AX40" si="10">IF(COUNTBLANK(AU9:AV9)=AW$6,"",AVERAGE(AU9:AV9)*AU$6)</f>
        <v/>
      </c>
      <c r="AY9" s="129"/>
      <c r="AZ9" s="129"/>
      <c r="BA9" s="129"/>
      <c r="BB9" s="129"/>
      <c r="BC9" s="128"/>
      <c r="BD9" s="21" t="str">
        <f t="shared" ref="BD9:BD40" si="11">IF(COUNTBLANK(AY9:BB9)=$BC$6,"",AVERAGE(AY9:BB9)*$L$6)</f>
        <v/>
      </c>
      <c r="BE9" s="129"/>
      <c r="BF9" s="129"/>
      <c r="BG9" s="129"/>
      <c r="BH9" s="129"/>
      <c r="BI9" s="129"/>
      <c r="BJ9" s="128"/>
      <c r="BK9" s="21" t="str">
        <f t="shared" ref="BK9:BK40" si="12">IF(COUNTBLANK(BE9:BI9)=BJ$6,"",AVERAGE(BE9:BI9)*BE$6)</f>
        <v/>
      </c>
      <c r="BL9" s="129"/>
      <c r="BM9" s="129"/>
      <c r="BN9" s="129"/>
      <c r="BO9" s="184"/>
      <c r="BP9" s="169" t="str">
        <f t="shared" ref="BP9:BP40" si="13">IF(COUNTBLANK(BL9:BN9)=BO$6,"",AVERAGE(BL9:BN9)*BL$6)</f>
        <v/>
      </c>
      <c r="BQ9" s="129"/>
      <c r="BR9" s="129"/>
      <c r="BS9" s="128"/>
      <c r="BT9" s="21" t="str">
        <f t="shared" ref="BT9:BT40" si="14">IF(COUNTBLANK(BQ9:BR9)=BS$6,"",AVERAGE(BQ9:BR9)*BQ$6)</f>
        <v/>
      </c>
      <c r="BU9" s="21">
        <f t="shared" ref="BU9:BU40" si="15">COUNTIF(AU9:BT9,"&lt;&gt;=0")</f>
        <v>26</v>
      </c>
      <c r="BV9" s="170" t="str">
        <f t="shared" ref="BV9:BV40" si="16">IF(COUNTBLANK(AU9:BT9)=BU$8,"",SUM(AX9,BD9,BK9,BP9,BT9))</f>
        <v/>
      </c>
      <c r="BW9" s="170" t="str">
        <f t="shared" ref="BW9:BW40" si="17">IF(BV9="","",""&amp;IF(BV9&gt;=90,5,IF(BV9&gt;=70,4,IF(BV9&gt;=50,3,IF(BV9&gt;=20,2,IF(BV9&gt;0,1,IF(BV9=0,"")))))&amp;""))</f>
        <v/>
      </c>
      <c r="BX9" s="83"/>
      <c r="BY9" s="105"/>
      <c r="BZ9" s="89"/>
      <c r="CA9" s="130"/>
      <c r="CB9" s="311"/>
      <c r="CC9" s="324"/>
      <c r="CD9" s="324"/>
      <c r="CE9" s="324"/>
      <c r="CF9" s="324"/>
      <c r="CG9" s="324"/>
      <c r="CH9" s="129"/>
      <c r="CI9" s="129"/>
      <c r="CJ9" s="128"/>
      <c r="CK9" s="21" t="str">
        <f t="shared" ref="CK9:CK39" si="18">IF(COUNTBLANK(CH9:CI9)=CJ$6,"",AVERAGE(CH9:CI9)*CH$6)</f>
        <v/>
      </c>
      <c r="CL9" s="129"/>
      <c r="CM9" s="129"/>
      <c r="CN9" s="129"/>
      <c r="CO9" s="129"/>
      <c r="CP9" s="128"/>
      <c r="CQ9" s="21" t="str">
        <f t="shared" ref="CQ9:CQ39" si="19">IF(COUNTBLANK(CL9:CO9)=$P$6,"",AVERAGE(CL9:CO9)*$L$6)</f>
        <v/>
      </c>
      <c r="CR9" s="25"/>
      <c r="CS9" s="25"/>
      <c r="CT9" s="129"/>
      <c r="CU9" s="25"/>
      <c r="CV9" s="129"/>
      <c r="CW9" s="128"/>
      <c r="CX9" s="21" t="str">
        <f t="shared" ref="CX9:CX39" si="20">IF(COUNTBLANK(CR9:CV9)=CW$6,"",AVERAGE(CR9:CV9)*CR$6)</f>
        <v/>
      </c>
      <c r="CY9" s="129"/>
      <c r="CZ9" s="129"/>
      <c r="DA9" s="129"/>
      <c r="DB9" s="128"/>
      <c r="DC9" s="21" t="str">
        <f t="shared" ref="DC9:DC39" si="21">IF(COUNTBLANK(CY9:DA9)=DB$6,"",AVERAGE(CY9:DA9)*CY$6)</f>
        <v/>
      </c>
      <c r="DD9" s="129"/>
      <c r="DE9" s="129"/>
      <c r="DF9" s="128"/>
      <c r="DG9" s="21" t="str">
        <f t="shared" ref="DG9:DG39" si="22">IF(COUNTBLANK(DD9:DE9)=DF$6,"",AVERAGE(DD9:DE9)*DD$6)</f>
        <v/>
      </c>
      <c r="DH9" s="21"/>
      <c r="DI9" s="76" t="str">
        <f t="shared" ref="DI9:DI39" si="23">IF(COUNTBLANK(CH9:DG9)=DH$6,"",SUM(CK9,CQ9,CX9,DC9,DG9))</f>
        <v/>
      </c>
      <c r="DJ9" s="212" t="str">
        <f t="shared" ref="DJ9:DJ39" si="24">CK9</f>
        <v/>
      </c>
      <c r="DK9" s="212" t="str">
        <f t="shared" ref="DK9:DK39" si="25">Q9</f>
        <v/>
      </c>
      <c r="DL9" s="212" t="str">
        <f t="shared" ref="DL9:DL39" si="26">BD9</f>
        <v/>
      </c>
      <c r="DM9" s="212" t="str">
        <f t="shared" ref="DM9:DM39" si="27">CQ9</f>
        <v/>
      </c>
      <c r="DN9" s="212" t="str">
        <f t="shared" ref="DN9:DN39" si="28">IF(COUNTBLANK(DK9:DM9)=DM$4,"",AVERAGE(DK9:DM9))</f>
        <v/>
      </c>
      <c r="DO9" s="212" t="str">
        <f t="shared" ref="DO9:DO39" si="29">X9</f>
        <v/>
      </c>
      <c r="DP9" s="212" t="str">
        <f t="shared" ref="DP9:DP39" si="30">BK9</f>
        <v/>
      </c>
      <c r="DQ9" s="212" t="str">
        <f t="shared" ref="DQ9:DQ39" si="31">CX9</f>
        <v/>
      </c>
      <c r="DR9" s="212" t="str">
        <f t="shared" ref="DR9:DR39" si="32">IF(COUNTBLANK(DO9:DQ9)=DQ$4,"",AVERAGE(DO9:DQ9))</f>
        <v/>
      </c>
      <c r="DS9" s="212" t="str">
        <f t="shared" ref="DS9:DS39" si="33">AC9</f>
        <v/>
      </c>
      <c r="DT9" s="212" t="str">
        <f t="shared" ref="DT9:DT39" si="34">BP9</f>
        <v/>
      </c>
      <c r="DU9" s="212" t="str">
        <f t="shared" ref="DU9:DU39" si="35">DC9</f>
        <v/>
      </c>
      <c r="DV9" s="212" t="str">
        <f t="shared" ref="DV9:DV39" si="36">IF(COUNTBLANK(DS9:DU9)=DU$4,"",AVERAGE(DS9:DU9))</f>
        <v/>
      </c>
      <c r="DW9" s="212" t="str">
        <f t="shared" ref="DW9:DW39" si="37">AG9</f>
        <v/>
      </c>
      <c r="DX9" s="212" t="str">
        <f t="shared" ref="DX9:DX39" si="38">BT9</f>
        <v/>
      </c>
      <c r="DY9" s="212" t="str">
        <f t="shared" ref="DY9:DY39" si="39">DG9</f>
        <v/>
      </c>
      <c r="DZ9" s="212" t="str">
        <f t="shared" ref="DZ9:DZ39" si="40">IF(COUNTBLANK(DW9:DY9)=DY$4,"",AVERAGE(DW9:DY9))</f>
        <v/>
      </c>
      <c r="EA9" s="212"/>
      <c r="EB9" s="212" t="str">
        <f t="shared" ref="EB9:EB39" si="41">IF(COUNTBLANK(DJ9:EA9)=EA$4,"",SUM(DJ9,DN9,DR9,DV9,DZ9))</f>
        <v/>
      </c>
      <c r="EC9" s="212" t="str">
        <f t="shared" ref="EC9:EC40" si="42">IF(EB9="","",""&amp;IF(EB9&gt;=90,5,IF(EB9&gt;=70,4,IF(EB9&gt;=50,3,IF(EB9&gt;=20,2,IF(EB9&gt;0,1,IF(EB9=0,"")))))&amp;""))</f>
        <v/>
      </c>
      <c r="ED9" s="83"/>
      <c r="EE9" s="105"/>
      <c r="EF9" s="89"/>
      <c r="EG9" s="67">
        <f>COUNTIF(H8:DJ8,"&lt;&gt;=0")</f>
        <v>107</v>
      </c>
      <c r="EH9" s="131"/>
      <c r="EI9" s="73" t="s">
        <v>4</v>
      </c>
      <c r="EJ9" s="132"/>
    </row>
    <row r="10" spans="1:141" ht="17.100000000000001" customHeight="1" x14ac:dyDescent="0.25">
      <c r="A10" s="60"/>
      <c r="B10" s="312"/>
      <c r="C10" s="325"/>
      <c r="D10" s="325"/>
      <c r="E10" s="325"/>
      <c r="F10" s="325"/>
      <c r="G10" s="325"/>
      <c r="H10" s="136"/>
      <c r="I10" s="135"/>
      <c r="J10" s="134"/>
      <c r="K10" s="22" t="str">
        <f t="shared" si="5"/>
        <v/>
      </c>
      <c r="L10" s="135"/>
      <c r="M10" s="135"/>
      <c r="N10" s="136"/>
      <c r="O10" s="135"/>
      <c r="P10" s="134"/>
      <c r="Q10" s="22" t="str">
        <f t="shared" ref="Q10:Q40" si="43">IF(COUNTBLANK(L10:O10)=$P$6,"",AVERAGE(L10:O10)*$L$6)</f>
        <v/>
      </c>
      <c r="R10" s="136"/>
      <c r="S10" s="135"/>
      <c r="T10" s="135"/>
      <c r="U10" s="135"/>
      <c r="V10" s="135"/>
      <c r="W10" s="134"/>
      <c r="X10" s="22" t="str">
        <f t="shared" ref="X10:X40" si="44">IF(COUNTBLANK(R10:V10)=W$7,"",AVERAGE(R10:V10)*R$6)</f>
        <v/>
      </c>
      <c r="Y10" s="135"/>
      <c r="Z10" s="135"/>
      <c r="AA10" s="135"/>
      <c r="AB10" s="135"/>
      <c r="AC10" s="22" t="str">
        <f t="shared" ref="AC10:AC40" si="45">IF(COUNTBLANK(Y10:AA10)=AB$6,"",AVERAGE(Y10:AA10)*Y$6)</f>
        <v/>
      </c>
      <c r="AD10" s="136"/>
      <c r="AE10" s="136"/>
      <c r="AF10" s="133"/>
      <c r="AG10" s="22" t="str">
        <f t="shared" si="6"/>
        <v/>
      </c>
      <c r="AH10" s="206">
        <f t="shared" si="7"/>
        <v>26</v>
      </c>
      <c r="AI10" s="77" t="str">
        <f t="shared" si="8"/>
        <v/>
      </c>
      <c r="AJ10" s="85" t="str">
        <f t="shared" si="9"/>
        <v/>
      </c>
      <c r="AK10" s="86"/>
      <c r="AL10" s="106"/>
      <c r="AM10" s="87"/>
      <c r="AN10" s="130"/>
      <c r="AO10" s="312"/>
      <c r="AP10" s="325"/>
      <c r="AQ10" s="325"/>
      <c r="AR10" s="325"/>
      <c r="AS10" s="325"/>
      <c r="AT10" s="325"/>
      <c r="AU10" s="136"/>
      <c r="AV10" s="135"/>
      <c r="AW10" s="134"/>
      <c r="AX10" s="22" t="str">
        <f t="shared" si="10"/>
        <v/>
      </c>
      <c r="AY10" s="135"/>
      <c r="AZ10" s="135"/>
      <c r="BA10" s="136"/>
      <c r="BB10" s="135"/>
      <c r="BC10" s="134"/>
      <c r="BD10" s="22" t="str">
        <f t="shared" si="11"/>
        <v/>
      </c>
      <c r="BE10" s="136"/>
      <c r="BF10" s="135"/>
      <c r="BG10" s="135"/>
      <c r="BH10" s="135"/>
      <c r="BI10" s="135"/>
      <c r="BJ10" s="134"/>
      <c r="BK10" s="22" t="str">
        <f t="shared" si="12"/>
        <v/>
      </c>
      <c r="BL10" s="135"/>
      <c r="BM10" s="135"/>
      <c r="BN10" s="135"/>
      <c r="BO10" s="185"/>
      <c r="BP10" s="171" t="str">
        <f t="shared" si="13"/>
        <v/>
      </c>
      <c r="BQ10" s="136"/>
      <c r="BR10" s="136"/>
      <c r="BS10" s="133"/>
      <c r="BT10" s="22" t="str">
        <f t="shared" si="14"/>
        <v/>
      </c>
      <c r="BU10" s="208">
        <f t="shared" si="15"/>
        <v>26</v>
      </c>
      <c r="BV10" s="172" t="str">
        <f t="shared" si="16"/>
        <v/>
      </c>
      <c r="BW10" s="172" t="str">
        <f t="shared" si="17"/>
        <v/>
      </c>
      <c r="BX10" s="86"/>
      <c r="BY10" s="106"/>
      <c r="BZ10" s="90"/>
      <c r="CA10" s="130"/>
      <c r="CB10" s="312"/>
      <c r="CC10" s="325"/>
      <c r="CD10" s="325"/>
      <c r="CE10" s="325"/>
      <c r="CF10" s="325"/>
      <c r="CG10" s="325"/>
      <c r="CH10" s="136"/>
      <c r="CI10" s="135"/>
      <c r="CJ10" s="134"/>
      <c r="CK10" s="22" t="str">
        <f t="shared" si="18"/>
        <v/>
      </c>
      <c r="CL10" s="135"/>
      <c r="CM10" s="135"/>
      <c r="CN10" s="136"/>
      <c r="CO10" s="135"/>
      <c r="CP10" s="134"/>
      <c r="CQ10" s="22" t="str">
        <f t="shared" si="19"/>
        <v/>
      </c>
      <c r="CR10" s="26"/>
      <c r="CS10" s="26"/>
      <c r="CT10" s="135"/>
      <c r="CU10" s="26"/>
      <c r="CV10" s="135"/>
      <c r="CW10" s="134"/>
      <c r="CX10" s="22" t="str">
        <f t="shared" si="20"/>
        <v/>
      </c>
      <c r="CY10" s="135"/>
      <c r="CZ10" s="135"/>
      <c r="DA10" s="135"/>
      <c r="DB10" s="134"/>
      <c r="DC10" s="22" t="str">
        <f t="shared" si="21"/>
        <v/>
      </c>
      <c r="DD10" s="136"/>
      <c r="DE10" s="136"/>
      <c r="DF10" s="133"/>
      <c r="DG10" s="22" t="str">
        <f t="shared" si="22"/>
        <v/>
      </c>
      <c r="DH10" s="208"/>
      <c r="DI10" s="77" t="str">
        <f t="shared" si="23"/>
        <v/>
      </c>
      <c r="DJ10" s="213" t="str">
        <f t="shared" si="24"/>
        <v/>
      </c>
      <c r="DK10" s="213" t="str">
        <f t="shared" si="25"/>
        <v/>
      </c>
      <c r="DL10" s="213" t="str">
        <f t="shared" si="26"/>
        <v/>
      </c>
      <c r="DM10" s="213" t="str">
        <f t="shared" si="27"/>
        <v/>
      </c>
      <c r="DN10" s="213" t="str">
        <f t="shared" si="28"/>
        <v/>
      </c>
      <c r="DO10" s="213" t="str">
        <f t="shared" si="29"/>
        <v/>
      </c>
      <c r="DP10" s="213" t="str">
        <f t="shared" si="30"/>
        <v/>
      </c>
      <c r="DQ10" s="213" t="str">
        <f t="shared" si="31"/>
        <v/>
      </c>
      <c r="DR10" s="213" t="str">
        <f t="shared" si="32"/>
        <v/>
      </c>
      <c r="DS10" s="213" t="str">
        <f t="shared" si="33"/>
        <v/>
      </c>
      <c r="DT10" s="213" t="str">
        <f t="shared" si="34"/>
        <v/>
      </c>
      <c r="DU10" s="213" t="str">
        <f t="shared" si="35"/>
        <v/>
      </c>
      <c r="DV10" s="213" t="str">
        <f t="shared" si="36"/>
        <v/>
      </c>
      <c r="DW10" s="213" t="str">
        <f t="shared" si="37"/>
        <v/>
      </c>
      <c r="DX10" s="213" t="str">
        <f t="shared" si="38"/>
        <v/>
      </c>
      <c r="DY10" s="213" t="str">
        <f t="shared" si="39"/>
        <v/>
      </c>
      <c r="DZ10" s="213" t="str">
        <f t="shared" si="40"/>
        <v/>
      </c>
      <c r="EA10" s="213"/>
      <c r="EB10" s="214" t="str">
        <f t="shared" si="41"/>
        <v/>
      </c>
      <c r="EC10" s="214" t="str">
        <f t="shared" si="42"/>
        <v/>
      </c>
      <c r="ED10" s="86"/>
      <c r="EE10" s="106"/>
      <c r="EF10" s="90"/>
      <c r="EG10" s="67">
        <f>COUNTIF(H8:DN8,"&lt;&gt;=0")</f>
        <v>111</v>
      </c>
      <c r="EH10" s="131"/>
      <c r="EI10" s="72" t="s">
        <v>117</v>
      </c>
      <c r="EJ10" s="74" t="s">
        <v>118</v>
      </c>
    </row>
    <row r="11" spans="1:141" ht="17.100000000000001" customHeight="1" x14ac:dyDescent="0.25">
      <c r="A11" s="60"/>
      <c r="B11" s="311"/>
      <c r="C11" s="324"/>
      <c r="D11" s="324"/>
      <c r="E11" s="324"/>
      <c r="F11" s="324"/>
      <c r="G11" s="324"/>
      <c r="H11" s="129"/>
      <c r="I11" s="129"/>
      <c r="J11" s="128"/>
      <c r="K11" s="21" t="str">
        <f t="shared" si="5"/>
        <v/>
      </c>
      <c r="L11" s="129"/>
      <c r="M11" s="129"/>
      <c r="N11" s="129"/>
      <c r="O11" s="129"/>
      <c r="P11" s="128"/>
      <c r="Q11" s="21" t="str">
        <f t="shared" si="43"/>
        <v/>
      </c>
      <c r="R11" s="129"/>
      <c r="S11" s="129"/>
      <c r="T11" s="129"/>
      <c r="U11" s="129"/>
      <c r="V11" s="129"/>
      <c r="W11" s="128"/>
      <c r="X11" s="21" t="str">
        <f t="shared" si="44"/>
        <v/>
      </c>
      <c r="Y11" s="129"/>
      <c r="Z11" s="129"/>
      <c r="AA11" s="129"/>
      <c r="AB11" s="129"/>
      <c r="AC11" s="21" t="str">
        <f t="shared" si="45"/>
        <v/>
      </c>
      <c r="AD11" s="129"/>
      <c r="AE11" s="129"/>
      <c r="AF11" s="128"/>
      <c r="AG11" s="21" t="str">
        <f t="shared" si="6"/>
        <v/>
      </c>
      <c r="AH11" s="128">
        <f t="shared" si="7"/>
        <v>26</v>
      </c>
      <c r="AI11" s="76" t="str">
        <f t="shared" si="8"/>
        <v/>
      </c>
      <c r="AJ11" s="82" t="str">
        <f t="shared" si="9"/>
        <v/>
      </c>
      <c r="AK11" s="83"/>
      <c r="AL11" s="105"/>
      <c r="AM11" s="84"/>
      <c r="AN11" s="130"/>
      <c r="AO11" s="311"/>
      <c r="AP11" s="324"/>
      <c r="AQ11" s="324"/>
      <c r="AR11" s="324"/>
      <c r="AS11" s="324"/>
      <c r="AT11" s="324"/>
      <c r="AU11" s="129"/>
      <c r="AV11" s="129"/>
      <c r="AW11" s="128"/>
      <c r="AX11" s="21" t="str">
        <f t="shared" si="10"/>
        <v/>
      </c>
      <c r="AY11" s="129"/>
      <c r="AZ11" s="129"/>
      <c r="BA11" s="129"/>
      <c r="BB11" s="129"/>
      <c r="BC11" s="128"/>
      <c r="BD11" s="21" t="str">
        <f t="shared" si="11"/>
        <v/>
      </c>
      <c r="BE11" s="129"/>
      <c r="BF11" s="129"/>
      <c r="BG11" s="129"/>
      <c r="BH11" s="129"/>
      <c r="BI11" s="129"/>
      <c r="BJ11" s="128"/>
      <c r="BK11" s="21" t="str">
        <f t="shared" si="12"/>
        <v/>
      </c>
      <c r="BL11" s="129"/>
      <c r="BM11" s="129"/>
      <c r="BN11" s="129"/>
      <c r="BO11" s="184"/>
      <c r="BP11" s="169" t="str">
        <f t="shared" si="13"/>
        <v/>
      </c>
      <c r="BQ11" s="129"/>
      <c r="BR11" s="129"/>
      <c r="BS11" s="128"/>
      <c r="BT11" s="21" t="str">
        <f t="shared" si="14"/>
        <v/>
      </c>
      <c r="BU11" s="21">
        <f t="shared" si="15"/>
        <v>26</v>
      </c>
      <c r="BV11" s="170" t="str">
        <f t="shared" si="16"/>
        <v/>
      </c>
      <c r="BW11" s="170" t="str">
        <f t="shared" si="17"/>
        <v/>
      </c>
      <c r="BX11" s="83"/>
      <c r="BY11" s="105"/>
      <c r="BZ11" s="89"/>
      <c r="CA11" s="130"/>
      <c r="CB11" s="311"/>
      <c r="CC11" s="324"/>
      <c r="CD11" s="324"/>
      <c r="CE11" s="324"/>
      <c r="CF11" s="324"/>
      <c r="CG11" s="324"/>
      <c r="CH11" s="129"/>
      <c r="CI11" s="129"/>
      <c r="CJ11" s="128"/>
      <c r="CK11" s="21" t="str">
        <f t="shared" si="18"/>
        <v/>
      </c>
      <c r="CL11" s="129"/>
      <c r="CM11" s="129"/>
      <c r="CN11" s="129"/>
      <c r="CO11" s="129"/>
      <c r="CP11" s="128"/>
      <c r="CQ11" s="21" t="str">
        <f t="shared" si="19"/>
        <v/>
      </c>
      <c r="CR11" s="25"/>
      <c r="CS11" s="25"/>
      <c r="CT11" s="129"/>
      <c r="CU11" s="25"/>
      <c r="CV11" s="129"/>
      <c r="CW11" s="128"/>
      <c r="CX11" s="21" t="str">
        <f t="shared" si="20"/>
        <v/>
      </c>
      <c r="CY11" s="129"/>
      <c r="CZ11" s="129"/>
      <c r="DA11" s="129"/>
      <c r="DB11" s="128"/>
      <c r="DC11" s="21" t="str">
        <f t="shared" si="21"/>
        <v/>
      </c>
      <c r="DD11" s="129"/>
      <c r="DE11" s="129"/>
      <c r="DF11" s="128"/>
      <c r="DG11" s="21" t="str">
        <f t="shared" si="22"/>
        <v/>
      </c>
      <c r="DH11" s="21"/>
      <c r="DI11" s="76" t="str">
        <f t="shared" si="23"/>
        <v/>
      </c>
      <c r="DJ11" s="212" t="str">
        <f t="shared" si="24"/>
        <v/>
      </c>
      <c r="DK11" s="212" t="str">
        <f t="shared" si="25"/>
        <v/>
      </c>
      <c r="DL11" s="212" t="str">
        <f t="shared" si="26"/>
        <v/>
      </c>
      <c r="DM11" s="212" t="str">
        <f t="shared" si="27"/>
        <v/>
      </c>
      <c r="DN11" s="212" t="str">
        <f t="shared" si="28"/>
        <v/>
      </c>
      <c r="DO11" s="212" t="str">
        <f t="shared" si="29"/>
        <v/>
      </c>
      <c r="DP11" s="212" t="str">
        <f t="shared" si="30"/>
        <v/>
      </c>
      <c r="DQ11" s="212" t="str">
        <f t="shared" si="31"/>
        <v/>
      </c>
      <c r="DR11" s="212" t="str">
        <f t="shared" si="32"/>
        <v/>
      </c>
      <c r="DS11" s="212" t="str">
        <f t="shared" si="33"/>
        <v/>
      </c>
      <c r="DT11" s="212" t="str">
        <f t="shared" si="34"/>
        <v/>
      </c>
      <c r="DU11" s="212" t="str">
        <f t="shared" si="35"/>
        <v/>
      </c>
      <c r="DV11" s="212" t="str">
        <f t="shared" si="36"/>
        <v/>
      </c>
      <c r="DW11" s="212" t="str">
        <f t="shared" si="37"/>
        <v/>
      </c>
      <c r="DX11" s="212" t="str">
        <f t="shared" si="38"/>
        <v/>
      </c>
      <c r="DY11" s="212" t="str">
        <f t="shared" si="39"/>
        <v/>
      </c>
      <c r="DZ11" s="212" t="str">
        <f t="shared" si="40"/>
        <v/>
      </c>
      <c r="EA11" s="212"/>
      <c r="EB11" s="212" t="str">
        <f t="shared" si="41"/>
        <v/>
      </c>
      <c r="EC11" s="212" t="str">
        <f t="shared" si="42"/>
        <v/>
      </c>
      <c r="ED11" s="83"/>
      <c r="EE11" s="105"/>
      <c r="EF11" s="89"/>
      <c r="EG11" s="67">
        <f>COUNTIF(H8:DR8,"&lt;&gt;=0")</f>
        <v>115</v>
      </c>
      <c r="EH11" s="131"/>
      <c r="EI11" s="72" t="s">
        <v>119</v>
      </c>
      <c r="EJ11" s="74" t="s">
        <v>120</v>
      </c>
    </row>
    <row r="12" spans="1:141" ht="17.100000000000001" customHeight="1" x14ac:dyDescent="0.25">
      <c r="A12" s="60"/>
      <c r="B12" s="312"/>
      <c r="C12" s="325"/>
      <c r="D12" s="325"/>
      <c r="E12" s="325"/>
      <c r="F12" s="325"/>
      <c r="G12" s="325"/>
      <c r="H12" s="136"/>
      <c r="I12" s="135"/>
      <c r="J12" s="134"/>
      <c r="K12" s="22" t="str">
        <f t="shared" si="5"/>
        <v/>
      </c>
      <c r="L12" s="135"/>
      <c r="M12" s="135"/>
      <c r="N12" s="136"/>
      <c r="O12" s="135"/>
      <c r="P12" s="134"/>
      <c r="Q12" s="22" t="str">
        <f t="shared" si="43"/>
        <v/>
      </c>
      <c r="R12" s="136"/>
      <c r="S12" s="135"/>
      <c r="T12" s="135"/>
      <c r="U12" s="135"/>
      <c r="V12" s="135"/>
      <c r="W12" s="134"/>
      <c r="X12" s="22" t="str">
        <f t="shared" si="44"/>
        <v/>
      </c>
      <c r="Y12" s="135"/>
      <c r="Z12" s="135"/>
      <c r="AA12" s="135"/>
      <c r="AB12" s="135"/>
      <c r="AC12" s="22" t="str">
        <f t="shared" si="45"/>
        <v/>
      </c>
      <c r="AD12" s="136"/>
      <c r="AE12" s="136"/>
      <c r="AF12" s="133"/>
      <c r="AG12" s="22" t="str">
        <f t="shared" si="6"/>
        <v/>
      </c>
      <c r="AH12" s="206">
        <f t="shared" si="7"/>
        <v>26</v>
      </c>
      <c r="AI12" s="77" t="str">
        <f t="shared" si="8"/>
        <v/>
      </c>
      <c r="AJ12" s="85" t="str">
        <f t="shared" si="9"/>
        <v/>
      </c>
      <c r="AK12" s="86"/>
      <c r="AL12" s="106"/>
      <c r="AM12" s="87"/>
      <c r="AN12" s="130"/>
      <c r="AO12" s="312"/>
      <c r="AP12" s="325"/>
      <c r="AQ12" s="325"/>
      <c r="AR12" s="325"/>
      <c r="AS12" s="325"/>
      <c r="AT12" s="325"/>
      <c r="AU12" s="136"/>
      <c r="AV12" s="135"/>
      <c r="AW12" s="134"/>
      <c r="AX12" s="22" t="str">
        <f t="shared" si="10"/>
        <v/>
      </c>
      <c r="AY12" s="135"/>
      <c r="AZ12" s="135"/>
      <c r="BA12" s="136"/>
      <c r="BB12" s="135"/>
      <c r="BC12" s="134"/>
      <c r="BD12" s="22" t="str">
        <f t="shared" si="11"/>
        <v/>
      </c>
      <c r="BE12" s="136"/>
      <c r="BF12" s="135"/>
      <c r="BG12" s="135"/>
      <c r="BH12" s="135"/>
      <c r="BI12" s="135"/>
      <c r="BJ12" s="134"/>
      <c r="BK12" s="22" t="str">
        <f t="shared" si="12"/>
        <v/>
      </c>
      <c r="BL12" s="135"/>
      <c r="BM12" s="135"/>
      <c r="BN12" s="135"/>
      <c r="BO12" s="185"/>
      <c r="BP12" s="171" t="str">
        <f t="shared" si="13"/>
        <v/>
      </c>
      <c r="BQ12" s="136"/>
      <c r="BR12" s="136"/>
      <c r="BS12" s="133"/>
      <c r="BT12" s="22" t="str">
        <f t="shared" si="14"/>
        <v/>
      </c>
      <c r="BU12" s="208">
        <f t="shared" si="15"/>
        <v>26</v>
      </c>
      <c r="BV12" s="172" t="str">
        <f t="shared" si="16"/>
        <v/>
      </c>
      <c r="BW12" s="172" t="str">
        <f t="shared" si="17"/>
        <v/>
      </c>
      <c r="BX12" s="86"/>
      <c r="BY12" s="106"/>
      <c r="BZ12" s="90"/>
      <c r="CA12" s="130"/>
      <c r="CB12" s="312"/>
      <c r="CC12" s="325"/>
      <c r="CD12" s="325"/>
      <c r="CE12" s="325"/>
      <c r="CF12" s="325"/>
      <c r="CG12" s="325"/>
      <c r="CH12" s="136"/>
      <c r="CI12" s="135"/>
      <c r="CJ12" s="134"/>
      <c r="CK12" s="22" t="str">
        <f t="shared" si="18"/>
        <v/>
      </c>
      <c r="CL12" s="135"/>
      <c r="CM12" s="135"/>
      <c r="CN12" s="136"/>
      <c r="CO12" s="135"/>
      <c r="CP12" s="134"/>
      <c r="CQ12" s="22" t="str">
        <f t="shared" si="19"/>
        <v/>
      </c>
      <c r="CR12" s="26"/>
      <c r="CS12" s="26"/>
      <c r="CT12" s="135"/>
      <c r="CU12" s="26"/>
      <c r="CV12" s="135"/>
      <c r="CW12" s="134"/>
      <c r="CX12" s="22" t="str">
        <f t="shared" si="20"/>
        <v/>
      </c>
      <c r="CY12" s="135"/>
      <c r="CZ12" s="135"/>
      <c r="DA12" s="135"/>
      <c r="DB12" s="134"/>
      <c r="DC12" s="22" t="str">
        <f t="shared" si="21"/>
        <v/>
      </c>
      <c r="DD12" s="136"/>
      <c r="DE12" s="136"/>
      <c r="DF12" s="133"/>
      <c r="DG12" s="22" t="str">
        <f t="shared" si="22"/>
        <v/>
      </c>
      <c r="DH12" s="208"/>
      <c r="DI12" s="77" t="str">
        <f t="shared" si="23"/>
        <v/>
      </c>
      <c r="DJ12" s="213" t="str">
        <f t="shared" si="24"/>
        <v/>
      </c>
      <c r="DK12" s="213" t="str">
        <f t="shared" si="25"/>
        <v/>
      </c>
      <c r="DL12" s="213" t="str">
        <f t="shared" si="26"/>
        <v/>
      </c>
      <c r="DM12" s="213" t="str">
        <f t="shared" si="27"/>
        <v/>
      </c>
      <c r="DN12" s="213" t="str">
        <f t="shared" si="28"/>
        <v/>
      </c>
      <c r="DO12" s="213" t="str">
        <f t="shared" si="29"/>
        <v/>
      </c>
      <c r="DP12" s="213" t="str">
        <f t="shared" si="30"/>
        <v/>
      </c>
      <c r="DQ12" s="213" t="str">
        <f t="shared" si="31"/>
        <v/>
      </c>
      <c r="DR12" s="213" t="str">
        <f t="shared" si="32"/>
        <v/>
      </c>
      <c r="DS12" s="213" t="str">
        <f t="shared" si="33"/>
        <v/>
      </c>
      <c r="DT12" s="213" t="str">
        <f t="shared" si="34"/>
        <v/>
      </c>
      <c r="DU12" s="213" t="str">
        <f t="shared" si="35"/>
        <v/>
      </c>
      <c r="DV12" s="213" t="str">
        <f t="shared" si="36"/>
        <v/>
      </c>
      <c r="DW12" s="213" t="str">
        <f t="shared" si="37"/>
        <v/>
      </c>
      <c r="DX12" s="213" t="str">
        <f t="shared" si="38"/>
        <v/>
      </c>
      <c r="DY12" s="213" t="str">
        <f t="shared" si="39"/>
        <v/>
      </c>
      <c r="DZ12" s="213" t="str">
        <f t="shared" si="40"/>
        <v/>
      </c>
      <c r="EA12" s="213"/>
      <c r="EB12" s="214" t="str">
        <f t="shared" si="41"/>
        <v/>
      </c>
      <c r="EC12" s="214" t="str">
        <f t="shared" si="42"/>
        <v/>
      </c>
      <c r="ED12" s="86"/>
      <c r="EE12" s="106"/>
      <c r="EF12" s="90"/>
      <c r="EG12" s="67">
        <f>COUNTIF(H8:DV8,"&lt;&gt;=0")</f>
        <v>119</v>
      </c>
      <c r="EH12" s="131"/>
      <c r="EI12" s="72" t="s">
        <v>121</v>
      </c>
      <c r="EJ12" s="74" t="s">
        <v>122</v>
      </c>
    </row>
    <row r="13" spans="1:141" ht="17.100000000000001" customHeight="1" x14ac:dyDescent="0.25">
      <c r="A13" s="60"/>
      <c r="B13" s="311"/>
      <c r="C13" s="324"/>
      <c r="D13" s="324"/>
      <c r="E13" s="324"/>
      <c r="F13" s="324"/>
      <c r="G13" s="324"/>
      <c r="H13" s="129"/>
      <c r="I13" s="129"/>
      <c r="J13" s="128"/>
      <c r="K13" s="21" t="str">
        <f t="shared" si="5"/>
        <v/>
      </c>
      <c r="L13" s="129"/>
      <c r="M13" s="129"/>
      <c r="N13" s="129"/>
      <c r="O13" s="129"/>
      <c r="P13" s="128"/>
      <c r="Q13" s="21" t="str">
        <f t="shared" si="43"/>
        <v/>
      </c>
      <c r="R13" s="129"/>
      <c r="S13" s="129"/>
      <c r="T13" s="129"/>
      <c r="U13" s="129"/>
      <c r="V13" s="129"/>
      <c r="W13" s="128"/>
      <c r="X13" s="21" t="str">
        <f t="shared" si="44"/>
        <v/>
      </c>
      <c r="Y13" s="129"/>
      <c r="Z13" s="129"/>
      <c r="AA13" s="129"/>
      <c r="AB13" s="129"/>
      <c r="AC13" s="21" t="str">
        <f t="shared" si="45"/>
        <v/>
      </c>
      <c r="AD13" s="129"/>
      <c r="AE13" s="129"/>
      <c r="AF13" s="128"/>
      <c r="AG13" s="21" t="str">
        <f t="shared" si="6"/>
        <v/>
      </c>
      <c r="AH13" s="128">
        <f t="shared" si="7"/>
        <v>26</v>
      </c>
      <c r="AI13" s="76" t="str">
        <f t="shared" si="8"/>
        <v/>
      </c>
      <c r="AJ13" s="82" t="str">
        <f t="shared" si="9"/>
        <v/>
      </c>
      <c r="AK13" s="83"/>
      <c r="AL13" s="105"/>
      <c r="AM13" s="84"/>
      <c r="AN13" s="130"/>
      <c r="AO13" s="311"/>
      <c r="AP13" s="324"/>
      <c r="AQ13" s="324"/>
      <c r="AR13" s="324"/>
      <c r="AS13" s="324"/>
      <c r="AT13" s="324"/>
      <c r="AU13" s="129"/>
      <c r="AV13" s="129"/>
      <c r="AW13" s="128"/>
      <c r="AX13" s="21" t="str">
        <f t="shared" si="10"/>
        <v/>
      </c>
      <c r="AY13" s="129"/>
      <c r="AZ13" s="129"/>
      <c r="BA13" s="129"/>
      <c r="BB13" s="129"/>
      <c r="BC13" s="128"/>
      <c r="BD13" s="21" t="str">
        <f t="shared" si="11"/>
        <v/>
      </c>
      <c r="BE13" s="129"/>
      <c r="BF13" s="129"/>
      <c r="BG13" s="129"/>
      <c r="BH13" s="129"/>
      <c r="BI13" s="129"/>
      <c r="BJ13" s="128"/>
      <c r="BK13" s="21" t="str">
        <f t="shared" si="12"/>
        <v/>
      </c>
      <c r="BL13" s="129"/>
      <c r="BM13" s="129"/>
      <c r="BN13" s="129"/>
      <c r="BO13" s="184"/>
      <c r="BP13" s="169" t="str">
        <f t="shared" si="13"/>
        <v/>
      </c>
      <c r="BQ13" s="129"/>
      <c r="BR13" s="129"/>
      <c r="BS13" s="128"/>
      <c r="BT13" s="21" t="str">
        <f t="shared" si="14"/>
        <v/>
      </c>
      <c r="BU13" s="21">
        <f t="shared" si="15"/>
        <v>26</v>
      </c>
      <c r="BV13" s="170" t="str">
        <f t="shared" si="16"/>
        <v/>
      </c>
      <c r="BW13" s="170" t="str">
        <f t="shared" si="17"/>
        <v/>
      </c>
      <c r="BX13" s="83"/>
      <c r="BY13" s="105"/>
      <c r="BZ13" s="89"/>
      <c r="CA13" s="130"/>
      <c r="CB13" s="311"/>
      <c r="CC13" s="324"/>
      <c r="CD13" s="324"/>
      <c r="CE13" s="324"/>
      <c r="CF13" s="324"/>
      <c r="CG13" s="324"/>
      <c r="CH13" s="129"/>
      <c r="CI13" s="129"/>
      <c r="CJ13" s="128"/>
      <c r="CK13" s="21" t="str">
        <f t="shared" si="18"/>
        <v/>
      </c>
      <c r="CL13" s="129"/>
      <c r="CM13" s="129"/>
      <c r="CN13" s="129"/>
      <c r="CO13" s="129"/>
      <c r="CP13" s="128"/>
      <c r="CQ13" s="21" t="str">
        <f t="shared" si="19"/>
        <v/>
      </c>
      <c r="CR13" s="25"/>
      <c r="CS13" s="25"/>
      <c r="CT13" s="129"/>
      <c r="CU13" s="25"/>
      <c r="CV13" s="129"/>
      <c r="CW13" s="128"/>
      <c r="CX13" s="21" t="str">
        <f t="shared" si="20"/>
        <v/>
      </c>
      <c r="CY13" s="129"/>
      <c r="CZ13" s="129"/>
      <c r="DA13" s="129"/>
      <c r="DB13" s="128"/>
      <c r="DC13" s="21" t="str">
        <f t="shared" si="21"/>
        <v/>
      </c>
      <c r="DD13" s="129"/>
      <c r="DE13" s="129"/>
      <c r="DF13" s="128"/>
      <c r="DG13" s="21" t="str">
        <f t="shared" si="22"/>
        <v/>
      </c>
      <c r="DH13" s="21"/>
      <c r="DI13" s="76" t="str">
        <f t="shared" si="23"/>
        <v/>
      </c>
      <c r="DJ13" s="212" t="str">
        <f t="shared" si="24"/>
        <v/>
      </c>
      <c r="DK13" s="212" t="str">
        <f t="shared" si="25"/>
        <v/>
      </c>
      <c r="DL13" s="212" t="str">
        <f t="shared" si="26"/>
        <v/>
      </c>
      <c r="DM13" s="212" t="str">
        <f t="shared" si="27"/>
        <v/>
      </c>
      <c r="DN13" s="212" t="str">
        <f t="shared" si="28"/>
        <v/>
      </c>
      <c r="DO13" s="212" t="str">
        <f t="shared" si="29"/>
        <v/>
      </c>
      <c r="DP13" s="212" t="str">
        <f t="shared" si="30"/>
        <v/>
      </c>
      <c r="DQ13" s="212" t="str">
        <f t="shared" si="31"/>
        <v/>
      </c>
      <c r="DR13" s="212" t="str">
        <f t="shared" si="32"/>
        <v/>
      </c>
      <c r="DS13" s="212" t="str">
        <f t="shared" si="33"/>
        <v/>
      </c>
      <c r="DT13" s="212" t="str">
        <f t="shared" si="34"/>
        <v/>
      </c>
      <c r="DU13" s="212" t="str">
        <f t="shared" si="35"/>
        <v/>
      </c>
      <c r="DV13" s="212" t="str">
        <f t="shared" si="36"/>
        <v/>
      </c>
      <c r="DW13" s="212" t="str">
        <f t="shared" si="37"/>
        <v/>
      </c>
      <c r="DX13" s="212" t="str">
        <f t="shared" si="38"/>
        <v/>
      </c>
      <c r="DY13" s="212" t="str">
        <f t="shared" si="39"/>
        <v/>
      </c>
      <c r="DZ13" s="212" t="str">
        <f t="shared" si="40"/>
        <v/>
      </c>
      <c r="EA13" s="212"/>
      <c r="EB13" s="212" t="str">
        <f t="shared" si="41"/>
        <v/>
      </c>
      <c r="EC13" s="212" t="str">
        <f t="shared" si="42"/>
        <v/>
      </c>
      <c r="ED13" s="83"/>
      <c r="EE13" s="105"/>
      <c r="EF13" s="89"/>
      <c r="EG13" s="67">
        <f>COUNTIF(H8:DZ8,"&lt;&gt;=0")</f>
        <v>123</v>
      </c>
      <c r="EH13" s="131"/>
      <c r="EI13" s="72" t="s">
        <v>123</v>
      </c>
      <c r="EJ13" s="74" t="s">
        <v>124</v>
      </c>
    </row>
    <row r="14" spans="1:141" ht="17.100000000000001" customHeight="1" x14ac:dyDescent="0.25">
      <c r="A14" s="60"/>
      <c r="B14" s="312"/>
      <c r="C14" s="325"/>
      <c r="D14" s="325"/>
      <c r="E14" s="325"/>
      <c r="F14" s="325"/>
      <c r="G14" s="325"/>
      <c r="H14" s="136"/>
      <c r="I14" s="135"/>
      <c r="J14" s="134"/>
      <c r="K14" s="22" t="str">
        <f t="shared" si="5"/>
        <v/>
      </c>
      <c r="L14" s="135"/>
      <c r="M14" s="135"/>
      <c r="N14" s="136"/>
      <c r="O14" s="135"/>
      <c r="P14" s="134"/>
      <c r="Q14" s="22" t="str">
        <f t="shared" si="43"/>
        <v/>
      </c>
      <c r="R14" s="136"/>
      <c r="S14" s="135"/>
      <c r="T14" s="135"/>
      <c r="U14" s="135"/>
      <c r="V14" s="135"/>
      <c r="W14" s="134"/>
      <c r="X14" s="22" t="str">
        <f t="shared" si="44"/>
        <v/>
      </c>
      <c r="Y14" s="135"/>
      <c r="Z14" s="135"/>
      <c r="AA14" s="135"/>
      <c r="AB14" s="135"/>
      <c r="AC14" s="22" t="str">
        <f t="shared" si="45"/>
        <v/>
      </c>
      <c r="AD14" s="136"/>
      <c r="AE14" s="136"/>
      <c r="AF14" s="133"/>
      <c r="AG14" s="22" t="str">
        <f t="shared" si="6"/>
        <v/>
      </c>
      <c r="AH14" s="206">
        <f t="shared" si="7"/>
        <v>26</v>
      </c>
      <c r="AI14" s="77" t="str">
        <f t="shared" si="8"/>
        <v/>
      </c>
      <c r="AJ14" s="85" t="str">
        <f t="shared" si="9"/>
        <v/>
      </c>
      <c r="AK14" s="86"/>
      <c r="AL14" s="106"/>
      <c r="AM14" s="87"/>
      <c r="AN14" s="130"/>
      <c r="AO14" s="312"/>
      <c r="AP14" s="325"/>
      <c r="AQ14" s="325"/>
      <c r="AR14" s="325"/>
      <c r="AS14" s="325"/>
      <c r="AT14" s="325"/>
      <c r="AU14" s="136"/>
      <c r="AV14" s="135"/>
      <c r="AW14" s="134"/>
      <c r="AX14" s="22" t="str">
        <f t="shared" si="10"/>
        <v/>
      </c>
      <c r="AY14" s="135"/>
      <c r="AZ14" s="135"/>
      <c r="BA14" s="136"/>
      <c r="BB14" s="135"/>
      <c r="BC14" s="134"/>
      <c r="BD14" s="22" t="str">
        <f t="shared" si="11"/>
        <v/>
      </c>
      <c r="BE14" s="136"/>
      <c r="BF14" s="135"/>
      <c r="BG14" s="135"/>
      <c r="BH14" s="135"/>
      <c r="BI14" s="135"/>
      <c r="BJ14" s="134"/>
      <c r="BK14" s="22" t="str">
        <f t="shared" si="12"/>
        <v/>
      </c>
      <c r="BL14" s="135"/>
      <c r="BM14" s="135"/>
      <c r="BN14" s="135"/>
      <c r="BO14" s="185"/>
      <c r="BP14" s="171" t="str">
        <f t="shared" si="13"/>
        <v/>
      </c>
      <c r="BQ14" s="136"/>
      <c r="BR14" s="136"/>
      <c r="BS14" s="133"/>
      <c r="BT14" s="22" t="str">
        <f t="shared" si="14"/>
        <v/>
      </c>
      <c r="BU14" s="208">
        <f t="shared" si="15"/>
        <v>26</v>
      </c>
      <c r="BV14" s="172" t="str">
        <f t="shared" si="16"/>
        <v/>
      </c>
      <c r="BW14" s="172" t="str">
        <f t="shared" si="17"/>
        <v/>
      </c>
      <c r="BX14" s="86"/>
      <c r="BY14" s="106"/>
      <c r="BZ14" s="90"/>
      <c r="CA14" s="130"/>
      <c r="CB14" s="312"/>
      <c r="CC14" s="325"/>
      <c r="CD14" s="325"/>
      <c r="CE14" s="325"/>
      <c r="CF14" s="325"/>
      <c r="CG14" s="325"/>
      <c r="CH14" s="136"/>
      <c r="CI14" s="135"/>
      <c r="CJ14" s="134"/>
      <c r="CK14" s="22" t="str">
        <f t="shared" si="18"/>
        <v/>
      </c>
      <c r="CL14" s="135"/>
      <c r="CM14" s="135"/>
      <c r="CN14" s="136"/>
      <c r="CO14" s="135"/>
      <c r="CP14" s="134"/>
      <c r="CQ14" s="22" t="str">
        <f t="shared" si="19"/>
        <v/>
      </c>
      <c r="CR14" s="26"/>
      <c r="CS14" s="26"/>
      <c r="CT14" s="135"/>
      <c r="CU14" s="26"/>
      <c r="CV14" s="135"/>
      <c r="CW14" s="134"/>
      <c r="CX14" s="22" t="str">
        <f t="shared" si="20"/>
        <v/>
      </c>
      <c r="CY14" s="135"/>
      <c r="CZ14" s="135"/>
      <c r="DA14" s="135"/>
      <c r="DB14" s="134"/>
      <c r="DC14" s="22" t="str">
        <f t="shared" si="21"/>
        <v/>
      </c>
      <c r="DD14" s="136"/>
      <c r="DE14" s="136"/>
      <c r="DF14" s="133"/>
      <c r="DG14" s="22" t="str">
        <f t="shared" si="22"/>
        <v/>
      </c>
      <c r="DH14" s="208"/>
      <c r="DI14" s="77" t="str">
        <f t="shared" si="23"/>
        <v/>
      </c>
      <c r="DJ14" s="213" t="str">
        <f t="shared" si="24"/>
        <v/>
      </c>
      <c r="DK14" s="213" t="str">
        <f t="shared" si="25"/>
        <v/>
      </c>
      <c r="DL14" s="213" t="str">
        <f t="shared" si="26"/>
        <v/>
      </c>
      <c r="DM14" s="213" t="str">
        <f t="shared" si="27"/>
        <v/>
      </c>
      <c r="DN14" s="213" t="str">
        <f t="shared" si="28"/>
        <v/>
      </c>
      <c r="DO14" s="213" t="str">
        <f t="shared" si="29"/>
        <v/>
      </c>
      <c r="DP14" s="213" t="str">
        <f t="shared" si="30"/>
        <v/>
      </c>
      <c r="DQ14" s="213" t="str">
        <f t="shared" si="31"/>
        <v/>
      </c>
      <c r="DR14" s="213" t="str">
        <f t="shared" si="32"/>
        <v/>
      </c>
      <c r="DS14" s="213" t="str">
        <f t="shared" si="33"/>
        <v/>
      </c>
      <c r="DT14" s="213" t="str">
        <f t="shared" si="34"/>
        <v/>
      </c>
      <c r="DU14" s="213" t="str">
        <f t="shared" si="35"/>
        <v/>
      </c>
      <c r="DV14" s="213" t="str">
        <f t="shared" si="36"/>
        <v/>
      </c>
      <c r="DW14" s="213" t="str">
        <f t="shared" si="37"/>
        <v/>
      </c>
      <c r="DX14" s="213" t="str">
        <f t="shared" si="38"/>
        <v/>
      </c>
      <c r="DY14" s="213" t="str">
        <f t="shared" si="39"/>
        <v/>
      </c>
      <c r="DZ14" s="213" t="str">
        <f t="shared" si="40"/>
        <v/>
      </c>
      <c r="EA14" s="213"/>
      <c r="EB14" s="214" t="str">
        <f t="shared" si="41"/>
        <v/>
      </c>
      <c r="EC14" s="214" t="str">
        <f t="shared" si="42"/>
        <v/>
      </c>
      <c r="ED14" s="86"/>
      <c r="EE14" s="106"/>
      <c r="EF14" s="90"/>
      <c r="EG14" s="68"/>
      <c r="EH14" s="131"/>
      <c r="EI14" s="72" t="s">
        <v>125</v>
      </c>
      <c r="EJ14" s="74" t="s">
        <v>126</v>
      </c>
    </row>
    <row r="15" spans="1:141" ht="17.100000000000001" customHeight="1" x14ac:dyDescent="0.25">
      <c r="A15" s="60"/>
      <c r="B15" s="311"/>
      <c r="C15" s="324"/>
      <c r="D15" s="324"/>
      <c r="E15" s="324"/>
      <c r="F15" s="324"/>
      <c r="G15" s="324"/>
      <c r="H15" s="129"/>
      <c r="I15" s="129"/>
      <c r="J15" s="128"/>
      <c r="K15" s="21" t="str">
        <f t="shared" si="5"/>
        <v/>
      </c>
      <c r="L15" s="129"/>
      <c r="M15" s="129"/>
      <c r="N15" s="129"/>
      <c r="O15" s="129"/>
      <c r="P15" s="128"/>
      <c r="Q15" s="21" t="str">
        <f t="shared" si="43"/>
        <v/>
      </c>
      <c r="R15" s="129"/>
      <c r="S15" s="129"/>
      <c r="T15" s="129"/>
      <c r="U15" s="129"/>
      <c r="V15" s="129"/>
      <c r="W15" s="128"/>
      <c r="X15" s="21" t="str">
        <f t="shared" si="44"/>
        <v/>
      </c>
      <c r="Y15" s="129"/>
      <c r="Z15" s="129"/>
      <c r="AA15" s="129"/>
      <c r="AB15" s="129"/>
      <c r="AC15" s="21" t="str">
        <f t="shared" si="45"/>
        <v/>
      </c>
      <c r="AD15" s="129"/>
      <c r="AE15" s="129"/>
      <c r="AF15" s="128"/>
      <c r="AG15" s="21" t="str">
        <f t="shared" si="6"/>
        <v/>
      </c>
      <c r="AH15" s="128">
        <f t="shared" si="7"/>
        <v>26</v>
      </c>
      <c r="AI15" s="76" t="str">
        <f t="shared" si="8"/>
        <v/>
      </c>
      <c r="AJ15" s="82" t="str">
        <f t="shared" si="9"/>
        <v/>
      </c>
      <c r="AK15" s="83"/>
      <c r="AL15" s="105"/>
      <c r="AM15" s="84"/>
      <c r="AN15" s="130"/>
      <c r="AO15" s="311"/>
      <c r="AP15" s="324"/>
      <c r="AQ15" s="324"/>
      <c r="AR15" s="324"/>
      <c r="AS15" s="324"/>
      <c r="AT15" s="324"/>
      <c r="AU15" s="129"/>
      <c r="AV15" s="129"/>
      <c r="AW15" s="128"/>
      <c r="AX15" s="21" t="str">
        <f t="shared" si="10"/>
        <v/>
      </c>
      <c r="AY15" s="129"/>
      <c r="AZ15" s="129"/>
      <c r="BA15" s="129"/>
      <c r="BB15" s="129"/>
      <c r="BC15" s="128"/>
      <c r="BD15" s="21" t="str">
        <f t="shared" si="11"/>
        <v/>
      </c>
      <c r="BE15" s="129"/>
      <c r="BF15" s="129"/>
      <c r="BG15" s="129"/>
      <c r="BH15" s="129"/>
      <c r="BI15" s="129"/>
      <c r="BJ15" s="128"/>
      <c r="BK15" s="21" t="str">
        <f t="shared" si="12"/>
        <v/>
      </c>
      <c r="BL15" s="129"/>
      <c r="BM15" s="129"/>
      <c r="BN15" s="129"/>
      <c r="BO15" s="184"/>
      <c r="BP15" s="169" t="str">
        <f t="shared" si="13"/>
        <v/>
      </c>
      <c r="BQ15" s="129"/>
      <c r="BR15" s="129"/>
      <c r="BS15" s="128"/>
      <c r="BT15" s="21" t="str">
        <f t="shared" si="14"/>
        <v/>
      </c>
      <c r="BU15" s="21">
        <f t="shared" si="15"/>
        <v>26</v>
      </c>
      <c r="BV15" s="170" t="str">
        <f t="shared" si="16"/>
        <v/>
      </c>
      <c r="BW15" s="170" t="str">
        <f t="shared" si="17"/>
        <v/>
      </c>
      <c r="BX15" s="83"/>
      <c r="BY15" s="105"/>
      <c r="BZ15" s="89"/>
      <c r="CA15" s="130"/>
      <c r="CB15" s="311"/>
      <c r="CC15" s="324"/>
      <c r="CD15" s="324"/>
      <c r="CE15" s="324"/>
      <c r="CF15" s="324"/>
      <c r="CG15" s="324"/>
      <c r="CH15" s="129"/>
      <c r="CI15" s="129"/>
      <c r="CJ15" s="128"/>
      <c r="CK15" s="21" t="str">
        <f t="shared" si="18"/>
        <v/>
      </c>
      <c r="CL15" s="129"/>
      <c r="CM15" s="129"/>
      <c r="CN15" s="129"/>
      <c r="CO15" s="129"/>
      <c r="CP15" s="128"/>
      <c r="CQ15" s="21" t="str">
        <f t="shared" si="19"/>
        <v/>
      </c>
      <c r="CR15" s="25"/>
      <c r="CS15" s="25"/>
      <c r="CT15" s="129"/>
      <c r="CU15" s="25"/>
      <c r="CV15" s="129"/>
      <c r="CW15" s="128"/>
      <c r="CX15" s="21" t="str">
        <f t="shared" si="20"/>
        <v/>
      </c>
      <c r="CY15" s="129"/>
      <c r="CZ15" s="129"/>
      <c r="DA15" s="129"/>
      <c r="DB15" s="128"/>
      <c r="DC15" s="21" t="str">
        <f t="shared" si="21"/>
        <v/>
      </c>
      <c r="DD15" s="129"/>
      <c r="DE15" s="129"/>
      <c r="DF15" s="128"/>
      <c r="DG15" s="21" t="str">
        <f t="shared" si="22"/>
        <v/>
      </c>
      <c r="DH15" s="21"/>
      <c r="DI15" s="76" t="str">
        <f t="shared" si="23"/>
        <v/>
      </c>
      <c r="DJ15" s="212" t="str">
        <f t="shared" si="24"/>
        <v/>
      </c>
      <c r="DK15" s="212" t="str">
        <f t="shared" si="25"/>
        <v/>
      </c>
      <c r="DL15" s="212" t="str">
        <f t="shared" si="26"/>
        <v/>
      </c>
      <c r="DM15" s="212" t="str">
        <f t="shared" si="27"/>
        <v/>
      </c>
      <c r="DN15" s="212" t="str">
        <f t="shared" si="28"/>
        <v/>
      </c>
      <c r="DO15" s="212" t="str">
        <f t="shared" si="29"/>
        <v/>
      </c>
      <c r="DP15" s="212" t="str">
        <f t="shared" si="30"/>
        <v/>
      </c>
      <c r="DQ15" s="212" t="str">
        <f t="shared" si="31"/>
        <v/>
      </c>
      <c r="DR15" s="212" t="str">
        <f t="shared" si="32"/>
        <v/>
      </c>
      <c r="DS15" s="212" t="str">
        <f t="shared" si="33"/>
        <v/>
      </c>
      <c r="DT15" s="212" t="str">
        <f t="shared" si="34"/>
        <v/>
      </c>
      <c r="DU15" s="212" t="str">
        <f t="shared" si="35"/>
        <v/>
      </c>
      <c r="DV15" s="212" t="str">
        <f t="shared" si="36"/>
        <v/>
      </c>
      <c r="DW15" s="212" t="str">
        <f t="shared" si="37"/>
        <v/>
      </c>
      <c r="DX15" s="212" t="str">
        <f t="shared" si="38"/>
        <v/>
      </c>
      <c r="DY15" s="212" t="str">
        <f t="shared" si="39"/>
        <v/>
      </c>
      <c r="DZ15" s="212" t="str">
        <f t="shared" si="40"/>
        <v/>
      </c>
      <c r="EA15" s="212"/>
      <c r="EB15" s="212" t="str">
        <f t="shared" si="41"/>
        <v/>
      </c>
      <c r="EC15" s="212" t="str">
        <f t="shared" si="42"/>
        <v/>
      </c>
      <c r="ED15" s="83"/>
      <c r="EE15" s="105"/>
      <c r="EF15" s="89"/>
      <c r="EG15" s="68"/>
      <c r="EH15" s="131"/>
      <c r="EI15" s="72" t="s">
        <v>127</v>
      </c>
      <c r="EJ15" s="74" t="s">
        <v>128</v>
      </c>
    </row>
    <row r="16" spans="1:141" ht="17.100000000000001" customHeight="1" x14ac:dyDescent="0.25">
      <c r="A16" s="60"/>
      <c r="B16" s="312"/>
      <c r="C16" s="325"/>
      <c r="D16" s="325"/>
      <c r="E16" s="325"/>
      <c r="F16" s="325"/>
      <c r="G16" s="325"/>
      <c r="H16" s="136"/>
      <c r="I16" s="135"/>
      <c r="J16" s="134"/>
      <c r="K16" s="22" t="str">
        <f t="shared" si="5"/>
        <v/>
      </c>
      <c r="L16" s="135"/>
      <c r="M16" s="135"/>
      <c r="N16" s="136"/>
      <c r="O16" s="135"/>
      <c r="P16" s="134"/>
      <c r="Q16" s="22" t="str">
        <f t="shared" si="43"/>
        <v/>
      </c>
      <c r="R16" s="136"/>
      <c r="S16" s="135"/>
      <c r="T16" s="135"/>
      <c r="U16" s="135"/>
      <c r="V16" s="135"/>
      <c r="W16" s="134"/>
      <c r="X16" s="22" t="str">
        <f t="shared" si="44"/>
        <v/>
      </c>
      <c r="Y16" s="135"/>
      <c r="Z16" s="135"/>
      <c r="AA16" s="135"/>
      <c r="AB16" s="135"/>
      <c r="AC16" s="22" t="str">
        <f t="shared" si="45"/>
        <v/>
      </c>
      <c r="AD16" s="136"/>
      <c r="AE16" s="136"/>
      <c r="AF16" s="133"/>
      <c r="AG16" s="22" t="str">
        <f t="shared" si="6"/>
        <v/>
      </c>
      <c r="AH16" s="206">
        <f t="shared" si="7"/>
        <v>26</v>
      </c>
      <c r="AI16" s="77" t="str">
        <f t="shared" si="8"/>
        <v/>
      </c>
      <c r="AJ16" s="85" t="str">
        <f t="shared" si="9"/>
        <v/>
      </c>
      <c r="AK16" s="86"/>
      <c r="AL16" s="106"/>
      <c r="AM16" s="87"/>
      <c r="AN16" s="130"/>
      <c r="AO16" s="312"/>
      <c r="AP16" s="325"/>
      <c r="AQ16" s="325"/>
      <c r="AR16" s="325"/>
      <c r="AS16" s="325"/>
      <c r="AT16" s="325"/>
      <c r="AU16" s="136"/>
      <c r="AV16" s="135"/>
      <c r="AW16" s="134"/>
      <c r="AX16" s="22" t="str">
        <f t="shared" si="10"/>
        <v/>
      </c>
      <c r="AY16" s="135"/>
      <c r="AZ16" s="135"/>
      <c r="BA16" s="136"/>
      <c r="BB16" s="135"/>
      <c r="BC16" s="134"/>
      <c r="BD16" s="22" t="str">
        <f t="shared" si="11"/>
        <v/>
      </c>
      <c r="BE16" s="136"/>
      <c r="BF16" s="135"/>
      <c r="BG16" s="135"/>
      <c r="BH16" s="135"/>
      <c r="BI16" s="135"/>
      <c r="BJ16" s="134"/>
      <c r="BK16" s="22" t="str">
        <f t="shared" si="12"/>
        <v/>
      </c>
      <c r="BL16" s="135"/>
      <c r="BM16" s="135"/>
      <c r="BN16" s="135"/>
      <c r="BO16" s="185"/>
      <c r="BP16" s="171" t="str">
        <f t="shared" si="13"/>
        <v/>
      </c>
      <c r="BQ16" s="136"/>
      <c r="BR16" s="136"/>
      <c r="BS16" s="133"/>
      <c r="BT16" s="22" t="str">
        <f t="shared" si="14"/>
        <v/>
      </c>
      <c r="BU16" s="208">
        <f t="shared" si="15"/>
        <v>26</v>
      </c>
      <c r="BV16" s="172" t="str">
        <f t="shared" si="16"/>
        <v/>
      </c>
      <c r="BW16" s="172" t="str">
        <f t="shared" si="17"/>
        <v/>
      </c>
      <c r="BX16" s="86"/>
      <c r="BY16" s="106"/>
      <c r="BZ16" s="90"/>
      <c r="CA16" s="130"/>
      <c r="CB16" s="312"/>
      <c r="CC16" s="325"/>
      <c r="CD16" s="325"/>
      <c r="CE16" s="325"/>
      <c r="CF16" s="325"/>
      <c r="CG16" s="325"/>
      <c r="CH16" s="136"/>
      <c r="CI16" s="135"/>
      <c r="CJ16" s="134"/>
      <c r="CK16" s="22" t="str">
        <f t="shared" si="18"/>
        <v/>
      </c>
      <c r="CL16" s="135"/>
      <c r="CM16" s="135"/>
      <c r="CN16" s="136"/>
      <c r="CO16" s="135"/>
      <c r="CP16" s="134"/>
      <c r="CQ16" s="22" t="str">
        <f t="shared" si="19"/>
        <v/>
      </c>
      <c r="CR16" s="26"/>
      <c r="CS16" s="26"/>
      <c r="CT16" s="135"/>
      <c r="CU16" s="26"/>
      <c r="CV16" s="135"/>
      <c r="CW16" s="134"/>
      <c r="CX16" s="22" t="str">
        <f t="shared" si="20"/>
        <v/>
      </c>
      <c r="CY16" s="135"/>
      <c r="CZ16" s="135"/>
      <c r="DA16" s="135"/>
      <c r="DB16" s="134"/>
      <c r="DC16" s="22" t="str">
        <f t="shared" si="21"/>
        <v/>
      </c>
      <c r="DD16" s="136"/>
      <c r="DE16" s="136"/>
      <c r="DF16" s="133"/>
      <c r="DG16" s="22" t="str">
        <f t="shared" si="22"/>
        <v/>
      </c>
      <c r="DH16" s="208"/>
      <c r="DI16" s="77" t="str">
        <f t="shared" si="23"/>
        <v/>
      </c>
      <c r="DJ16" s="213" t="str">
        <f t="shared" si="24"/>
        <v/>
      </c>
      <c r="DK16" s="213" t="str">
        <f t="shared" si="25"/>
        <v/>
      </c>
      <c r="DL16" s="213" t="str">
        <f t="shared" si="26"/>
        <v/>
      </c>
      <c r="DM16" s="213" t="str">
        <f t="shared" si="27"/>
        <v/>
      </c>
      <c r="DN16" s="213" t="str">
        <f t="shared" si="28"/>
        <v/>
      </c>
      <c r="DO16" s="213" t="str">
        <f t="shared" si="29"/>
        <v/>
      </c>
      <c r="DP16" s="213" t="str">
        <f t="shared" si="30"/>
        <v/>
      </c>
      <c r="DQ16" s="213" t="str">
        <f t="shared" si="31"/>
        <v/>
      </c>
      <c r="DR16" s="213" t="str">
        <f t="shared" si="32"/>
        <v/>
      </c>
      <c r="DS16" s="213" t="str">
        <f t="shared" si="33"/>
        <v/>
      </c>
      <c r="DT16" s="213" t="str">
        <f t="shared" si="34"/>
        <v/>
      </c>
      <c r="DU16" s="213" t="str">
        <f t="shared" si="35"/>
        <v/>
      </c>
      <c r="DV16" s="213" t="str">
        <f t="shared" si="36"/>
        <v/>
      </c>
      <c r="DW16" s="213" t="str">
        <f t="shared" si="37"/>
        <v/>
      </c>
      <c r="DX16" s="213" t="str">
        <f t="shared" si="38"/>
        <v/>
      </c>
      <c r="DY16" s="213" t="str">
        <f t="shared" si="39"/>
        <v/>
      </c>
      <c r="DZ16" s="213" t="str">
        <f t="shared" si="40"/>
        <v/>
      </c>
      <c r="EA16" s="213"/>
      <c r="EB16" s="214" t="str">
        <f t="shared" si="41"/>
        <v/>
      </c>
      <c r="EC16" s="214" t="str">
        <f t="shared" si="42"/>
        <v/>
      </c>
      <c r="ED16" s="86"/>
      <c r="EE16" s="106"/>
      <c r="EF16" s="90"/>
      <c r="EG16" s="68"/>
      <c r="EH16" s="131"/>
      <c r="EI16" s="72">
        <v>0</v>
      </c>
      <c r="EJ16" s="74">
        <v>0</v>
      </c>
    </row>
    <row r="17" spans="1:141" ht="17.100000000000001" customHeight="1" x14ac:dyDescent="0.35">
      <c r="A17" s="60"/>
      <c r="B17" s="311"/>
      <c r="C17" s="324"/>
      <c r="D17" s="324"/>
      <c r="E17" s="324"/>
      <c r="F17" s="324"/>
      <c r="G17" s="324"/>
      <c r="H17" s="129"/>
      <c r="I17" s="129"/>
      <c r="J17" s="128"/>
      <c r="K17" s="21" t="str">
        <f t="shared" si="5"/>
        <v/>
      </c>
      <c r="L17" s="129"/>
      <c r="M17" s="129"/>
      <c r="N17" s="129"/>
      <c r="O17" s="129"/>
      <c r="P17" s="128"/>
      <c r="Q17" s="21" t="str">
        <f t="shared" si="43"/>
        <v/>
      </c>
      <c r="R17" s="129"/>
      <c r="S17" s="129"/>
      <c r="T17" s="129"/>
      <c r="U17" s="129"/>
      <c r="V17" s="129"/>
      <c r="W17" s="128"/>
      <c r="X17" s="21" t="str">
        <f t="shared" si="44"/>
        <v/>
      </c>
      <c r="Y17" s="129"/>
      <c r="Z17" s="129"/>
      <c r="AA17" s="129"/>
      <c r="AB17" s="129"/>
      <c r="AC17" s="21" t="str">
        <f t="shared" si="45"/>
        <v/>
      </c>
      <c r="AD17" s="129"/>
      <c r="AE17" s="129"/>
      <c r="AF17" s="128"/>
      <c r="AG17" s="21" t="str">
        <f t="shared" si="6"/>
        <v/>
      </c>
      <c r="AH17" s="128">
        <f t="shared" si="7"/>
        <v>26</v>
      </c>
      <c r="AI17" s="76" t="str">
        <f t="shared" si="8"/>
        <v/>
      </c>
      <c r="AJ17" s="82" t="str">
        <f t="shared" si="9"/>
        <v/>
      </c>
      <c r="AK17" s="83"/>
      <c r="AL17" s="105"/>
      <c r="AM17" s="84"/>
      <c r="AN17" s="130"/>
      <c r="AO17" s="311"/>
      <c r="AP17" s="324"/>
      <c r="AQ17" s="324"/>
      <c r="AR17" s="324"/>
      <c r="AS17" s="324"/>
      <c r="AT17" s="324"/>
      <c r="AU17" s="129"/>
      <c r="AV17" s="129"/>
      <c r="AW17" s="128"/>
      <c r="AX17" s="21" t="str">
        <f t="shared" si="10"/>
        <v/>
      </c>
      <c r="AY17" s="129"/>
      <c r="AZ17" s="129"/>
      <c r="BA17" s="129"/>
      <c r="BB17" s="129"/>
      <c r="BC17" s="128"/>
      <c r="BD17" s="21" t="str">
        <f t="shared" si="11"/>
        <v/>
      </c>
      <c r="BE17" s="129"/>
      <c r="BF17" s="129"/>
      <c r="BG17" s="129"/>
      <c r="BH17" s="129"/>
      <c r="BI17" s="129"/>
      <c r="BJ17" s="128"/>
      <c r="BK17" s="21" t="str">
        <f t="shared" si="12"/>
        <v/>
      </c>
      <c r="BL17" s="129"/>
      <c r="BM17" s="129"/>
      <c r="BN17" s="129"/>
      <c r="BO17" s="184"/>
      <c r="BP17" s="169" t="str">
        <f t="shared" si="13"/>
        <v/>
      </c>
      <c r="BQ17" s="129"/>
      <c r="BR17" s="129"/>
      <c r="BS17" s="128"/>
      <c r="BT17" s="21" t="str">
        <f t="shared" si="14"/>
        <v/>
      </c>
      <c r="BU17" s="21">
        <f t="shared" si="15"/>
        <v>26</v>
      </c>
      <c r="BV17" s="170" t="str">
        <f t="shared" si="16"/>
        <v/>
      </c>
      <c r="BW17" s="170" t="str">
        <f t="shared" si="17"/>
        <v/>
      </c>
      <c r="BX17" s="83"/>
      <c r="BY17" s="105"/>
      <c r="BZ17" s="89"/>
      <c r="CA17" s="130"/>
      <c r="CB17" s="311"/>
      <c r="CC17" s="324"/>
      <c r="CD17" s="324"/>
      <c r="CE17" s="324"/>
      <c r="CF17" s="324"/>
      <c r="CG17" s="324"/>
      <c r="CH17" s="129"/>
      <c r="CI17" s="129"/>
      <c r="CJ17" s="128"/>
      <c r="CK17" s="21" t="str">
        <f t="shared" si="18"/>
        <v/>
      </c>
      <c r="CL17" s="129"/>
      <c r="CM17" s="129"/>
      <c r="CN17" s="129"/>
      <c r="CO17" s="129"/>
      <c r="CP17" s="128"/>
      <c r="CQ17" s="21" t="str">
        <f t="shared" si="19"/>
        <v/>
      </c>
      <c r="CR17" s="25"/>
      <c r="CS17" s="25"/>
      <c r="CT17" s="129"/>
      <c r="CU17" s="25"/>
      <c r="CV17" s="129"/>
      <c r="CW17" s="128"/>
      <c r="CX17" s="21" t="str">
        <f t="shared" si="20"/>
        <v/>
      </c>
      <c r="CY17" s="129"/>
      <c r="CZ17" s="129"/>
      <c r="DA17" s="129"/>
      <c r="DB17" s="128"/>
      <c r="DC17" s="21" t="str">
        <f t="shared" si="21"/>
        <v/>
      </c>
      <c r="DD17" s="129"/>
      <c r="DE17" s="129"/>
      <c r="DF17" s="128"/>
      <c r="DG17" s="21" t="str">
        <f t="shared" si="22"/>
        <v/>
      </c>
      <c r="DH17" s="21"/>
      <c r="DI17" s="76" t="str">
        <f t="shared" si="23"/>
        <v/>
      </c>
      <c r="DJ17" s="212" t="str">
        <f t="shared" si="24"/>
        <v/>
      </c>
      <c r="DK17" s="212" t="str">
        <f t="shared" si="25"/>
        <v/>
      </c>
      <c r="DL17" s="212" t="str">
        <f t="shared" si="26"/>
        <v/>
      </c>
      <c r="DM17" s="212" t="str">
        <f t="shared" si="27"/>
        <v/>
      </c>
      <c r="DN17" s="212" t="str">
        <f t="shared" si="28"/>
        <v/>
      </c>
      <c r="DO17" s="212" t="str">
        <f t="shared" si="29"/>
        <v/>
      </c>
      <c r="DP17" s="212" t="str">
        <f t="shared" si="30"/>
        <v/>
      </c>
      <c r="DQ17" s="212" t="str">
        <f t="shared" si="31"/>
        <v/>
      </c>
      <c r="DR17" s="212" t="str">
        <f t="shared" si="32"/>
        <v/>
      </c>
      <c r="DS17" s="212" t="str">
        <f t="shared" si="33"/>
        <v/>
      </c>
      <c r="DT17" s="212" t="str">
        <f t="shared" si="34"/>
        <v/>
      </c>
      <c r="DU17" s="212" t="str">
        <f t="shared" si="35"/>
        <v/>
      </c>
      <c r="DV17" s="212" t="str">
        <f t="shared" si="36"/>
        <v/>
      </c>
      <c r="DW17" s="212" t="str">
        <f t="shared" si="37"/>
        <v/>
      </c>
      <c r="DX17" s="212" t="str">
        <f t="shared" si="38"/>
        <v/>
      </c>
      <c r="DY17" s="212" t="str">
        <f t="shared" si="39"/>
        <v/>
      </c>
      <c r="DZ17" s="212" t="str">
        <f t="shared" si="40"/>
        <v/>
      </c>
      <c r="EA17" s="212"/>
      <c r="EB17" s="212" t="str">
        <f t="shared" si="41"/>
        <v/>
      </c>
      <c r="EC17" s="212" t="str">
        <f t="shared" si="42"/>
        <v/>
      </c>
      <c r="ED17" s="83"/>
      <c r="EE17" s="105"/>
      <c r="EF17" s="89"/>
      <c r="EG17" s="68"/>
      <c r="EH17" s="131"/>
      <c r="EI17" s="73" t="s">
        <v>3</v>
      </c>
      <c r="EJ17" s="180"/>
    </row>
    <row r="18" spans="1:141" ht="17.100000000000001" customHeight="1" x14ac:dyDescent="0.25">
      <c r="A18" s="60"/>
      <c r="B18" s="312"/>
      <c r="C18" s="325"/>
      <c r="D18" s="325"/>
      <c r="E18" s="325"/>
      <c r="F18" s="325"/>
      <c r="G18" s="325"/>
      <c r="H18" s="135"/>
      <c r="I18" s="135"/>
      <c r="J18" s="134"/>
      <c r="K18" s="22" t="str">
        <f t="shared" si="5"/>
        <v/>
      </c>
      <c r="L18" s="135"/>
      <c r="M18" s="135"/>
      <c r="N18" s="135"/>
      <c r="O18" s="135"/>
      <c r="P18" s="134"/>
      <c r="Q18" s="22" t="str">
        <f t="shared" si="43"/>
        <v/>
      </c>
      <c r="R18" s="135"/>
      <c r="S18" s="135"/>
      <c r="T18" s="135"/>
      <c r="U18" s="135"/>
      <c r="V18" s="135"/>
      <c r="W18" s="134"/>
      <c r="X18" s="22" t="str">
        <f t="shared" si="44"/>
        <v/>
      </c>
      <c r="Y18" s="135"/>
      <c r="Z18" s="135"/>
      <c r="AA18" s="135"/>
      <c r="AB18" s="135"/>
      <c r="AC18" s="22" t="str">
        <f t="shared" si="45"/>
        <v/>
      </c>
      <c r="AD18" s="136"/>
      <c r="AE18" s="136"/>
      <c r="AF18" s="133"/>
      <c r="AG18" s="22" t="str">
        <f t="shared" si="6"/>
        <v/>
      </c>
      <c r="AH18" s="206">
        <f t="shared" si="7"/>
        <v>26</v>
      </c>
      <c r="AI18" s="77" t="str">
        <f t="shared" si="8"/>
        <v/>
      </c>
      <c r="AJ18" s="85" t="str">
        <f t="shared" si="9"/>
        <v/>
      </c>
      <c r="AK18" s="86"/>
      <c r="AL18" s="106"/>
      <c r="AM18" s="87"/>
      <c r="AN18" s="130"/>
      <c r="AO18" s="312"/>
      <c r="AP18" s="325"/>
      <c r="AQ18" s="325"/>
      <c r="AR18" s="325"/>
      <c r="AS18" s="325"/>
      <c r="AT18" s="325"/>
      <c r="AU18" s="135"/>
      <c r="AV18" s="135"/>
      <c r="AW18" s="134"/>
      <c r="AX18" s="22" t="str">
        <f t="shared" si="10"/>
        <v/>
      </c>
      <c r="AY18" s="135"/>
      <c r="AZ18" s="135"/>
      <c r="BA18" s="135"/>
      <c r="BB18" s="135"/>
      <c r="BC18" s="134"/>
      <c r="BD18" s="22" t="str">
        <f t="shared" si="11"/>
        <v/>
      </c>
      <c r="BE18" s="135"/>
      <c r="BF18" s="135"/>
      <c r="BG18" s="135"/>
      <c r="BH18" s="135"/>
      <c r="BI18" s="135"/>
      <c r="BJ18" s="134"/>
      <c r="BK18" s="22" t="str">
        <f t="shared" si="12"/>
        <v/>
      </c>
      <c r="BL18" s="135"/>
      <c r="BM18" s="135"/>
      <c r="BN18" s="135"/>
      <c r="BO18" s="185"/>
      <c r="BP18" s="171" t="str">
        <f t="shared" si="13"/>
        <v/>
      </c>
      <c r="BQ18" s="136"/>
      <c r="BR18" s="136"/>
      <c r="BS18" s="133"/>
      <c r="BT18" s="22" t="str">
        <f t="shared" si="14"/>
        <v/>
      </c>
      <c r="BU18" s="208">
        <f t="shared" si="15"/>
        <v>26</v>
      </c>
      <c r="BV18" s="172" t="str">
        <f t="shared" si="16"/>
        <v/>
      </c>
      <c r="BW18" s="172" t="str">
        <f t="shared" si="17"/>
        <v/>
      </c>
      <c r="BX18" s="86"/>
      <c r="BY18" s="106"/>
      <c r="BZ18" s="90"/>
      <c r="CA18" s="130"/>
      <c r="CB18" s="312"/>
      <c r="CC18" s="325"/>
      <c r="CD18" s="325"/>
      <c r="CE18" s="325"/>
      <c r="CF18" s="325"/>
      <c r="CG18" s="325"/>
      <c r="CH18" s="135"/>
      <c r="CI18" s="135"/>
      <c r="CJ18" s="134"/>
      <c r="CK18" s="22" t="str">
        <f t="shared" si="18"/>
        <v/>
      </c>
      <c r="CL18" s="135"/>
      <c r="CM18" s="135"/>
      <c r="CN18" s="135"/>
      <c r="CO18" s="135"/>
      <c r="CP18" s="134"/>
      <c r="CQ18" s="22" t="str">
        <f t="shared" si="19"/>
        <v/>
      </c>
      <c r="CR18" s="26"/>
      <c r="CS18" s="26"/>
      <c r="CT18" s="135"/>
      <c r="CU18" s="26"/>
      <c r="CV18" s="135"/>
      <c r="CW18" s="134"/>
      <c r="CX18" s="22" t="str">
        <f t="shared" si="20"/>
        <v/>
      </c>
      <c r="CY18" s="135"/>
      <c r="CZ18" s="135"/>
      <c r="DA18" s="135"/>
      <c r="DB18" s="134"/>
      <c r="DC18" s="22" t="str">
        <f t="shared" si="21"/>
        <v/>
      </c>
      <c r="DD18" s="136"/>
      <c r="DE18" s="136"/>
      <c r="DF18" s="133"/>
      <c r="DG18" s="22" t="str">
        <f t="shared" si="22"/>
        <v/>
      </c>
      <c r="DH18" s="208"/>
      <c r="DI18" s="77" t="str">
        <f t="shared" si="23"/>
        <v/>
      </c>
      <c r="DJ18" s="213" t="str">
        <f t="shared" si="24"/>
        <v/>
      </c>
      <c r="DK18" s="213" t="str">
        <f t="shared" si="25"/>
        <v/>
      </c>
      <c r="DL18" s="213" t="str">
        <f t="shared" si="26"/>
        <v/>
      </c>
      <c r="DM18" s="213" t="str">
        <f t="shared" si="27"/>
        <v/>
      </c>
      <c r="DN18" s="213" t="str">
        <f t="shared" si="28"/>
        <v/>
      </c>
      <c r="DO18" s="213" t="str">
        <f t="shared" si="29"/>
        <v/>
      </c>
      <c r="DP18" s="213" t="str">
        <f t="shared" si="30"/>
        <v/>
      </c>
      <c r="DQ18" s="213" t="str">
        <f t="shared" si="31"/>
        <v/>
      </c>
      <c r="DR18" s="213" t="str">
        <f t="shared" si="32"/>
        <v/>
      </c>
      <c r="DS18" s="213" t="str">
        <f t="shared" si="33"/>
        <v/>
      </c>
      <c r="DT18" s="213" t="str">
        <f t="shared" si="34"/>
        <v/>
      </c>
      <c r="DU18" s="213" t="str">
        <f t="shared" si="35"/>
        <v/>
      </c>
      <c r="DV18" s="213" t="str">
        <f t="shared" si="36"/>
        <v/>
      </c>
      <c r="DW18" s="213" t="str">
        <f t="shared" si="37"/>
        <v/>
      </c>
      <c r="DX18" s="213" t="str">
        <f t="shared" si="38"/>
        <v/>
      </c>
      <c r="DY18" s="213" t="str">
        <f t="shared" si="39"/>
        <v/>
      </c>
      <c r="DZ18" s="213" t="str">
        <f t="shared" si="40"/>
        <v/>
      </c>
      <c r="EA18" s="213"/>
      <c r="EB18" s="214" t="str">
        <f t="shared" si="41"/>
        <v/>
      </c>
      <c r="EC18" s="214" t="str">
        <f t="shared" si="42"/>
        <v/>
      </c>
      <c r="ED18" s="86"/>
      <c r="EE18" s="106"/>
      <c r="EF18" s="90"/>
      <c r="EG18" s="68"/>
      <c r="EH18" s="131"/>
      <c r="EI18" s="72" t="s">
        <v>117</v>
      </c>
      <c r="EJ18" s="74" t="s">
        <v>129</v>
      </c>
    </row>
    <row r="19" spans="1:141" ht="17.100000000000001" customHeight="1" x14ac:dyDescent="0.25">
      <c r="A19" s="60"/>
      <c r="B19" s="311"/>
      <c r="C19" s="324"/>
      <c r="D19" s="324"/>
      <c r="E19" s="324"/>
      <c r="F19" s="324"/>
      <c r="G19" s="324"/>
      <c r="H19" s="129"/>
      <c r="I19" s="129"/>
      <c r="J19" s="128"/>
      <c r="K19" s="21" t="str">
        <f t="shared" si="5"/>
        <v/>
      </c>
      <c r="L19" s="129"/>
      <c r="M19" s="129"/>
      <c r="N19" s="129"/>
      <c r="O19" s="129"/>
      <c r="P19" s="128"/>
      <c r="Q19" s="21" t="str">
        <f t="shared" si="43"/>
        <v/>
      </c>
      <c r="R19" s="129"/>
      <c r="S19" s="129"/>
      <c r="T19" s="129"/>
      <c r="U19" s="129"/>
      <c r="V19" s="129"/>
      <c r="W19" s="128"/>
      <c r="X19" s="21" t="str">
        <f t="shared" si="44"/>
        <v/>
      </c>
      <c r="Y19" s="129"/>
      <c r="Z19" s="129"/>
      <c r="AA19" s="129"/>
      <c r="AB19" s="129"/>
      <c r="AC19" s="21" t="str">
        <f t="shared" si="45"/>
        <v/>
      </c>
      <c r="AD19" s="129"/>
      <c r="AE19" s="129"/>
      <c r="AF19" s="128"/>
      <c r="AG19" s="21" t="str">
        <f t="shared" si="6"/>
        <v/>
      </c>
      <c r="AH19" s="128">
        <f t="shared" si="7"/>
        <v>26</v>
      </c>
      <c r="AI19" s="76" t="str">
        <f t="shared" si="8"/>
        <v/>
      </c>
      <c r="AJ19" s="82" t="str">
        <f t="shared" si="9"/>
        <v/>
      </c>
      <c r="AK19" s="83"/>
      <c r="AL19" s="105"/>
      <c r="AM19" s="220"/>
      <c r="AN19" s="130"/>
      <c r="AO19" s="311"/>
      <c r="AP19" s="324"/>
      <c r="AQ19" s="324"/>
      <c r="AR19" s="324"/>
      <c r="AS19" s="324"/>
      <c r="AT19" s="324"/>
      <c r="AU19" s="129"/>
      <c r="AV19" s="129"/>
      <c r="AW19" s="128"/>
      <c r="AX19" s="21" t="str">
        <f t="shared" si="10"/>
        <v/>
      </c>
      <c r="AY19" s="129"/>
      <c r="AZ19" s="129"/>
      <c r="BA19" s="129"/>
      <c r="BB19" s="129"/>
      <c r="BC19" s="128"/>
      <c r="BD19" s="21" t="str">
        <f t="shared" si="11"/>
        <v/>
      </c>
      <c r="BE19" s="129"/>
      <c r="BF19" s="129"/>
      <c r="BG19" s="129"/>
      <c r="BH19" s="129"/>
      <c r="BI19" s="129"/>
      <c r="BJ19" s="128"/>
      <c r="BK19" s="21" t="str">
        <f t="shared" si="12"/>
        <v/>
      </c>
      <c r="BL19" s="129"/>
      <c r="BM19" s="129"/>
      <c r="BN19" s="129"/>
      <c r="BO19" s="184"/>
      <c r="BP19" s="169" t="str">
        <f t="shared" si="13"/>
        <v/>
      </c>
      <c r="BQ19" s="129"/>
      <c r="BR19" s="129"/>
      <c r="BS19" s="128"/>
      <c r="BT19" s="21" t="str">
        <f t="shared" si="14"/>
        <v/>
      </c>
      <c r="BU19" s="21">
        <f t="shared" si="15"/>
        <v>26</v>
      </c>
      <c r="BV19" s="170" t="str">
        <f t="shared" si="16"/>
        <v/>
      </c>
      <c r="BW19" s="170" t="str">
        <f t="shared" si="17"/>
        <v/>
      </c>
      <c r="BX19" s="83"/>
      <c r="BY19" s="105"/>
      <c r="BZ19" s="89"/>
      <c r="CA19" s="130"/>
      <c r="CB19" s="311"/>
      <c r="CC19" s="324"/>
      <c r="CD19" s="324"/>
      <c r="CE19" s="324"/>
      <c r="CF19" s="324"/>
      <c r="CG19" s="324"/>
      <c r="CH19" s="129"/>
      <c r="CI19" s="129"/>
      <c r="CJ19" s="128"/>
      <c r="CK19" s="21" t="str">
        <f t="shared" si="18"/>
        <v/>
      </c>
      <c r="CL19" s="129"/>
      <c r="CM19" s="129"/>
      <c r="CN19" s="129"/>
      <c r="CO19" s="129"/>
      <c r="CP19" s="128"/>
      <c r="CQ19" s="21" t="str">
        <f t="shared" si="19"/>
        <v/>
      </c>
      <c r="CR19" s="25"/>
      <c r="CS19" s="25"/>
      <c r="CT19" s="129"/>
      <c r="CU19" s="25"/>
      <c r="CV19" s="129"/>
      <c r="CW19" s="128"/>
      <c r="CX19" s="21" t="str">
        <f t="shared" si="20"/>
        <v/>
      </c>
      <c r="CY19" s="129"/>
      <c r="CZ19" s="129"/>
      <c r="DA19" s="129"/>
      <c r="DB19" s="128"/>
      <c r="DC19" s="21" t="str">
        <f t="shared" si="21"/>
        <v/>
      </c>
      <c r="DD19" s="129"/>
      <c r="DE19" s="129"/>
      <c r="DF19" s="128"/>
      <c r="DG19" s="21" t="str">
        <f t="shared" si="22"/>
        <v/>
      </c>
      <c r="DH19" s="21"/>
      <c r="DI19" s="76" t="str">
        <f t="shared" si="23"/>
        <v/>
      </c>
      <c r="DJ19" s="212" t="str">
        <f t="shared" si="24"/>
        <v/>
      </c>
      <c r="DK19" s="212" t="str">
        <f t="shared" si="25"/>
        <v/>
      </c>
      <c r="DL19" s="212" t="str">
        <f t="shared" si="26"/>
        <v/>
      </c>
      <c r="DM19" s="212" t="str">
        <f t="shared" si="27"/>
        <v/>
      </c>
      <c r="DN19" s="212" t="str">
        <f t="shared" si="28"/>
        <v/>
      </c>
      <c r="DO19" s="212" t="str">
        <f t="shared" si="29"/>
        <v/>
      </c>
      <c r="DP19" s="212" t="str">
        <f t="shared" si="30"/>
        <v/>
      </c>
      <c r="DQ19" s="212" t="str">
        <f t="shared" si="31"/>
        <v/>
      </c>
      <c r="DR19" s="212" t="str">
        <f t="shared" si="32"/>
        <v/>
      </c>
      <c r="DS19" s="212" t="str">
        <f t="shared" si="33"/>
        <v/>
      </c>
      <c r="DT19" s="212" t="str">
        <f t="shared" si="34"/>
        <v/>
      </c>
      <c r="DU19" s="212" t="str">
        <f t="shared" si="35"/>
        <v/>
      </c>
      <c r="DV19" s="212" t="str">
        <f t="shared" si="36"/>
        <v/>
      </c>
      <c r="DW19" s="212" t="str">
        <f t="shared" si="37"/>
        <v/>
      </c>
      <c r="DX19" s="212" t="str">
        <f t="shared" si="38"/>
        <v/>
      </c>
      <c r="DY19" s="212" t="str">
        <f t="shared" si="39"/>
        <v/>
      </c>
      <c r="DZ19" s="212" t="str">
        <f t="shared" si="40"/>
        <v/>
      </c>
      <c r="EA19" s="212"/>
      <c r="EB19" s="212" t="str">
        <f t="shared" si="41"/>
        <v/>
      </c>
      <c r="EC19" s="212" t="str">
        <f t="shared" si="42"/>
        <v/>
      </c>
      <c r="ED19" s="83"/>
      <c r="EE19" s="105"/>
      <c r="EF19" s="89"/>
      <c r="EG19" s="68"/>
      <c r="EH19" s="131"/>
      <c r="EI19" s="72" t="s">
        <v>119</v>
      </c>
      <c r="EJ19" s="74" t="s">
        <v>130</v>
      </c>
    </row>
    <row r="20" spans="1:141" ht="17.100000000000001" customHeight="1" x14ac:dyDescent="0.25">
      <c r="A20" s="60"/>
      <c r="B20" s="312"/>
      <c r="C20" s="325"/>
      <c r="D20" s="325"/>
      <c r="E20" s="325"/>
      <c r="F20" s="325"/>
      <c r="G20" s="325"/>
      <c r="H20" s="135"/>
      <c r="I20" s="135"/>
      <c r="J20" s="134"/>
      <c r="K20" s="22" t="str">
        <f t="shared" si="5"/>
        <v/>
      </c>
      <c r="L20" s="135"/>
      <c r="M20" s="135"/>
      <c r="N20" s="135"/>
      <c r="O20" s="135"/>
      <c r="P20" s="134"/>
      <c r="Q20" s="22" t="str">
        <f t="shared" si="43"/>
        <v/>
      </c>
      <c r="R20" s="135"/>
      <c r="S20" s="135"/>
      <c r="T20" s="135"/>
      <c r="U20" s="135"/>
      <c r="V20" s="135"/>
      <c r="W20" s="134"/>
      <c r="X20" s="22" t="str">
        <f t="shared" si="44"/>
        <v/>
      </c>
      <c r="Y20" s="135"/>
      <c r="Z20" s="135"/>
      <c r="AA20" s="135"/>
      <c r="AB20" s="135"/>
      <c r="AC20" s="22" t="str">
        <f t="shared" si="45"/>
        <v/>
      </c>
      <c r="AD20" s="136"/>
      <c r="AE20" s="136"/>
      <c r="AF20" s="133"/>
      <c r="AG20" s="22" t="str">
        <f t="shared" si="6"/>
        <v/>
      </c>
      <c r="AH20" s="206">
        <f t="shared" si="7"/>
        <v>26</v>
      </c>
      <c r="AI20" s="77" t="str">
        <f t="shared" si="8"/>
        <v/>
      </c>
      <c r="AJ20" s="85" t="str">
        <f t="shared" si="9"/>
        <v/>
      </c>
      <c r="AK20" s="86"/>
      <c r="AL20" s="106"/>
      <c r="AM20" s="87"/>
      <c r="AN20" s="130"/>
      <c r="AO20" s="312"/>
      <c r="AP20" s="325"/>
      <c r="AQ20" s="325"/>
      <c r="AR20" s="325"/>
      <c r="AS20" s="325"/>
      <c r="AT20" s="325"/>
      <c r="AU20" s="135"/>
      <c r="AV20" s="135"/>
      <c r="AW20" s="134"/>
      <c r="AX20" s="22" t="str">
        <f t="shared" si="10"/>
        <v/>
      </c>
      <c r="AY20" s="135"/>
      <c r="AZ20" s="135"/>
      <c r="BA20" s="135"/>
      <c r="BB20" s="135"/>
      <c r="BC20" s="134"/>
      <c r="BD20" s="22" t="str">
        <f t="shared" si="11"/>
        <v/>
      </c>
      <c r="BE20" s="135"/>
      <c r="BF20" s="135"/>
      <c r="BG20" s="135"/>
      <c r="BH20" s="135"/>
      <c r="BI20" s="135"/>
      <c r="BJ20" s="134"/>
      <c r="BK20" s="22" t="str">
        <f t="shared" si="12"/>
        <v/>
      </c>
      <c r="BL20" s="135"/>
      <c r="BM20" s="135"/>
      <c r="BN20" s="135"/>
      <c r="BO20" s="185"/>
      <c r="BP20" s="171" t="str">
        <f t="shared" si="13"/>
        <v/>
      </c>
      <c r="BQ20" s="136"/>
      <c r="BR20" s="136"/>
      <c r="BS20" s="133"/>
      <c r="BT20" s="22" t="str">
        <f t="shared" si="14"/>
        <v/>
      </c>
      <c r="BU20" s="208">
        <f t="shared" si="15"/>
        <v>26</v>
      </c>
      <c r="BV20" s="172" t="str">
        <f t="shared" si="16"/>
        <v/>
      </c>
      <c r="BW20" s="172" t="str">
        <f t="shared" si="17"/>
        <v/>
      </c>
      <c r="BX20" s="86"/>
      <c r="BY20" s="106"/>
      <c r="BZ20" s="90"/>
      <c r="CA20" s="130"/>
      <c r="CB20" s="312"/>
      <c r="CC20" s="325"/>
      <c r="CD20" s="325"/>
      <c r="CE20" s="325"/>
      <c r="CF20" s="325"/>
      <c r="CG20" s="325"/>
      <c r="CH20" s="135"/>
      <c r="CI20" s="135"/>
      <c r="CJ20" s="134"/>
      <c r="CK20" s="22" t="str">
        <f t="shared" si="18"/>
        <v/>
      </c>
      <c r="CL20" s="135"/>
      <c r="CM20" s="135"/>
      <c r="CN20" s="135"/>
      <c r="CO20" s="135"/>
      <c r="CP20" s="134"/>
      <c r="CQ20" s="22" t="str">
        <f t="shared" si="19"/>
        <v/>
      </c>
      <c r="CR20" s="26"/>
      <c r="CS20" s="26"/>
      <c r="CT20" s="135"/>
      <c r="CU20" s="26"/>
      <c r="CV20" s="135"/>
      <c r="CW20" s="134"/>
      <c r="CX20" s="22" t="str">
        <f t="shared" si="20"/>
        <v/>
      </c>
      <c r="CY20" s="135"/>
      <c r="CZ20" s="135"/>
      <c r="DA20" s="135"/>
      <c r="DB20" s="134"/>
      <c r="DC20" s="22" t="str">
        <f t="shared" si="21"/>
        <v/>
      </c>
      <c r="DD20" s="136"/>
      <c r="DE20" s="136"/>
      <c r="DF20" s="133"/>
      <c r="DG20" s="22" t="str">
        <f t="shared" si="22"/>
        <v/>
      </c>
      <c r="DH20" s="208"/>
      <c r="DI20" s="77" t="str">
        <f t="shared" si="23"/>
        <v/>
      </c>
      <c r="DJ20" s="213" t="str">
        <f t="shared" si="24"/>
        <v/>
      </c>
      <c r="DK20" s="213" t="str">
        <f t="shared" si="25"/>
        <v/>
      </c>
      <c r="DL20" s="213" t="str">
        <f t="shared" si="26"/>
        <v/>
      </c>
      <c r="DM20" s="213" t="str">
        <f t="shared" si="27"/>
        <v/>
      </c>
      <c r="DN20" s="213" t="str">
        <f t="shared" si="28"/>
        <v/>
      </c>
      <c r="DO20" s="213" t="str">
        <f t="shared" si="29"/>
        <v/>
      </c>
      <c r="DP20" s="213" t="str">
        <f t="shared" si="30"/>
        <v/>
      </c>
      <c r="DQ20" s="213" t="str">
        <f t="shared" si="31"/>
        <v/>
      </c>
      <c r="DR20" s="213" t="str">
        <f t="shared" si="32"/>
        <v/>
      </c>
      <c r="DS20" s="213" t="str">
        <f t="shared" si="33"/>
        <v/>
      </c>
      <c r="DT20" s="213" t="str">
        <f t="shared" si="34"/>
        <v/>
      </c>
      <c r="DU20" s="213" t="str">
        <f t="shared" si="35"/>
        <v/>
      </c>
      <c r="DV20" s="213" t="str">
        <f t="shared" si="36"/>
        <v/>
      </c>
      <c r="DW20" s="213" t="str">
        <f t="shared" si="37"/>
        <v/>
      </c>
      <c r="DX20" s="213" t="str">
        <f t="shared" si="38"/>
        <v/>
      </c>
      <c r="DY20" s="213" t="str">
        <f t="shared" si="39"/>
        <v/>
      </c>
      <c r="DZ20" s="213" t="str">
        <f t="shared" si="40"/>
        <v/>
      </c>
      <c r="EA20" s="213"/>
      <c r="EB20" s="214" t="str">
        <f t="shared" si="41"/>
        <v/>
      </c>
      <c r="EC20" s="214" t="str">
        <f t="shared" si="42"/>
        <v/>
      </c>
      <c r="ED20" s="86"/>
      <c r="EE20" s="106"/>
      <c r="EF20" s="90"/>
      <c r="EG20" s="68"/>
      <c r="EH20" s="131"/>
      <c r="EI20" s="72" t="s">
        <v>121</v>
      </c>
      <c r="EJ20" s="74" t="s">
        <v>131</v>
      </c>
      <c r="EK20" s="137"/>
    </row>
    <row r="21" spans="1:141" ht="17.100000000000001" customHeight="1" x14ac:dyDescent="0.25">
      <c r="A21" s="60"/>
      <c r="B21" s="311"/>
      <c r="C21" s="324"/>
      <c r="D21" s="324"/>
      <c r="E21" s="324"/>
      <c r="F21" s="324"/>
      <c r="G21" s="324"/>
      <c r="H21" s="129"/>
      <c r="I21" s="129"/>
      <c r="J21" s="128"/>
      <c r="K21" s="21" t="str">
        <f t="shared" si="5"/>
        <v/>
      </c>
      <c r="L21" s="129"/>
      <c r="M21" s="129"/>
      <c r="N21" s="129"/>
      <c r="O21" s="129"/>
      <c r="P21" s="128"/>
      <c r="Q21" s="21" t="str">
        <f t="shared" si="43"/>
        <v/>
      </c>
      <c r="R21" s="129"/>
      <c r="S21" s="129"/>
      <c r="T21" s="129"/>
      <c r="U21" s="129"/>
      <c r="V21" s="129"/>
      <c r="W21" s="128"/>
      <c r="X21" s="21" t="str">
        <f t="shared" si="44"/>
        <v/>
      </c>
      <c r="Y21" s="129"/>
      <c r="Z21" s="129"/>
      <c r="AA21" s="129"/>
      <c r="AB21" s="129"/>
      <c r="AC21" s="21" t="str">
        <f t="shared" si="45"/>
        <v/>
      </c>
      <c r="AD21" s="129"/>
      <c r="AE21" s="129"/>
      <c r="AF21" s="128"/>
      <c r="AG21" s="21" t="str">
        <f t="shared" si="6"/>
        <v/>
      </c>
      <c r="AH21" s="128">
        <f t="shared" si="7"/>
        <v>26</v>
      </c>
      <c r="AI21" s="76" t="str">
        <f t="shared" si="8"/>
        <v/>
      </c>
      <c r="AJ21" s="82" t="str">
        <f t="shared" si="9"/>
        <v/>
      </c>
      <c r="AK21" s="83"/>
      <c r="AL21" s="105"/>
      <c r="AM21" s="84"/>
      <c r="AN21" s="130"/>
      <c r="AO21" s="311"/>
      <c r="AP21" s="324"/>
      <c r="AQ21" s="324"/>
      <c r="AR21" s="324"/>
      <c r="AS21" s="324"/>
      <c r="AT21" s="324"/>
      <c r="AU21" s="129"/>
      <c r="AV21" s="129"/>
      <c r="AW21" s="128"/>
      <c r="AX21" s="21" t="str">
        <f t="shared" si="10"/>
        <v/>
      </c>
      <c r="AY21" s="129"/>
      <c r="AZ21" s="129"/>
      <c r="BA21" s="129"/>
      <c r="BB21" s="129"/>
      <c r="BC21" s="128"/>
      <c r="BD21" s="21" t="str">
        <f t="shared" si="11"/>
        <v/>
      </c>
      <c r="BE21" s="129"/>
      <c r="BF21" s="129"/>
      <c r="BG21" s="129"/>
      <c r="BH21" s="129"/>
      <c r="BI21" s="129"/>
      <c r="BJ21" s="128"/>
      <c r="BK21" s="21" t="str">
        <f t="shared" si="12"/>
        <v/>
      </c>
      <c r="BL21" s="129"/>
      <c r="BM21" s="129"/>
      <c r="BN21" s="129"/>
      <c r="BO21" s="184"/>
      <c r="BP21" s="169" t="str">
        <f t="shared" si="13"/>
        <v/>
      </c>
      <c r="BQ21" s="129"/>
      <c r="BR21" s="129"/>
      <c r="BS21" s="128"/>
      <c r="BT21" s="21" t="str">
        <f t="shared" si="14"/>
        <v/>
      </c>
      <c r="BU21" s="21">
        <f t="shared" si="15"/>
        <v>26</v>
      </c>
      <c r="BV21" s="170" t="str">
        <f t="shared" si="16"/>
        <v/>
      </c>
      <c r="BW21" s="170" t="str">
        <f t="shared" si="17"/>
        <v/>
      </c>
      <c r="BX21" s="83"/>
      <c r="BY21" s="105"/>
      <c r="BZ21" s="89"/>
      <c r="CA21" s="130"/>
      <c r="CB21" s="311"/>
      <c r="CC21" s="324"/>
      <c r="CD21" s="324"/>
      <c r="CE21" s="324"/>
      <c r="CF21" s="324"/>
      <c r="CG21" s="324"/>
      <c r="CH21" s="129"/>
      <c r="CI21" s="129"/>
      <c r="CJ21" s="128"/>
      <c r="CK21" s="21" t="str">
        <f t="shared" si="18"/>
        <v/>
      </c>
      <c r="CL21" s="129"/>
      <c r="CM21" s="129"/>
      <c r="CN21" s="129"/>
      <c r="CO21" s="129"/>
      <c r="CP21" s="128"/>
      <c r="CQ21" s="21" t="str">
        <f t="shared" si="19"/>
        <v/>
      </c>
      <c r="CR21" s="25"/>
      <c r="CS21" s="25"/>
      <c r="CT21" s="129"/>
      <c r="CU21" s="25"/>
      <c r="CV21" s="129"/>
      <c r="CW21" s="128"/>
      <c r="CX21" s="21" t="str">
        <f t="shared" si="20"/>
        <v/>
      </c>
      <c r="CY21" s="129"/>
      <c r="CZ21" s="129"/>
      <c r="DA21" s="129"/>
      <c r="DB21" s="128"/>
      <c r="DC21" s="21" t="str">
        <f t="shared" si="21"/>
        <v/>
      </c>
      <c r="DD21" s="129"/>
      <c r="DE21" s="129"/>
      <c r="DF21" s="128"/>
      <c r="DG21" s="21" t="str">
        <f t="shared" si="22"/>
        <v/>
      </c>
      <c r="DH21" s="21"/>
      <c r="DI21" s="76" t="str">
        <f t="shared" si="23"/>
        <v/>
      </c>
      <c r="DJ21" s="212" t="str">
        <f t="shared" si="24"/>
        <v/>
      </c>
      <c r="DK21" s="212" t="str">
        <f t="shared" si="25"/>
        <v/>
      </c>
      <c r="DL21" s="212" t="str">
        <f t="shared" si="26"/>
        <v/>
      </c>
      <c r="DM21" s="212" t="str">
        <f t="shared" si="27"/>
        <v/>
      </c>
      <c r="DN21" s="212" t="str">
        <f t="shared" si="28"/>
        <v/>
      </c>
      <c r="DO21" s="212" t="str">
        <f t="shared" si="29"/>
        <v/>
      </c>
      <c r="DP21" s="212" t="str">
        <f t="shared" si="30"/>
        <v/>
      </c>
      <c r="DQ21" s="212" t="str">
        <f t="shared" si="31"/>
        <v/>
      </c>
      <c r="DR21" s="212" t="str">
        <f t="shared" si="32"/>
        <v/>
      </c>
      <c r="DS21" s="212" t="str">
        <f t="shared" si="33"/>
        <v/>
      </c>
      <c r="DT21" s="212" t="str">
        <f t="shared" si="34"/>
        <v/>
      </c>
      <c r="DU21" s="212" t="str">
        <f t="shared" si="35"/>
        <v/>
      </c>
      <c r="DV21" s="212" t="str">
        <f t="shared" si="36"/>
        <v/>
      </c>
      <c r="DW21" s="212" t="str">
        <f t="shared" si="37"/>
        <v/>
      </c>
      <c r="DX21" s="212" t="str">
        <f t="shared" si="38"/>
        <v/>
      </c>
      <c r="DY21" s="212" t="str">
        <f t="shared" si="39"/>
        <v/>
      </c>
      <c r="DZ21" s="212" t="str">
        <f t="shared" si="40"/>
        <v/>
      </c>
      <c r="EA21" s="212"/>
      <c r="EB21" s="212" t="str">
        <f t="shared" si="41"/>
        <v/>
      </c>
      <c r="EC21" s="212" t="str">
        <f t="shared" si="42"/>
        <v/>
      </c>
      <c r="ED21" s="83"/>
      <c r="EE21" s="105"/>
      <c r="EF21" s="89"/>
      <c r="EG21" s="68"/>
      <c r="EH21" s="131"/>
      <c r="EI21" s="72" t="s">
        <v>123</v>
      </c>
      <c r="EJ21" s="74" t="s">
        <v>128</v>
      </c>
      <c r="EK21" s="137"/>
    </row>
    <row r="22" spans="1:141" ht="17.100000000000001" customHeight="1" x14ac:dyDescent="0.25">
      <c r="A22" s="60"/>
      <c r="B22" s="312"/>
      <c r="C22" s="325"/>
      <c r="D22" s="325"/>
      <c r="E22" s="325"/>
      <c r="F22" s="325"/>
      <c r="G22" s="325"/>
      <c r="H22" s="135"/>
      <c r="I22" s="135"/>
      <c r="J22" s="134"/>
      <c r="K22" s="22" t="str">
        <f t="shared" si="5"/>
        <v/>
      </c>
      <c r="L22" s="135"/>
      <c r="M22" s="135"/>
      <c r="N22" s="135"/>
      <c r="O22" s="135"/>
      <c r="P22" s="134"/>
      <c r="Q22" s="22" t="str">
        <f t="shared" si="43"/>
        <v/>
      </c>
      <c r="R22" s="135"/>
      <c r="S22" s="135"/>
      <c r="T22" s="135"/>
      <c r="U22" s="135"/>
      <c r="V22" s="135"/>
      <c r="W22" s="134"/>
      <c r="X22" s="22" t="str">
        <f t="shared" si="44"/>
        <v/>
      </c>
      <c r="Y22" s="135"/>
      <c r="Z22" s="135"/>
      <c r="AA22" s="135"/>
      <c r="AB22" s="135"/>
      <c r="AC22" s="22" t="str">
        <f t="shared" si="45"/>
        <v/>
      </c>
      <c r="AD22" s="136"/>
      <c r="AE22" s="136"/>
      <c r="AF22" s="133"/>
      <c r="AG22" s="22" t="str">
        <f t="shared" si="6"/>
        <v/>
      </c>
      <c r="AH22" s="206">
        <f t="shared" si="7"/>
        <v>26</v>
      </c>
      <c r="AI22" s="77" t="str">
        <f t="shared" si="8"/>
        <v/>
      </c>
      <c r="AJ22" s="85" t="str">
        <f t="shared" si="9"/>
        <v/>
      </c>
      <c r="AK22" s="86"/>
      <c r="AL22" s="106"/>
      <c r="AM22" s="87"/>
      <c r="AN22" s="130"/>
      <c r="AO22" s="312"/>
      <c r="AP22" s="325"/>
      <c r="AQ22" s="325"/>
      <c r="AR22" s="325"/>
      <c r="AS22" s="325"/>
      <c r="AT22" s="325"/>
      <c r="AU22" s="135"/>
      <c r="AV22" s="135"/>
      <c r="AW22" s="134"/>
      <c r="AX22" s="22" t="str">
        <f t="shared" si="10"/>
        <v/>
      </c>
      <c r="AY22" s="135"/>
      <c r="AZ22" s="135"/>
      <c r="BA22" s="135"/>
      <c r="BB22" s="135"/>
      <c r="BC22" s="134"/>
      <c r="BD22" s="22" t="str">
        <f t="shared" si="11"/>
        <v/>
      </c>
      <c r="BE22" s="135"/>
      <c r="BF22" s="135"/>
      <c r="BG22" s="135"/>
      <c r="BH22" s="135"/>
      <c r="BI22" s="135"/>
      <c r="BJ22" s="134"/>
      <c r="BK22" s="22" t="str">
        <f t="shared" si="12"/>
        <v/>
      </c>
      <c r="BL22" s="135"/>
      <c r="BM22" s="135"/>
      <c r="BN22" s="135"/>
      <c r="BO22" s="185"/>
      <c r="BP22" s="171" t="str">
        <f t="shared" si="13"/>
        <v/>
      </c>
      <c r="BQ22" s="136"/>
      <c r="BR22" s="136"/>
      <c r="BS22" s="133"/>
      <c r="BT22" s="22" t="str">
        <f t="shared" si="14"/>
        <v/>
      </c>
      <c r="BU22" s="208">
        <f t="shared" si="15"/>
        <v>26</v>
      </c>
      <c r="BV22" s="172" t="str">
        <f t="shared" si="16"/>
        <v/>
      </c>
      <c r="BW22" s="172" t="str">
        <f t="shared" si="17"/>
        <v/>
      </c>
      <c r="BX22" s="86"/>
      <c r="BY22" s="106"/>
      <c r="BZ22" s="90"/>
      <c r="CA22" s="130"/>
      <c r="CB22" s="312"/>
      <c r="CC22" s="325"/>
      <c r="CD22" s="325"/>
      <c r="CE22" s="325"/>
      <c r="CF22" s="325"/>
      <c r="CG22" s="325"/>
      <c r="CH22" s="135"/>
      <c r="CI22" s="135"/>
      <c r="CJ22" s="134"/>
      <c r="CK22" s="22" t="str">
        <f t="shared" si="18"/>
        <v/>
      </c>
      <c r="CL22" s="135"/>
      <c r="CM22" s="135"/>
      <c r="CN22" s="135"/>
      <c r="CO22" s="135"/>
      <c r="CP22" s="134"/>
      <c r="CQ22" s="22" t="str">
        <f t="shared" si="19"/>
        <v/>
      </c>
      <c r="CR22" s="26"/>
      <c r="CS22" s="26"/>
      <c r="CT22" s="135"/>
      <c r="CU22" s="26"/>
      <c r="CV22" s="135"/>
      <c r="CW22" s="134"/>
      <c r="CX22" s="22" t="str">
        <f t="shared" si="20"/>
        <v/>
      </c>
      <c r="CY22" s="135"/>
      <c r="CZ22" s="135"/>
      <c r="DA22" s="135"/>
      <c r="DB22" s="134"/>
      <c r="DC22" s="22" t="str">
        <f t="shared" si="21"/>
        <v/>
      </c>
      <c r="DD22" s="136"/>
      <c r="DE22" s="136"/>
      <c r="DF22" s="133"/>
      <c r="DG22" s="22" t="str">
        <f t="shared" si="22"/>
        <v/>
      </c>
      <c r="DH22" s="208"/>
      <c r="DI22" s="77" t="str">
        <f t="shared" si="23"/>
        <v/>
      </c>
      <c r="DJ22" s="213" t="str">
        <f t="shared" si="24"/>
        <v/>
      </c>
      <c r="DK22" s="213" t="str">
        <f t="shared" si="25"/>
        <v/>
      </c>
      <c r="DL22" s="213" t="str">
        <f t="shared" si="26"/>
        <v/>
      </c>
      <c r="DM22" s="213" t="str">
        <f t="shared" si="27"/>
        <v/>
      </c>
      <c r="DN22" s="213" t="str">
        <f t="shared" si="28"/>
        <v/>
      </c>
      <c r="DO22" s="213" t="str">
        <f t="shared" si="29"/>
        <v/>
      </c>
      <c r="DP22" s="213" t="str">
        <f t="shared" si="30"/>
        <v/>
      </c>
      <c r="DQ22" s="213" t="str">
        <f t="shared" si="31"/>
        <v/>
      </c>
      <c r="DR22" s="213" t="str">
        <f t="shared" si="32"/>
        <v/>
      </c>
      <c r="DS22" s="213" t="str">
        <f t="shared" si="33"/>
        <v/>
      </c>
      <c r="DT22" s="213" t="str">
        <f t="shared" si="34"/>
        <v/>
      </c>
      <c r="DU22" s="213" t="str">
        <f t="shared" si="35"/>
        <v/>
      </c>
      <c r="DV22" s="213" t="str">
        <f t="shared" si="36"/>
        <v/>
      </c>
      <c r="DW22" s="213" t="str">
        <f t="shared" si="37"/>
        <v/>
      </c>
      <c r="DX22" s="213" t="str">
        <f t="shared" si="38"/>
        <v/>
      </c>
      <c r="DY22" s="213" t="str">
        <f t="shared" si="39"/>
        <v/>
      </c>
      <c r="DZ22" s="213" t="str">
        <f t="shared" si="40"/>
        <v/>
      </c>
      <c r="EA22" s="213"/>
      <c r="EB22" s="214" t="str">
        <f t="shared" si="41"/>
        <v/>
      </c>
      <c r="EC22" s="214" t="str">
        <f t="shared" si="42"/>
        <v/>
      </c>
      <c r="ED22" s="86"/>
      <c r="EE22" s="106"/>
      <c r="EF22" s="90"/>
      <c r="EG22" s="68"/>
      <c r="EH22" s="131"/>
      <c r="EI22" s="72">
        <v>0</v>
      </c>
      <c r="EJ22" s="74">
        <v>0</v>
      </c>
    </row>
    <row r="23" spans="1:141" ht="17.100000000000001" customHeight="1" x14ac:dyDescent="0.25">
      <c r="A23" s="60"/>
      <c r="B23" s="311"/>
      <c r="C23" s="324"/>
      <c r="D23" s="324"/>
      <c r="E23" s="324"/>
      <c r="F23" s="324"/>
      <c r="G23" s="324"/>
      <c r="H23" s="129"/>
      <c r="I23" s="129"/>
      <c r="J23" s="128"/>
      <c r="K23" s="21" t="str">
        <f t="shared" si="5"/>
        <v/>
      </c>
      <c r="L23" s="129"/>
      <c r="M23" s="129"/>
      <c r="N23" s="129"/>
      <c r="O23" s="129"/>
      <c r="P23" s="128"/>
      <c r="Q23" s="21" t="str">
        <f t="shared" si="43"/>
        <v/>
      </c>
      <c r="R23" s="129"/>
      <c r="S23" s="129"/>
      <c r="T23" s="129"/>
      <c r="U23" s="129"/>
      <c r="V23" s="129"/>
      <c r="W23" s="128"/>
      <c r="X23" s="21" t="str">
        <f t="shared" si="44"/>
        <v/>
      </c>
      <c r="Y23" s="129"/>
      <c r="Z23" s="129"/>
      <c r="AA23" s="129"/>
      <c r="AB23" s="129"/>
      <c r="AC23" s="21" t="str">
        <f t="shared" si="45"/>
        <v/>
      </c>
      <c r="AD23" s="129"/>
      <c r="AE23" s="129"/>
      <c r="AF23" s="128"/>
      <c r="AG23" s="21" t="str">
        <f t="shared" si="6"/>
        <v/>
      </c>
      <c r="AH23" s="128">
        <f t="shared" si="7"/>
        <v>26</v>
      </c>
      <c r="AI23" s="76" t="str">
        <f t="shared" si="8"/>
        <v/>
      </c>
      <c r="AJ23" s="82" t="str">
        <f t="shared" si="9"/>
        <v/>
      </c>
      <c r="AK23" s="83"/>
      <c r="AL23" s="105"/>
      <c r="AM23" s="84"/>
      <c r="AN23" s="130"/>
      <c r="AO23" s="311"/>
      <c r="AP23" s="324"/>
      <c r="AQ23" s="324"/>
      <c r="AR23" s="324"/>
      <c r="AS23" s="324"/>
      <c r="AT23" s="324"/>
      <c r="AU23" s="129"/>
      <c r="AV23" s="129"/>
      <c r="AW23" s="128"/>
      <c r="AX23" s="21" t="str">
        <f t="shared" si="10"/>
        <v/>
      </c>
      <c r="AY23" s="129"/>
      <c r="AZ23" s="129"/>
      <c r="BA23" s="129"/>
      <c r="BB23" s="129"/>
      <c r="BC23" s="128"/>
      <c r="BD23" s="21" t="str">
        <f t="shared" si="11"/>
        <v/>
      </c>
      <c r="BE23" s="129"/>
      <c r="BF23" s="129"/>
      <c r="BG23" s="129"/>
      <c r="BH23" s="129"/>
      <c r="BI23" s="129"/>
      <c r="BJ23" s="128"/>
      <c r="BK23" s="21" t="str">
        <f t="shared" si="12"/>
        <v/>
      </c>
      <c r="BL23" s="129"/>
      <c r="BM23" s="129"/>
      <c r="BN23" s="129"/>
      <c r="BO23" s="184"/>
      <c r="BP23" s="169" t="str">
        <f t="shared" si="13"/>
        <v/>
      </c>
      <c r="BQ23" s="129"/>
      <c r="BR23" s="129"/>
      <c r="BS23" s="128"/>
      <c r="BT23" s="21" t="str">
        <f t="shared" si="14"/>
        <v/>
      </c>
      <c r="BU23" s="21">
        <f t="shared" si="15"/>
        <v>26</v>
      </c>
      <c r="BV23" s="170" t="str">
        <f t="shared" si="16"/>
        <v/>
      </c>
      <c r="BW23" s="170" t="str">
        <f t="shared" si="17"/>
        <v/>
      </c>
      <c r="BX23" s="83"/>
      <c r="BY23" s="105"/>
      <c r="BZ23" s="89"/>
      <c r="CA23" s="130"/>
      <c r="CB23" s="311"/>
      <c r="CC23" s="324"/>
      <c r="CD23" s="324"/>
      <c r="CE23" s="324"/>
      <c r="CF23" s="324"/>
      <c r="CG23" s="324"/>
      <c r="CH23" s="129"/>
      <c r="CI23" s="129"/>
      <c r="CJ23" s="128"/>
      <c r="CK23" s="21" t="str">
        <f t="shared" si="18"/>
        <v/>
      </c>
      <c r="CL23" s="129"/>
      <c r="CM23" s="129"/>
      <c r="CN23" s="129"/>
      <c r="CO23" s="129"/>
      <c r="CP23" s="128"/>
      <c r="CQ23" s="21" t="str">
        <f t="shared" si="19"/>
        <v/>
      </c>
      <c r="CR23" s="25"/>
      <c r="CS23" s="25"/>
      <c r="CT23" s="129"/>
      <c r="CU23" s="25"/>
      <c r="CV23" s="129"/>
      <c r="CW23" s="128"/>
      <c r="CX23" s="308" t="str">
        <f t="shared" si="20"/>
        <v/>
      </c>
      <c r="CY23" s="129"/>
      <c r="CZ23" s="129"/>
      <c r="DA23" s="129"/>
      <c r="DB23" s="128"/>
      <c r="DC23" s="21" t="str">
        <f t="shared" si="21"/>
        <v/>
      </c>
      <c r="DD23" s="129"/>
      <c r="DE23" s="129"/>
      <c r="DF23" s="128"/>
      <c r="DG23" s="21" t="str">
        <f t="shared" si="22"/>
        <v/>
      </c>
      <c r="DH23" s="21"/>
      <c r="DI23" s="76" t="str">
        <f t="shared" si="23"/>
        <v/>
      </c>
      <c r="DJ23" s="212" t="str">
        <f t="shared" si="24"/>
        <v/>
      </c>
      <c r="DK23" s="212" t="str">
        <f t="shared" si="25"/>
        <v/>
      </c>
      <c r="DL23" s="212" t="str">
        <f t="shared" si="26"/>
        <v/>
      </c>
      <c r="DM23" s="212" t="str">
        <f t="shared" si="27"/>
        <v/>
      </c>
      <c r="DN23" s="212" t="str">
        <f t="shared" si="28"/>
        <v/>
      </c>
      <c r="DO23" s="212" t="str">
        <f t="shared" si="29"/>
        <v/>
      </c>
      <c r="DP23" s="212" t="str">
        <f t="shared" si="30"/>
        <v/>
      </c>
      <c r="DQ23" s="212" t="str">
        <f t="shared" si="31"/>
        <v/>
      </c>
      <c r="DR23" s="212" t="str">
        <f t="shared" si="32"/>
        <v/>
      </c>
      <c r="DS23" s="212" t="str">
        <f t="shared" si="33"/>
        <v/>
      </c>
      <c r="DT23" s="212" t="str">
        <f t="shared" si="34"/>
        <v/>
      </c>
      <c r="DU23" s="212" t="str">
        <f t="shared" si="35"/>
        <v/>
      </c>
      <c r="DV23" s="212" t="str">
        <f t="shared" si="36"/>
        <v/>
      </c>
      <c r="DW23" s="212" t="str">
        <f t="shared" si="37"/>
        <v/>
      </c>
      <c r="DX23" s="212" t="str">
        <f t="shared" si="38"/>
        <v/>
      </c>
      <c r="DY23" s="212" t="str">
        <f t="shared" si="39"/>
        <v/>
      </c>
      <c r="DZ23" s="212" t="str">
        <f t="shared" si="40"/>
        <v/>
      </c>
      <c r="EA23" s="212"/>
      <c r="EB23" s="212" t="str">
        <f t="shared" si="41"/>
        <v/>
      </c>
      <c r="EC23" s="212" t="str">
        <f t="shared" si="42"/>
        <v/>
      </c>
      <c r="ED23" s="83"/>
      <c r="EE23" s="105"/>
      <c r="EF23" s="89"/>
      <c r="EG23" s="68"/>
      <c r="EH23" s="131"/>
      <c r="EI23" s="72">
        <v>0</v>
      </c>
      <c r="EJ23" s="74">
        <v>0</v>
      </c>
    </row>
    <row r="24" spans="1:141" ht="17.100000000000001" customHeight="1" x14ac:dyDescent="0.35">
      <c r="A24" s="60"/>
      <c r="B24" s="312"/>
      <c r="C24" s="325"/>
      <c r="D24" s="325"/>
      <c r="E24" s="325"/>
      <c r="F24" s="325"/>
      <c r="G24" s="325"/>
      <c r="H24" s="135"/>
      <c r="I24" s="135"/>
      <c r="J24" s="134"/>
      <c r="K24" s="22" t="str">
        <f t="shared" si="5"/>
        <v/>
      </c>
      <c r="L24" s="135"/>
      <c r="M24" s="135"/>
      <c r="N24" s="135"/>
      <c r="O24" s="135"/>
      <c r="P24" s="134"/>
      <c r="Q24" s="22" t="str">
        <f t="shared" si="43"/>
        <v/>
      </c>
      <c r="R24" s="135"/>
      <c r="S24" s="135"/>
      <c r="T24" s="135"/>
      <c r="U24" s="135"/>
      <c r="V24" s="135"/>
      <c r="W24" s="134"/>
      <c r="X24" s="22" t="str">
        <f t="shared" si="44"/>
        <v/>
      </c>
      <c r="Y24" s="135"/>
      <c r="Z24" s="135"/>
      <c r="AA24" s="135"/>
      <c r="AB24" s="135"/>
      <c r="AC24" s="22" t="str">
        <f t="shared" si="45"/>
        <v/>
      </c>
      <c r="AD24" s="136"/>
      <c r="AE24" s="136"/>
      <c r="AF24" s="133"/>
      <c r="AG24" s="22" t="str">
        <f t="shared" si="6"/>
        <v/>
      </c>
      <c r="AH24" s="206">
        <f t="shared" si="7"/>
        <v>26</v>
      </c>
      <c r="AI24" s="77" t="str">
        <f t="shared" si="8"/>
        <v/>
      </c>
      <c r="AJ24" s="85" t="str">
        <f t="shared" si="9"/>
        <v/>
      </c>
      <c r="AK24" s="86"/>
      <c r="AL24" s="106"/>
      <c r="AM24" s="87"/>
      <c r="AN24" s="130"/>
      <c r="AO24" s="312"/>
      <c r="AP24" s="325"/>
      <c r="AQ24" s="325"/>
      <c r="AR24" s="325"/>
      <c r="AS24" s="325"/>
      <c r="AT24" s="325"/>
      <c r="AU24" s="135"/>
      <c r="AV24" s="135"/>
      <c r="AW24" s="134"/>
      <c r="AX24" s="22" t="str">
        <f t="shared" si="10"/>
        <v/>
      </c>
      <c r="AY24" s="135"/>
      <c r="AZ24" s="135"/>
      <c r="BA24" s="135"/>
      <c r="BB24" s="135"/>
      <c r="BC24" s="134"/>
      <c r="BD24" s="22" t="str">
        <f t="shared" si="11"/>
        <v/>
      </c>
      <c r="BE24" s="135"/>
      <c r="BF24" s="135"/>
      <c r="BG24" s="135"/>
      <c r="BH24" s="135"/>
      <c r="BI24" s="135"/>
      <c r="BJ24" s="134"/>
      <c r="BK24" s="22" t="str">
        <f t="shared" si="12"/>
        <v/>
      </c>
      <c r="BL24" s="135"/>
      <c r="BM24" s="135"/>
      <c r="BN24" s="135"/>
      <c r="BO24" s="185"/>
      <c r="BP24" s="171" t="str">
        <f t="shared" si="13"/>
        <v/>
      </c>
      <c r="BQ24" s="136"/>
      <c r="BR24" s="136"/>
      <c r="BS24" s="133"/>
      <c r="BT24" s="22" t="str">
        <f t="shared" si="14"/>
        <v/>
      </c>
      <c r="BU24" s="208">
        <f t="shared" si="15"/>
        <v>26</v>
      </c>
      <c r="BV24" s="172" t="str">
        <f t="shared" si="16"/>
        <v/>
      </c>
      <c r="BW24" s="172" t="str">
        <f t="shared" si="17"/>
        <v/>
      </c>
      <c r="BX24" s="86"/>
      <c r="BY24" s="106"/>
      <c r="BZ24" s="90"/>
      <c r="CA24" s="130"/>
      <c r="CB24" s="312"/>
      <c r="CC24" s="325"/>
      <c r="CD24" s="325"/>
      <c r="CE24" s="325"/>
      <c r="CF24" s="325"/>
      <c r="CG24" s="325"/>
      <c r="CH24" s="135"/>
      <c r="CI24" s="135"/>
      <c r="CJ24" s="134"/>
      <c r="CK24" s="22" t="str">
        <f t="shared" si="18"/>
        <v/>
      </c>
      <c r="CL24" s="135"/>
      <c r="CM24" s="135"/>
      <c r="CN24" s="135"/>
      <c r="CO24" s="135"/>
      <c r="CP24" s="134"/>
      <c r="CQ24" s="22" t="str">
        <f t="shared" si="19"/>
        <v/>
      </c>
      <c r="CR24" s="26"/>
      <c r="CS24" s="26"/>
      <c r="CT24" s="135"/>
      <c r="CU24" s="26"/>
      <c r="CV24" s="135"/>
      <c r="CW24" s="134"/>
      <c r="CX24" s="22" t="str">
        <f t="shared" si="20"/>
        <v/>
      </c>
      <c r="CY24" s="135"/>
      <c r="CZ24" s="135"/>
      <c r="DA24" s="135"/>
      <c r="DB24" s="134"/>
      <c r="DC24" s="22" t="str">
        <f t="shared" si="21"/>
        <v/>
      </c>
      <c r="DD24" s="136"/>
      <c r="DE24" s="136"/>
      <c r="DF24" s="133"/>
      <c r="DG24" s="22" t="str">
        <f t="shared" si="22"/>
        <v/>
      </c>
      <c r="DH24" s="208"/>
      <c r="DI24" s="77" t="str">
        <f t="shared" si="23"/>
        <v/>
      </c>
      <c r="DJ24" s="213" t="str">
        <f t="shared" si="24"/>
        <v/>
      </c>
      <c r="DK24" s="213" t="str">
        <f t="shared" si="25"/>
        <v/>
      </c>
      <c r="DL24" s="213" t="str">
        <f t="shared" si="26"/>
        <v/>
      </c>
      <c r="DM24" s="213" t="str">
        <f t="shared" si="27"/>
        <v/>
      </c>
      <c r="DN24" s="213" t="str">
        <f t="shared" si="28"/>
        <v/>
      </c>
      <c r="DO24" s="213" t="str">
        <f t="shared" si="29"/>
        <v/>
      </c>
      <c r="DP24" s="213" t="str">
        <f t="shared" si="30"/>
        <v/>
      </c>
      <c r="DQ24" s="213" t="str">
        <f t="shared" si="31"/>
        <v/>
      </c>
      <c r="DR24" s="213" t="str">
        <f t="shared" si="32"/>
        <v/>
      </c>
      <c r="DS24" s="213" t="str">
        <f t="shared" si="33"/>
        <v/>
      </c>
      <c r="DT24" s="213" t="str">
        <f t="shared" si="34"/>
        <v/>
      </c>
      <c r="DU24" s="213" t="str">
        <f t="shared" si="35"/>
        <v/>
      </c>
      <c r="DV24" s="213" t="str">
        <f t="shared" si="36"/>
        <v/>
      </c>
      <c r="DW24" s="213" t="str">
        <f t="shared" si="37"/>
        <v/>
      </c>
      <c r="DX24" s="213" t="str">
        <f t="shared" si="38"/>
        <v/>
      </c>
      <c r="DY24" s="213" t="str">
        <f t="shared" si="39"/>
        <v/>
      </c>
      <c r="DZ24" s="213" t="str">
        <f t="shared" si="40"/>
        <v/>
      </c>
      <c r="EA24" s="213"/>
      <c r="EB24" s="214" t="str">
        <f t="shared" si="41"/>
        <v/>
      </c>
      <c r="EC24" s="214" t="str">
        <f t="shared" si="42"/>
        <v/>
      </c>
      <c r="ED24" s="86"/>
      <c r="EE24" s="106"/>
      <c r="EF24" s="90"/>
      <c r="EG24" s="68"/>
      <c r="EH24" s="131"/>
      <c r="EI24" s="73" t="s">
        <v>2</v>
      </c>
      <c r="EJ24" s="180"/>
    </row>
    <row r="25" spans="1:141" ht="17.100000000000001" customHeight="1" x14ac:dyDescent="0.25">
      <c r="A25" s="60"/>
      <c r="B25" s="311"/>
      <c r="C25" s="324"/>
      <c r="D25" s="324"/>
      <c r="E25" s="324"/>
      <c r="F25" s="324"/>
      <c r="G25" s="324"/>
      <c r="H25" s="129"/>
      <c r="I25" s="129"/>
      <c r="J25" s="128"/>
      <c r="K25" s="21" t="str">
        <f t="shared" si="5"/>
        <v/>
      </c>
      <c r="L25" s="129"/>
      <c r="M25" s="129"/>
      <c r="N25" s="129"/>
      <c r="O25" s="129"/>
      <c r="P25" s="128"/>
      <c r="Q25" s="21" t="str">
        <f t="shared" si="43"/>
        <v/>
      </c>
      <c r="R25" s="129"/>
      <c r="S25" s="129"/>
      <c r="T25" s="129"/>
      <c r="U25" s="129"/>
      <c r="V25" s="129"/>
      <c r="W25" s="128"/>
      <c r="X25" s="21" t="str">
        <f t="shared" si="44"/>
        <v/>
      </c>
      <c r="Y25" s="129"/>
      <c r="Z25" s="129"/>
      <c r="AA25" s="129"/>
      <c r="AB25" s="129"/>
      <c r="AC25" s="21" t="str">
        <f t="shared" si="45"/>
        <v/>
      </c>
      <c r="AD25" s="129"/>
      <c r="AE25" s="129"/>
      <c r="AF25" s="128"/>
      <c r="AG25" s="21" t="str">
        <f t="shared" si="6"/>
        <v/>
      </c>
      <c r="AH25" s="128">
        <f t="shared" si="7"/>
        <v>26</v>
      </c>
      <c r="AI25" s="76" t="str">
        <f t="shared" si="8"/>
        <v/>
      </c>
      <c r="AJ25" s="82" t="str">
        <f t="shared" si="9"/>
        <v/>
      </c>
      <c r="AK25" s="83"/>
      <c r="AL25" s="105"/>
      <c r="AM25" s="84"/>
      <c r="AN25" s="130"/>
      <c r="AO25" s="311"/>
      <c r="AP25" s="324"/>
      <c r="AQ25" s="324"/>
      <c r="AR25" s="324"/>
      <c r="AS25" s="324"/>
      <c r="AT25" s="324"/>
      <c r="AU25" s="129"/>
      <c r="AV25" s="129"/>
      <c r="AW25" s="128"/>
      <c r="AX25" s="21" t="str">
        <f t="shared" si="10"/>
        <v/>
      </c>
      <c r="AY25" s="129"/>
      <c r="AZ25" s="129"/>
      <c r="BA25" s="129"/>
      <c r="BB25" s="129"/>
      <c r="BC25" s="128"/>
      <c r="BD25" s="21" t="str">
        <f t="shared" si="11"/>
        <v/>
      </c>
      <c r="BE25" s="129"/>
      <c r="BF25" s="129"/>
      <c r="BG25" s="129"/>
      <c r="BH25" s="129"/>
      <c r="BI25" s="129"/>
      <c r="BJ25" s="128"/>
      <c r="BK25" s="21" t="str">
        <f t="shared" si="12"/>
        <v/>
      </c>
      <c r="BL25" s="129"/>
      <c r="BM25" s="129"/>
      <c r="BN25" s="129"/>
      <c r="BO25" s="184"/>
      <c r="BP25" s="169" t="str">
        <f t="shared" si="13"/>
        <v/>
      </c>
      <c r="BQ25" s="129"/>
      <c r="BR25" s="129"/>
      <c r="BS25" s="128"/>
      <c r="BT25" s="21" t="str">
        <f t="shared" si="14"/>
        <v/>
      </c>
      <c r="BU25" s="21">
        <f t="shared" si="15"/>
        <v>26</v>
      </c>
      <c r="BV25" s="170" t="str">
        <f t="shared" si="16"/>
        <v/>
      </c>
      <c r="BW25" s="170" t="str">
        <f t="shared" si="17"/>
        <v/>
      </c>
      <c r="BX25" s="83"/>
      <c r="BY25" s="105"/>
      <c r="BZ25" s="89"/>
      <c r="CA25" s="130"/>
      <c r="CB25" s="311"/>
      <c r="CC25" s="324"/>
      <c r="CD25" s="324"/>
      <c r="CE25" s="324"/>
      <c r="CF25" s="324"/>
      <c r="CG25" s="324"/>
      <c r="CH25" s="129"/>
      <c r="CI25" s="129"/>
      <c r="CJ25" s="128"/>
      <c r="CK25" s="21" t="str">
        <f t="shared" si="18"/>
        <v/>
      </c>
      <c r="CL25" s="129"/>
      <c r="CM25" s="129"/>
      <c r="CN25" s="129"/>
      <c r="CO25" s="129"/>
      <c r="CP25" s="128"/>
      <c r="CQ25" s="21" t="str">
        <f t="shared" si="19"/>
        <v/>
      </c>
      <c r="CR25" s="25"/>
      <c r="CS25" s="25"/>
      <c r="CT25" s="129"/>
      <c r="CU25" s="25"/>
      <c r="CV25" s="129"/>
      <c r="CW25" s="128"/>
      <c r="CX25" s="21" t="str">
        <f t="shared" si="20"/>
        <v/>
      </c>
      <c r="CY25" s="129"/>
      <c r="CZ25" s="129"/>
      <c r="DA25" s="129"/>
      <c r="DB25" s="128"/>
      <c r="DC25" s="21" t="str">
        <f t="shared" si="21"/>
        <v/>
      </c>
      <c r="DD25" s="129"/>
      <c r="DE25" s="129"/>
      <c r="DF25" s="128"/>
      <c r="DG25" s="21" t="str">
        <f t="shared" si="22"/>
        <v/>
      </c>
      <c r="DH25" s="21"/>
      <c r="DI25" s="76" t="str">
        <f t="shared" si="23"/>
        <v/>
      </c>
      <c r="DJ25" s="212" t="str">
        <f t="shared" si="24"/>
        <v/>
      </c>
      <c r="DK25" s="212" t="str">
        <f t="shared" si="25"/>
        <v/>
      </c>
      <c r="DL25" s="212" t="str">
        <f t="shared" si="26"/>
        <v/>
      </c>
      <c r="DM25" s="212" t="str">
        <f t="shared" si="27"/>
        <v/>
      </c>
      <c r="DN25" s="212" t="str">
        <f t="shared" si="28"/>
        <v/>
      </c>
      <c r="DO25" s="212" t="str">
        <f t="shared" si="29"/>
        <v/>
      </c>
      <c r="DP25" s="212" t="str">
        <f t="shared" si="30"/>
        <v/>
      </c>
      <c r="DQ25" s="212" t="str">
        <f t="shared" si="31"/>
        <v/>
      </c>
      <c r="DR25" s="212" t="str">
        <f t="shared" si="32"/>
        <v/>
      </c>
      <c r="DS25" s="212" t="str">
        <f t="shared" si="33"/>
        <v/>
      </c>
      <c r="DT25" s="212" t="str">
        <f t="shared" si="34"/>
        <v/>
      </c>
      <c r="DU25" s="212" t="str">
        <f t="shared" si="35"/>
        <v/>
      </c>
      <c r="DV25" s="212" t="str">
        <f t="shared" si="36"/>
        <v/>
      </c>
      <c r="DW25" s="212" t="str">
        <f t="shared" si="37"/>
        <v/>
      </c>
      <c r="DX25" s="212" t="str">
        <f t="shared" si="38"/>
        <v/>
      </c>
      <c r="DY25" s="212" t="str">
        <f t="shared" si="39"/>
        <v/>
      </c>
      <c r="DZ25" s="212" t="str">
        <f t="shared" si="40"/>
        <v/>
      </c>
      <c r="EA25" s="212"/>
      <c r="EB25" s="212" t="str">
        <f t="shared" si="41"/>
        <v/>
      </c>
      <c r="EC25" s="212" t="str">
        <f t="shared" si="42"/>
        <v/>
      </c>
      <c r="ED25" s="83"/>
      <c r="EE25" s="105"/>
      <c r="EF25" s="89"/>
      <c r="EG25" s="68"/>
      <c r="EH25" s="131"/>
      <c r="EI25" s="72" t="s">
        <v>117</v>
      </c>
      <c r="EJ25" s="74" t="s">
        <v>129</v>
      </c>
    </row>
    <row r="26" spans="1:141" ht="17.100000000000001" customHeight="1" x14ac:dyDescent="0.25">
      <c r="A26" s="60"/>
      <c r="B26" s="312"/>
      <c r="C26" s="325"/>
      <c r="D26" s="325"/>
      <c r="E26" s="325"/>
      <c r="F26" s="325"/>
      <c r="G26" s="325"/>
      <c r="H26" s="135"/>
      <c r="I26" s="135"/>
      <c r="J26" s="134"/>
      <c r="K26" s="22" t="str">
        <f t="shared" si="5"/>
        <v/>
      </c>
      <c r="L26" s="135"/>
      <c r="M26" s="135"/>
      <c r="N26" s="135"/>
      <c r="O26" s="135"/>
      <c r="P26" s="134"/>
      <c r="Q26" s="22" t="str">
        <f t="shared" si="43"/>
        <v/>
      </c>
      <c r="R26" s="135"/>
      <c r="S26" s="135"/>
      <c r="T26" s="135"/>
      <c r="U26" s="135"/>
      <c r="V26" s="135"/>
      <c r="W26" s="134"/>
      <c r="X26" s="22" t="str">
        <f t="shared" si="44"/>
        <v/>
      </c>
      <c r="Y26" s="135"/>
      <c r="Z26" s="135"/>
      <c r="AA26" s="135"/>
      <c r="AB26" s="135"/>
      <c r="AC26" s="22" t="str">
        <f t="shared" si="45"/>
        <v/>
      </c>
      <c r="AD26" s="135"/>
      <c r="AE26" s="135"/>
      <c r="AF26" s="134"/>
      <c r="AG26" s="22" t="str">
        <f t="shared" si="6"/>
        <v/>
      </c>
      <c r="AH26" s="128">
        <f t="shared" si="7"/>
        <v>26</v>
      </c>
      <c r="AI26" s="77" t="str">
        <f t="shared" si="8"/>
        <v/>
      </c>
      <c r="AJ26" s="85" t="str">
        <f t="shared" si="9"/>
        <v/>
      </c>
      <c r="AK26" s="86"/>
      <c r="AL26" s="106"/>
      <c r="AM26" s="87"/>
      <c r="AN26" s="130"/>
      <c r="AO26" s="312"/>
      <c r="AP26" s="325"/>
      <c r="AQ26" s="325"/>
      <c r="AR26" s="325"/>
      <c r="AS26" s="325"/>
      <c r="AT26" s="325"/>
      <c r="AU26" s="135"/>
      <c r="AV26" s="135"/>
      <c r="AW26" s="134"/>
      <c r="AX26" s="22" t="str">
        <f t="shared" si="10"/>
        <v/>
      </c>
      <c r="AY26" s="135"/>
      <c r="AZ26" s="135"/>
      <c r="BA26" s="135"/>
      <c r="BB26" s="135"/>
      <c r="BC26" s="134"/>
      <c r="BD26" s="22" t="str">
        <f t="shared" si="11"/>
        <v/>
      </c>
      <c r="BE26" s="135"/>
      <c r="BF26" s="135"/>
      <c r="BG26" s="135"/>
      <c r="BH26" s="135"/>
      <c r="BI26" s="135"/>
      <c r="BJ26" s="134"/>
      <c r="BK26" s="22" t="str">
        <f t="shared" si="12"/>
        <v/>
      </c>
      <c r="BL26" s="135"/>
      <c r="BM26" s="135"/>
      <c r="BN26" s="135"/>
      <c r="BO26" s="185"/>
      <c r="BP26" s="171" t="str">
        <f t="shared" si="13"/>
        <v/>
      </c>
      <c r="BQ26" s="135"/>
      <c r="BR26" s="135"/>
      <c r="BS26" s="134"/>
      <c r="BT26" s="22" t="str">
        <f t="shared" si="14"/>
        <v/>
      </c>
      <c r="BU26" s="21">
        <f t="shared" si="15"/>
        <v>26</v>
      </c>
      <c r="BV26" s="172" t="str">
        <f t="shared" si="16"/>
        <v/>
      </c>
      <c r="BW26" s="172" t="str">
        <f t="shared" si="17"/>
        <v/>
      </c>
      <c r="BX26" s="86"/>
      <c r="BY26" s="106"/>
      <c r="BZ26" s="90"/>
      <c r="CA26" s="130"/>
      <c r="CB26" s="312"/>
      <c r="CC26" s="325"/>
      <c r="CD26" s="325"/>
      <c r="CE26" s="325"/>
      <c r="CF26" s="325"/>
      <c r="CG26" s="325"/>
      <c r="CH26" s="135"/>
      <c r="CI26" s="135"/>
      <c r="CJ26" s="134"/>
      <c r="CK26" s="22" t="str">
        <f t="shared" si="18"/>
        <v/>
      </c>
      <c r="CL26" s="135"/>
      <c r="CM26" s="135"/>
      <c r="CN26" s="135"/>
      <c r="CO26" s="135"/>
      <c r="CP26" s="134"/>
      <c r="CQ26" s="22" t="str">
        <f t="shared" si="19"/>
        <v/>
      </c>
      <c r="CR26" s="26"/>
      <c r="CS26" s="26"/>
      <c r="CT26" s="135"/>
      <c r="CU26" s="26"/>
      <c r="CV26" s="135"/>
      <c r="CW26" s="134"/>
      <c r="CX26" s="22" t="str">
        <f t="shared" si="20"/>
        <v/>
      </c>
      <c r="CY26" s="135"/>
      <c r="CZ26" s="135"/>
      <c r="DA26" s="135"/>
      <c r="DB26" s="134"/>
      <c r="DC26" s="22" t="str">
        <f t="shared" si="21"/>
        <v/>
      </c>
      <c r="DD26" s="135"/>
      <c r="DE26" s="135"/>
      <c r="DF26" s="134"/>
      <c r="DG26" s="22" t="str">
        <f t="shared" si="22"/>
        <v/>
      </c>
      <c r="DH26" s="21"/>
      <c r="DI26" s="77" t="str">
        <f t="shared" si="23"/>
        <v/>
      </c>
      <c r="DJ26" s="215" t="str">
        <f t="shared" si="24"/>
        <v/>
      </c>
      <c r="DK26" s="215" t="str">
        <f t="shared" si="25"/>
        <v/>
      </c>
      <c r="DL26" s="215" t="str">
        <f t="shared" si="26"/>
        <v/>
      </c>
      <c r="DM26" s="215" t="str">
        <f t="shared" si="27"/>
        <v/>
      </c>
      <c r="DN26" s="215" t="str">
        <f t="shared" si="28"/>
        <v/>
      </c>
      <c r="DO26" s="215" t="str">
        <f t="shared" si="29"/>
        <v/>
      </c>
      <c r="DP26" s="215" t="str">
        <f t="shared" si="30"/>
        <v/>
      </c>
      <c r="DQ26" s="215" t="str">
        <f t="shared" si="31"/>
        <v/>
      </c>
      <c r="DR26" s="215" t="str">
        <f t="shared" si="32"/>
        <v/>
      </c>
      <c r="DS26" s="215" t="str">
        <f t="shared" si="33"/>
        <v/>
      </c>
      <c r="DT26" s="215" t="str">
        <f t="shared" si="34"/>
        <v/>
      </c>
      <c r="DU26" s="215" t="str">
        <f t="shared" si="35"/>
        <v/>
      </c>
      <c r="DV26" s="215" t="str">
        <f t="shared" si="36"/>
        <v/>
      </c>
      <c r="DW26" s="215" t="str">
        <f t="shared" si="37"/>
        <v/>
      </c>
      <c r="DX26" s="215" t="str">
        <f t="shared" si="38"/>
        <v/>
      </c>
      <c r="DY26" s="215" t="str">
        <f t="shared" si="39"/>
        <v/>
      </c>
      <c r="DZ26" s="215" t="str">
        <f t="shared" si="40"/>
        <v/>
      </c>
      <c r="EA26" s="215"/>
      <c r="EB26" s="214" t="str">
        <f t="shared" si="41"/>
        <v/>
      </c>
      <c r="EC26" s="214" t="str">
        <f t="shared" si="42"/>
        <v/>
      </c>
      <c r="ED26" s="86"/>
      <c r="EE26" s="106"/>
      <c r="EF26" s="90"/>
      <c r="EG26" s="68"/>
      <c r="EH26" s="131"/>
      <c r="EI26" s="72" t="s">
        <v>119</v>
      </c>
      <c r="EJ26" s="74" t="s">
        <v>132</v>
      </c>
    </row>
    <row r="27" spans="1:141" ht="17.100000000000001" customHeight="1" x14ac:dyDescent="0.25">
      <c r="A27" s="60"/>
      <c r="B27" s="311"/>
      <c r="C27" s="324"/>
      <c r="D27" s="324"/>
      <c r="E27" s="324"/>
      <c r="F27" s="324"/>
      <c r="G27" s="324"/>
      <c r="H27" s="129"/>
      <c r="I27" s="129"/>
      <c r="J27" s="128"/>
      <c r="K27" s="21" t="str">
        <f t="shared" si="5"/>
        <v/>
      </c>
      <c r="L27" s="129"/>
      <c r="M27" s="129"/>
      <c r="N27" s="129"/>
      <c r="O27" s="129"/>
      <c r="P27" s="128"/>
      <c r="Q27" s="21" t="str">
        <f t="shared" si="43"/>
        <v/>
      </c>
      <c r="R27" s="129"/>
      <c r="S27" s="129"/>
      <c r="T27" s="129"/>
      <c r="U27" s="129"/>
      <c r="V27" s="129"/>
      <c r="W27" s="128"/>
      <c r="X27" s="21" t="str">
        <f t="shared" si="44"/>
        <v/>
      </c>
      <c r="Y27" s="129"/>
      <c r="Z27" s="129"/>
      <c r="AA27" s="129"/>
      <c r="AB27" s="129"/>
      <c r="AC27" s="21" t="str">
        <f t="shared" si="45"/>
        <v/>
      </c>
      <c r="AD27" s="129"/>
      <c r="AE27" s="129"/>
      <c r="AF27" s="128"/>
      <c r="AG27" s="21" t="str">
        <f t="shared" si="6"/>
        <v/>
      </c>
      <c r="AH27" s="128">
        <f t="shared" si="7"/>
        <v>26</v>
      </c>
      <c r="AI27" s="76" t="str">
        <f t="shared" si="8"/>
        <v/>
      </c>
      <c r="AJ27" s="82" t="str">
        <f t="shared" si="9"/>
        <v/>
      </c>
      <c r="AK27" s="83"/>
      <c r="AL27" s="105"/>
      <c r="AM27" s="84"/>
      <c r="AN27" s="130"/>
      <c r="AO27" s="311"/>
      <c r="AP27" s="324"/>
      <c r="AQ27" s="324"/>
      <c r="AR27" s="324"/>
      <c r="AS27" s="324"/>
      <c r="AT27" s="324"/>
      <c r="AU27" s="129"/>
      <c r="AV27" s="129"/>
      <c r="AW27" s="128"/>
      <c r="AX27" s="21" t="str">
        <f t="shared" si="10"/>
        <v/>
      </c>
      <c r="AY27" s="129"/>
      <c r="AZ27" s="129"/>
      <c r="BA27" s="129"/>
      <c r="BB27" s="129"/>
      <c r="BC27" s="128"/>
      <c r="BD27" s="21" t="str">
        <f t="shared" si="11"/>
        <v/>
      </c>
      <c r="BE27" s="129"/>
      <c r="BF27" s="129"/>
      <c r="BG27" s="129"/>
      <c r="BH27" s="129"/>
      <c r="BI27" s="129"/>
      <c r="BJ27" s="128"/>
      <c r="BK27" s="21" t="str">
        <f t="shared" si="12"/>
        <v/>
      </c>
      <c r="BL27" s="129"/>
      <c r="BM27" s="129"/>
      <c r="BN27" s="129"/>
      <c r="BO27" s="184"/>
      <c r="BP27" s="169" t="str">
        <f t="shared" si="13"/>
        <v/>
      </c>
      <c r="BQ27" s="129"/>
      <c r="BR27" s="129"/>
      <c r="BS27" s="128"/>
      <c r="BT27" s="21" t="str">
        <f t="shared" si="14"/>
        <v/>
      </c>
      <c r="BU27" s="21">
        <f t="shared" si="15"/>
        <v>26</v>
      </c>
      <c r="BV27" s="170" t="str">
        <f t="shared" si="16"/>
        <v/>
      </c>
      <c r="BW27" s="170" t="str">
        <f t="shared" si="17"/>
        <v/>
      </c>
      <c r="BX27" s="83"/>
      <c r="BY27" s="105"/>
      <c r="BZ27" s="89"/>
      <c r="CA27" s="130"/>
      <c r="CB27" s="311"/>
      <c r="CC27" s="324"/>
      <c r="CD27" s="324"/>
      <c r="CE27" s="324"/>
      <c r="CF27" s="324"/>
      <c r="CG27" s="324"/>
      <c r="CH27" s="129"/>
      <c r="CI27" s="129"/>
      <c r="CJ27" s="128"/>
      <c r="CK27" s="21" t="str">
        <f t="shared" si="18"/>
        <v/>
      </c>
      <c r="CL27" s="129"/>
      <c r="CM27" s="129"/>
      <c r="CN27" s="129"/>
      <c r="CO27" s="129"/>
      <c r="CP27" s="128"/>
      <c r="CQ27" s="21" t="str">
        <f t="shared" si="19"/>
        <v/>
      </c>
      <c r="CR27" s="25"/>
      <c r="CS27" s="25"/>
      <c r="CT27" s="129"/>
      <c r="CU27" s="25"/>
      <c r="CV27" s="129"/>
      <c r="CW27" s="128"/>
      <c r="CX27" s="21" t="str">
        <f t="shared" si="20"/>
        <v/>
      </c>
      <c r="CY27" s="129"/>
      <c r="CZ27" s="129"/>
      <c r="DA27" s="129"/>
      <c r="DB27" s="128"/>
      <c r="DC27" s="21" t="str">
        <f t="shared" si="21"/>
        <v/>
      </c>
      <c r="DD27" s="129"/>
      <c r="DE27" s="129"/>
      <c r="DF27" s="128"/>
      <c r="DG27" s="21" t="str">
        <f t="shared" si="22"/>
        <v/>
      </c>
      <c r="DH27" s="21"/>
      <c r="DI27" s="76" t="str">
        <f t="shared" si="23"/>
        <v/>
      </c>
      <c r="DJ27" s="212" t="str">
        <f t="shared" si="24"/>
        <v/>
      </c>
      <c r="DK27" s="212" t="str">
        <f t="shared" si="25"/>
        <v/>
      </c>
      <c r="DL27" s="212" t="str">
        <f t="shared" si="26"/>
        <v/>
      </c>
      <c r="DM27" s="212" t="str">
        <f t="shared" si="27"/>
        <v/>
      </c>
      <c r="DN27" s="212" t="str">
        <f t="shared" si="28"/>
        <v/>
      </c>
      <c r="DO27" s="212" t="str">
        <f t="shared" si="29"/>
        <v/>
      </c>
      <c r="DP27" s="212" t="str">
        <f t="shared" si="30"/>
        <v/>
      </c>
      <c r="DQ27" s="212" t="str">
        <f t="shared" si="31"/>
        <v/>
      </c>
      <c r="DR27" s="212" t="str">
        <f t="shared" si="32"/>
        <v/>
      </c>
      <c r="DS27" s="212" t="str">
        <f t="shared" si="33"/>
        <v/>
      </c>
      <c r="DT27" s="212" t="str">
        <f t="shared" si="34"/>
        <v/>
      </c>
      <c r="DU27" s="212" t="str">
        <f t="shared" si="35"/>
        <v/>
      </c>
      <c r="DV27" s="212" t="str">
        <f t="shared" si="36"/>
        <v/>
      </c>
      <c r="DW27" s="212" t="str">
        <f t="shared" si="37"/>
        <v/>
      </c>
      <c r="DX27" s="212" t="str">
        <f t="shared" si="38"/>
        <v/>
      </c>
      <c r="DY27" s="212" t="str">
        <f t="shared" si="39"/>
        <v/>
      </c>
      <c r="DZ27" s="212" t="str">
        <f t="shared" si="40"/>
        <v/>
      </c>
      <c r="EA27" s="212"/>
      <c r="EB27" s="212" t="str">
        <f t="shared" si="41"/>
        <v/>
      </c>
      <c r="EC27" s="212" t="str">
        <f t="shared" si="42"/>
        <v/>
      </c>
      <c r="ED27" s="83"/>
      <c r="EE27" s="105"/>
      <c r="EF27" s="89"/>
      <c r="EG27" s="68"/>
      <c r="EH27" s="131"/>
      <c r="EI27" s="72" t="s">
        <v>121</v>
      </c>
      <c r="EJ27" s="74" t="s">
        <v>131</v>
      </c>
    </row>
    <row r="28" spans="1:141" ht="17.100000000000001" customHeight="1" x14ac:dyDescent="0.25">
      <c r="A28" s="60"/>
      <c r="B28" s="312"/>
      <c r="C28" s="325"/>
      <c r="D28" s="325"/>
      <c r="E28" s="325"/>
      <c r="F28" s="325"/>
      <c r="G28" s="325"/>
      <c r="H28" s="135"/>
      <c r="I28" s="135"/>
      <c r="J28" s="134"/>
      <c r="K28" s="22" t="str">
        <f t="shared" si="5"/>
        <v/>
      </c>
      <c r="L28" s="135"/>
      <c r="M28" s="135"/>
      <c r="N28" s="135"/>
      <c r="O28" s="135"/>
      <c r="P28" s="134"/>
      <c r="Q28" s="22" t="str">
        <f t="shared" si="43"/>
        <v/>
      </c>
      <c r="R28" s="135"/>
      <c r="S28" s="135"/>
      <c r="T28" s="135"/>
      <c r="U28" s="135"/>
      <c r="V28" s="135"/>
      <c r="W28" s="134"/>
      <c r="X28" s="22" t="str">
        <f t="shared" si="44"/>
        <v/>
      </c>
      <c r="Y28" s="135"/>
      <c r="Z28" s="135"/>
      <c r="AA28" s="135"/>
      <c r="AB28" s="135"/>
      <c r="AC28" s="22" t="str">
        <f t="shared" si="45"/>
        <v/>
      </c>
      <c r="AD28" s="135"/>
      <c r="AE28" s="135"/>
      <c r="AF28" s="134"/>
      <c r="AG28" s="22" t="str">
        <f t="shared" si="6"/>
        <v/>
      </c>
      <c r="AH28" s="128">
        <f t="shared" si="7"/>
        <v>26</v>
      </c>
      <c r="AI28" s="77" t="str">
        <f t="shared" si="8"/>
        <v/>
      </c>
      <c r="AJ28" s="85" t="str">
        <f t="shared" si="9"/>
        <v/>
      </c>
      <c r="AK28" s="86"/>
      <c r="AL28" s="106"/>
      <c r="AM28" s="87"/>
      <c r="AN28" s="130"/>
      <c r="AO28" s="312"/>
      <c r="AP28" s="325"/>
      <c r="AQ28" s="325"/>
      <c r="AR28" s="325"/>
      <c r="AS28" s="325"/>
      <c r="AT28" s="325"/>
      <c r="AU28" s="135"/>
      <c r="AV28" s="135"/>
      <c r="AW28" s="134"/>
      <c r="AX28" s="22" t="str">
        <f t="shared" si="10"/>
        <v/>
      </c>
      <c r="AY28" s="135"/>
      <c r="AZ28" s="135"/>
      <c r="BA28" s="135"/>
      <c r="BB28" s="135"/>
      <c r="BC28" s="134"/>
      <c r="BD28" s="22" t="str">
        <f t="shared" si="11"/>
        <v/>
      </c>
      <c r="BE28" s="135"/>
      <c r="BF28" s="135"/>
      <c r="BG28" s="135"/>
      <c r="BH28" s="135"/>
      <c r="BI28" s="135"/>
      <c r="BJ28" s="134"/>
      <c r="BK28" s="22" t="str">
        <f t="shared" si="12"/>
        <v/>
      </c>
      <c r="BL28" s="135"/>
      <c r="BM28" s="135"/>
      <c r="BN28" s="135"/>
      <c r="BO28" s="185"/>
      <c r="BP28" s="171" t="str">
        <f t="shared" si="13"/>
        <v/>
      </c>
      <c r="BQ28" s="135"/>
      <c r="BR28" s="135"/>
      <c r="BS28" s="134"/>
      <c r="BT28" s="22" t="str">
        <f t="shared" si="14"/>
        <v/>
      </c>
      <c r="BU28" s="21">
        <f t="shared" si="15"/>
        <v>26</v>
      </c>
      <c r="BV28" s="172" t="str">
        <f t="shared" si="16"/>
        <v/>
      </c>
      <c r="BW28" s="172" t="str">
        <f t="shared" si="17"/>
        <v/>
      </c>
      <c r="BX28" s="86"/>
      <c r="BY28" s="106"/>
      <c r="BZ28" s="90"/>
      <c r="CA28" s="130"/>
      <c r="CB28" s="312"/>
      <c r="CC28" s="325"/>
      <c r="CD28" s="325"/>
      <c r="CE28" s="325"/>
      <c r="CF28" s="325"/>
      <c r="CG28" s="325"/>
      <c r="CH28" s="135"/>
      <c r="CI28" s="135"/>
      <c r="CJ28" s="134"/>
      <c r="CK28" s="22" t="str">
        <f t="shared" si="18"/>
        <v/>
      </c>
      <c r="CL28" s="135"/>
      <c r="CM28" s="135"/>
      <c r="CN28" s="135"/>
      <c r="CO28" s="135"/>
      <c r="CP28" s="134"/>
      <c r="CQ28" s="22" t="str">
        <f t="shared" si="19"/>
        <v/>
      </c>
      <c r="CR28" s="26"/>
      <c r="CS28" s="26"/>
      <c r="CT28" s="135"/>
      <c r="CU28" s="26"/>
      <c r="CV28" s="135"/>
      <c r="CW28" s="134"/>
      <c r="CX28" s="22" t="str">
        <f t="shared" si="20"/>
        <v/>
      </c>
      <c r="CY28" s="135"/>
      <c r="CZ28" s="135"/>
      <c r="DA28" s="135"/>
      <c r="DB28" s="134"/>
      <c r="DC28" s="22" t="str">
        <f t="shared" si="21"/>
        <v/>
      </c>
      <c r="DD28" s="135"/>
      <c r="DE28" s="135"/>
      <c r="DF28" s="134"/>
      <c r="DG28" s="22" t="str">
        <f t="shared" si="22"/>
        <v/>
      </c>
      <c r="DH28" s="21"/>
      <c r="DI28" s="77" t="str">
        <f t="shared" si="23"/>
        <v/>
      </c>
      <c r="DJ28" s="215" t="str">
        <f t="shared" si="24"/>
        <v/>
      </c>
      <c r="DK28" s="215" t="str">
        <f t="shared" si="25"/>
        <v/>
      </c>
      <c r="DL28" s="215" t="str">
        <f t="shared" si="26"/>
        <v/>
      </c>
      <c r="DM28" s="215" t="str">
        <f t="shared" si="27"/>
        <v/>
      </c>
      <c r="DN28" s="215" t="str">
        <f t="shared" si="28"/>
        <v/>
      </c>
      <c r="DO28" s="215" t="str">
        <f t="shared" si="29"/>
        <v/>
      </c>
      <c r="DP28" s="215" t="str">
        <f t="shared" si="30"/>
        <v/>
      </c>
      <c r="DQ28" s="215" t="str">
        <f t="shared" si="31"/>
        <v/>
      </c>
      <c r="DR28" s="215" t="str">
        <f t="shared" si="32"/>
        <v/>
      </c>
      <c r="DS28" s="215" t="str">
        <f t="shared" si="33"/>
        <v/>
      </c>
      <c r="DT28" s="215" t="str">
        <f t="shared" si="34"/>
        <v/>
      </c>
      <c r="DU28" s="215" t="str">
        <f t="shared" si="35"/>
        <v/>
      </c>
      <c r="DV28" s="215" t="str">
        <f t="shared" si="36"/>
        <v/>
      </c>
      <c r="DW28" s="215" t="str">
        <f t="shared" si="37"/>
        <v/>
      </c>
      <c r="DX28" s="215" t="str">
        <f t="shared" si="38"/>
        <v/>
      </c>
      <c r="DY28" s="215" t="str">
        <f t="shared" si="39"/>
        <v/>
      </c>
      <c r="DZ28" s="215" t="str">
        <f t="shared" si="40"/>
        <v/>
      </c>
      <c r="EA28" s="215"/>
      <c r="EB28" s="214" t="str">
        <f t="shared" si="41"/>
        <v/>
      </c>
      <c r="EC28" s="214" t="str">
        <f t="shared" si="42"/>
        <v/>
      </c>
      <c r="ED28" s="86"/>
      <c r="EE28" s="106"/>
      <c r="EF28" s="90"/>
      <c r="EG28" s="68"/>
      <c r="EH28" s="131"/>
      <c r="EI28" s="72" t="s">
        <v>123</v>
      </c>
      <c r="EJ28" s="74" t="s">
        <v>122</v>
      </c>
    </row>
    <row r="29" spans="1:141" ht="17.100000000000001" customHeight="1" x14ac:dyDescent="0.25">
      <c r="A29" s="60"/>
      <c r="B29" s="311"/>
      <c r="C29" s="324"/>
      <c r="D29" s="324"/>
      <c r="E29" s="324"/>
      <c r="F29" s="324"/>
      <c r="G29" s="324"/>
      <c r="H29" s="129"/>
      <c r="I29" s="129"/>
      <c r="J29" s="128"/>
      <c r="K29" s="21" t="str">
        <f t="shared" si="5"/>
        <v/>
      </c>
      <c r="L29" s="129"/>
      <c r="M29" s="129"/>
      <c r="N29" s="129"/>
      <c r="O29" s="129"/>
      <c r="P29" s="128"/>
      <c r="Q29" s="21" t="str">
        <f t="shared" si="43"/>
        <v/>
      </c>
      <c r="R29" s="129"/>
      <c r="S29" s="129"/>
      <c r="T29" s="129"/>
      <c r="U29" s="129"/>
      <c r="V29" s="129"/>
      <c r="W29" s="128"/>
      <c r="X29" s="21" t="str">
        <f t="shared" si="44"/>
        <v/>
      </c>
      <c r="Y29" s="129"/>
      <c r="Z29" s="129"/>
      <c r="AA29" s="129"/>
      <c r="AB29" s="129"/>
      <c r="AC29" s="21" t="str">
        <f t="shared" si="45"/>
        <v/>
      </c>
      <c r="AD29" s="129"/>
      <c r="AE29" s="129"/>
      <c r="AF29" s="128"/>
      <c r="AG29" s="21" t="str">
        <f t="shared" si="6"/>
        <v/>
      </c>
      <c r="AH29" s="128">
        <f t="shared" si="7"/>
        <v>26</v>
      </c>
      <c r="AI29" s="76" t="str">
        <f t="shared" si="8"/>
        <v/>
      </c>
      <c r="AJ29" s="82" t="str">
        <f t="shared" si="9"/>
        <v/>
      </c>
      <c r="AK29" s="83"/>
      <c r="AL29" s="105"/>
      <c r="AM29" s="84"/>
      <c r="AN29" s="130"/>
      <c r="AO29" s="311"/>
      <c r="AP29" s="324"/>
      <c r="AQ29" s="324"/>
      <c r="AR29" s="324"/>
      <c r="AS29" s="324"/>
      <c r="AT29" s="324"/>
      <c r="AU29" s="129"/>
      <c r="AV29" s="129"/>
      <c r="AW29" s="128"/>
      <c r="AX29" s="21" t="str">
        <f t="shared" si="10"/>
        <v/>
      </c>
      <c r="AY29" s="129"/>
      <c r="AZ29" s="129"/>
      <c r="BA29" s="129"/>
      <c r="BB29" s="129"/>
      <c r="BC29" s="128"/>
      <c r="BD29" s="21" t="str">
        <f t="shared" si="11"/>
        <v/>
      </c>
      <c r="BE29" s="129"/>
      <c r="BF29" s="129"/>
      <c r="BG29" s="129"/>
      <c r="BH29" s="129"/>
      <c r="BI29" s="129"/>
      <c r="BJ29" s="128"/>
      <c r="BK29" s="21" t="str">
        <f t="shared" si="12"/>
        <v/>
      </c>
      <c r="BL29" s="129"/>
      <c r="BM29" s="129"/>
      <c r="BN29" s="129"/>
      <c r="BO29" s="184"/>
      <c r="BP29" s="169" t="str">
        <f t="shared" si="13"/>
        <v/>
      </c>
      <c r="BQ29" s="129"/>
      <c r="BR29" s="129"/>
      <c r="BS29" s="128"/>
      <c r="BT29" s="21" t="str">
        <f t="shared" si="14"/>
        <v/>
      </c>
      <c r="BU29" s="21">
        <f t="shared" si="15"/>
        <v>26</v>
      </c>
      <c r="BV29" s="170" t="str">
        <f t="shared" si="16"/>
        <v/>
      </c>
      <c r="BW29" s="170" t="str">
        <f t="shared" si="17"/>
        <v/>
      </c>
      <c r="BX29" s="83"/>
      <c r="BY29" s="105"/>
      <c r="BZ29" s="89"/>
      <c r="CA29" s="130"/>
      <c r="CB29" s="311"/>
      <c r="CC29" s="324"/>
      <c r="CD29" s="324"/>
      <c r="CE29" s="324"/>
      <c r="CF29" s="324"/>
      <c r="CG29" s="324"/>
      <c r="CH29" s="129"/>
      <c r="CI29" s="129"/>
      <c r="CJ29" s="128"/>
      <c r="CK29" s="21" t="str">
        <f t="shared" si="18"/>
        <v/>
      </c>
      <c r="CL29" s="129"/>
      <c r="CM29" s="129"/>
      <c r="CN29" s="129"/>
      <c r="CO29" s="129"/>
      <c r="CP29" s="128"/>
      <c r="CQ29" s="21" t="str">
        <f t="shared" si="19"/>
        <v/>
      </c>
      <c r="CR29" s="25"/>
      <c r="CS29" s="25"/>
      <c r="CT29" s="129"/>
      <c r="CU29" s="25"/>
      <c r="CV29" s="129"/>
      <c r="CW29" s="128"/>
      <c r="CX29" s="21" t="str">
        <f t="shared" si="20"/>
        <v/>
      </c>
      <c r="CY29" s="129"/>
      <c r="CZ29" s="129"/>
      <c r="DA29" s="129"/>
      <c r="DB29" s="128"/>
      <c r="DC29" s="21" t="str">
        <f t="shared" si="21"/>
        <v/>
      </c>
      <c r="DD29" s="129"/>
      <c r="DE29" s="129"/>
      <c r="DF29" s="128"/>
      <c r="DG29" s="21" t="str">
        <f t="shared" si="22"/>
        <v/>
      </c>
      <c r="DH29" s="21"/>
      <c r="DI29" s="76" t="str">
        <f t="shared" si="23"/>
        <v/>
      </c>
      <c r="DJ29" s="212" t="str">
        <f t="shared" si="24"/>
        <v/>
      </c>
      <c r="DK29" s="212" t="str">
        <f t="shared" si="25"/>
        <v/>
      </c>
      <c r="DL29" s="212" t="str">
        <f t="shared" si="26"/>
        <v/>
      </c>
      <c r="DM29" s="212" t="str">
        <f t="shared" si="27"/>
        <v/>
      </c>
      <c r="DN29" s="212" t="str">
        <f t="shared" si="28"/>
        <v/>
      </c>
      <c r="DO29" s="212" t="str">
        <f t="shared" si="29"/>
        <v/>
      </c>
      <c r="DP29" s="212" t="str">
        <f t="shared" si="30"/>
        <v/>
      </c>
      <c r="DQ29" s="212" t="str">
        <f t="shared" si="31"/>
        <v/>
      </c>
      <c r="DR29" s="212" t="str">
        <f t="shared" si="32"/>
        <v/>
      </c>
      <c r="DS29" s="212" t="str">
        <f t="shared" si="33"/>
        <v/>
      </c>
      <c r="DT29" s="212" t="str">
        <f t="shared" si="34"/>
        <v/>
      </c>
      <c r="DU29" s="212" t="str">
        <f t="shared" si="35"/>
        <v/>
      </c>
      <c r="DV29" s="212" t="str">
        <f t="shared" si="36"/>
        <v/>
      </c>
      <c r="DW29" s="212" t="str">
        <f t="shared" si="37"/>
        <v/>
      </c>
      <c r="DX29" s="212" t="str">
        <f t="shared" si="38"/>
        <v/>
      </c>
      <c r="DY29" s="212" t="str">
        <f t="shared" si="39"/>
        <v/>
      </c>
      <c r="DZ29" s="212" t="str">
        <f t="shared" si="40"/>
        <v/>
      </c>
      <c r="EA29" s="212"/>
      <c r="EB29" s="212" t="str">
        <f t="shared" si="41"/>
        <v/>
      </c>
      <c r="EC29" s="212" t="str">
        <f t="shared" si="42"/>
        <v/>
      </c>
      <c r="ED29" s="83"/>
      <c r="EE29" s="105"/>
      <c r="EF29" s="89"/>
      <c r="EG29" s="68"/>
      <c r="EH29" s="131"/>
      <c r="EI29" s="72" t="s">
        <v>125</v>
      </c>
      <c r="EJ29" s="74" t="s">
        <v>133</v>
      </c>
    </row>
    <row r="30" spans="1:141" ht="17.100000000000001" customHeight="1" x14ac:dyDescent="0.25">
      <c r="A30" s="60"/>
      <c r="B30" s="312"/>
      <c r="C30" s="325"/>
      <c r="D30" s="325"/>
      <c r="E30" s="325"/>
      <c r="F30" s="325"/>
      <c r="G30" s="325"/>
      <c r="H30" s="135"/>
      <c r="I30" s="135"/>
      <c r="J30" s="134"/>
      <c r="K30" s="22" t="str">
        <f t="shared" si="5"/>
        <v/>
      </c>
      <c r="L30" s="135"/>
      <c r="M30" s="135"/>
      <c r="N30" s="135"/>
      <c r="O30" s="135"/>
      <c r="P30" s="134"/>
      <c r="Q30" s="22" t="str">
        <f t="shared" si="43"/>
        <v/>
      </c>
      <c r="R30" s="135"/>
      <c r="S30" s="135"/>
      <c r="T30" s="135"/>
      <c r="U30" s="135"/>
      <c r="V30" s="135"/>
      <c r="W30" s="134"/>
      <c r="X30" s="22" t="str">
        <f t="shared" si="44"/>
        <v/>
      </c>
      <c r="Y30" s="135"/>
      <c r="Z30" s="135"/>
      <c r="AA30" s="135"/>
      <c r="AB30" s="135"/>
      <c r="AC30" s="22" t="str">
        <f t="shared" si="45"/>
        <v/>
      </c>
      <c r="AD30" s="135"/>
      <c r="AE30" s="135"/>
      <c r="AF30" s="134"/>
      <c r="AG30" s="22" t="str">
        <f t="shared" si="6"/>
        <v/>
      </c>
      <c r="AH30" s="128">
        <f t="shared" si="7"/>
        <v>26</v>
      </c>
      <c r="AI30" s="77" t="str">
        <f t="shared" si="8"/>
        <v/>
      </c>
      <c r="AJ30" s="85" t="str">
        <f t="shared" si="9"/>
        <v/>
      </c>
      <c r="AK30" s="77"/>
      <c r="AL30" s="107"/>
      <c r="AM30" s="87"/>
      <c r="AN30" s="130"/>
      <c r="AO30" s="312"/>
      <c r="AP30" s="325"/>
      <c r="AQ30" s="325"/>
      <c r="AR30" s="325"/>
      <c r="AS30" s="325"/>
      <c r="AT30" s="325"/>
      <c r="AU30" s="135"/>
      <c r="AV30" s="135"/>
      <c r="AW30" s="134"/>
      <c r="AX30" s="22" t="str">
        <f t="shared" si="10"/>
        <v/>
      </c>
      <c r="AY30" s="135"/>
      <c r="AZ30" s="135"/>
      <c r="BA30" s="135"/>
      <c r="BB30" s="135"/>
      <c r="BC30" s="134"/>
      <c r="BD30" s="22" t="str">
        <f t="shared" si="11"/>
        <v/>
      </c>
      <c r="BE30" s="135"/>
      <c r="BF30" s="135"/>
      <c r="BG30" s="135"/>
      <c r="BH30" s="135"/>
      <c r="BI30" s="135"/>
      <c r="BJ30" s="134"/>
      <c r="BK30" s="22" t="str">
        <f t="shared" si="12"/>
        <v/>
      </c>
      <c r="BL30" s="135"/>
      <c r="BM30" s="135"/>
      <c r="BN30" s="135"/>
      <c r="BO30" s="185"/>
      <c r="BP30" s="171" t="str">
        <f t="shared" si="13"/>
        <v/>
      </c>
      <c r="BQ30" s="135"/>
      <c r="BR30" s="135"/>
      <c r="BS30" s="134"/>
      <c r="BT30" s="22" t="str">
        <f t="shared" si="14"/>
        <v/>
      </c>
      <c r="BU30" s="21">
        <f t="shared" si="15"/>
        <v>26</v>
      </c>
      <c r="BV30" s="172" t="str">
        <f t="shared" si="16"/>
        <v/>
      </c>
      <c r="BW30" s="172" t="str">
        <f t="shared" si="17"/>
        <v/>
      </c>
      <c r="BX30" s="86"/>
      <c r="BY30" s="106"/>
      <c r="BZ30" s="90"/>
      <c r="CA30" s="130"/>
      <c r="CB30" s="312"/>
      <c r="CC30" s="325"/>
      <c r="CD30" s="325"/>
      <c r="CE30" s="325"/>
      <c r="CF30" s="325"/>
      <c r="CG30" s="325"/>
      <c r="CH30" s="135"/>
      <c r="CI30" s="135"/>
      <c r="CJ30" s="134"/>
      <c r="CK30" s="22" t="str">
        <f t="shared" si="18"/>
        <v/>
      </c>
      <c r="CL30" s="135"/>
      <c r="CM30" s="135"/>
      <c r="CN30" s="135"/>
      <c r="CO30" s="135"/>
      <c r="CP30" s="134"/>
      <c r="CQ30" s="22" t="str">
        <f t="shared" si="19"/>
        <v/>
      </c>
      <c r="CR30" s="26"/>
      <c r="CS30" s="26"/>
      <c r="CT30" s="135"/>
      <c r="CU30" s="26"/>
      <c r="CV30" s="135"/>
      <c r="CW30" s="134"/>
      <c r="CX30" s="22" t="str">
        <f t="shared" si="20"/>
        <v/>
      </c>
      <c r="CY30" s="135"/>
      <c r="CZ30" s="135"/>
      <c r="DA30" s="135"/>
      <c r="DB30" s="134"/>
      <c r="DC30" s="22" t="str">
        <f t="shared" si="21"/>
        <v/>
      </c>
      <c r="DD30" s="135"/>
      <c r="DE30" s="135"/>
      <c r="DF30" s="134"/>
      <c r="DG30" s="22" t="str">
        <f t="shared" si="22"/>
        <v/>
      </c>
      <c r="DH30" s="21"/>
      <c r="DI30" s="77" t="str">
        <f t="shared" si="23"/>
        <v/>
      </c>
      <c r="DJ30" s="215" t="str">
        <f t="shared" si="24"/>
        <v/>
      </c>
      <c r="DK30" s="215" t="str">
        <f t="shared" si="25"/>
        <v/>
      </c>
      <c r="DL30" s="215" t="str">
        <f t="shared" si="26"/>
        <v/>
      </c>
      <c r="DM30" s="215" t="str">
        <f t="shared" si="27"/>
        <v/>
      </c>
      <c r="DN30" s="215" t="str">
        <f t="shared" si="28"/>
        <v/>
      </c>
      <c r="DO30" s="215" t="str">
        <f t="shared" si="29"/>
        <v/>
      </c>
      <c r="DP30" s="215" t="str">
        <f t="shared" si="30"/>
        <v/>
      </c>
      <c r="DQ30" s="215" t="str">
        <f t="shared" si="31"/>
        <v/>
      </c>
      <c r="DR30" s="215" t="str">
        <f t="shared" si="32"/>
        <v/>
      </c>
      <c r="DS30" s="215" t="str">
        <f t="shared" si="33"/>
        <v/>
      </c>
      <c r="DT30" s="215" t="str">
        <f t="shared" si="34"/>
        <v/>
      </c>
      <c r="DU30" s="215" t="str">
        <f t="shared" si="35"/>
        <v/>
      </c>
      <c r="DV30" s="215" t="str">
        <f t="shared" si="36"/>
        <v/>
      </c>
      <c r="DW30" s="215" t="str">
        <f t="shared" si="37"/>
        <v/>
      </c>
      <c r="DX30" s="215" t="str">
        <f t="shared" si="38"/>
        <v/>
      </c>
      <c r="DY30" s="215" t="str">
        <f t="shared" si="39"/>
        <v/>
      </c>
      <c r="DZ30" s="215" t="str">
        <f t="shared" si="40"/>
        <v/>
      </c>
      <c r="EA30" s="215"/>
      <c r="EB30" s="214" t="str">
        <f t="shared" si="41"/>
        <v/>
      </c>
      <c r="EC30" s="214" t="str">
        <f t="shared" si="42"/>
        <v/>
      </c>
      <c r="ED30" s="86"/>
      <c r="EE30" s="106"/>
      <c r="EF30" s="90"/>
      <c r="EG30" s="68"/>
      <c r="EH30" s="131"/>
      <c r="EI30" s="72">
        <v>0</v>
      </c>
      <c r="EJ30" s="74">
        <v>0</v>
      </c>
    </row>
    <row r="31" spans="1:141" ht="17.100000000000001" customHeight="1" x14ac:dyDescent="0.25">
      <c r="A31" s="60"/>
      <c r="B31" s="311"/>
      <c r="C31" s="324"/>
      <c r="D31" s="324"/>
      <c r="E31" s="324"/>
      <c r="F31" s="324"/>
      <c r="G31" s="324"/>
      <c r="H31" s="129"/>
      <c r="I31" s="129"/>
      <c r="J31" s="128"/>
      <c r="K31" s="21" t="str">
        <f t="shared" si="5"/>
        <v/>
      </c>
      <c r="L31" s="129"/>
      <c r="M31" s="129"/>
      <c r="N31" s="129"/>
      <c r="O31" s="129"/>
      <c r="P31" s="128"/>
      <c r="Q31" s="21" t="str">
        <f t="shared" si="43"/>
        <v/>
      </c>
      <c r="R31" s="129"/>
      <c r="S31" s="129"/>
      <c r="T31" s="129"/>
      <c r="U31" s="129"/>
      <c r="V31" s="129"/>
      <c r="W31" s="128"/>
      <c r="X31" s="21" t="str">
        <f t="shared" si="44"/>
        <v/>
      </c>
      <c r="Y31" s="129"/>
      <c r="Z31" s="129"/>
      <c r="AA31" s="129"/>
      <c r="AB31" s="129"/>
      <c r="AC31" s="21" t="str">
        <f t="shared" si="45"/>
        <v/>
      </c>
      <c r="AD31" s="129"/>
      <c r="AE31" s="129"/>
      <c r="AF31" s="128"/>
      <c r="AG31" s="21" t="str">
        <f t="shared" si="6"/>
        <v/>
      </c>
      <c r="AH31" s="128">
        <f t="shared" si="7"/>
        <v>26</v>
      </c>
      <c r="AI31" s="76" t="str">
        <f t="shared" si="8"/>
        <v/>
      </c>
      <c r="AJ31" s="82" t="str">
        <f t="shared" si="9"/>
        <v/>
      </c>
      <c r="AK31" s="76"/>
      <c r="AL31" s="93"/>
      <c r="AM31" s="84"/>
      <c r="AN31" s="130"/>
      <c r="AO31" s="311"/>
      <c r="AP31" s="324"/>
      <c r="AQ31" s="324"/>
      <c r="AR31" s="324"/>
      <c r="AS31" s="324"/>
      <c r="AT31" s="324"/>
      <c r="AU31" s="129"/>
      <c r="AV31" s="129"/>
      <c r="AW31" s="128"/>
      <c r="AX31" s="21" t="str">
        <f t="shared" si="10"/>
        <v/>
      </c>
      <c r="AY31" s="129"/>
      <c r="AZ31" s="129"/>
      <c r="BA31" s="129"/>
      <c r="BB31" s="129"/>
      <c r="BC31" s="128"/>
      <c r="BD31" s="21" t="str">
        <f t="shared" si="11"/>
        <v/>
      </c>
      <c r="BE31" s="129"/>
      <c r="BF31" s="129"/>
      <c r="BG31" s="129"/>
      <c r="BH31" s="129"/>
      <c r="BI31" s="129"/>
      <c r="BJ31" s="128"/>
      <c r="BK31" s="21" t="str">
        <f t="shared" si="12"/>
        <v/>
      </c>
      <c r="BL31" s="129"/>
      <c r="BM31" s="129"/>
      <c r="BN31" s="129"/>
      <c r="BO31" s="184"/>
      <c r="BP31" s="169" t="str">
        <f t="shared" si="13"/>
        <v/>
      </c>
      <c r="BQ31" s="129"/>
      <c r="BR31" s="129"/>
      <c r="BS31" s="128"/>
      <c r="BT31" s="21" t="str">
        <f t="shared" si="14"/>
        <v/>
      </c>
      <c r="BU31" s="21">
        <f t="shared" si="15"/>
        <v>26</v>
      </c>
      <c r="BV31" s="170" t="str">
        <f t="shared" si="16"/>
        <v/>
      </c>
      <c r="BW31" s="170" t="str">
        <f t="shared" si="17"/>
        <v/>
      </c>
      <c r="BX31" s="83"/>
      <c r="BY31" s="105"/>
      <c r="BZ31" s="89"/>
      <c r="CA31" s="130"/>
      <c r="CB31" s="311"/>
      <c r="CC31" s="324"/>
      <c r="CD31" s="324"/>
      <c r="CE31" s="324"/>
      <c r="CF31" s="324"/>
      <c r="CG31" s="324"/>
      <c r="CH31" s="129"/>
      <c r="CI31" s="129"/>
      <c r="CJ31" s="128"/>
      <c r="CK31" s="21" t="str">
        <f t="shared" si="18"/>
        <v/>
      </c>
      <c r="CL31" s="129"/>
      <c r="CM31" s="129"/>
      <c r="CN31" s="129"/>
      <c r="CO31" s="129"/>
      <c r="CP31" s="128"/>
      <c r="CQ31" s="21" t="str">
        <f t="shared" si="19"/>
        <v/>
      </c>
      <c r="CR31" s="25"/>
      <c r="CS31" s="25"/>
      <c r="CT31" s="129"/>
      <c r="CU31" s="25"/>
      <c r="CV31" s="129"/>
      <c r="CW31" s="128"/>
      <c r="CX31" s="21" t="str">
        <f t="shared" si="20"/>
        <v/>
      </c>
      <c r="CY31" s="129"/>
      <c r="CZ31" s="129"/>
      <c r="DA31" s="129"/>
      <c r="DB31" s="128"/>
      <c r="DC31" s="21" t="str">
        <f t="shared" si="21"/>
        <v/>
      </c>
      <c r="DD31" s="129"/>
      <c r="DE31" s="129"/>
      <c r="DF31" s="128"/>
      <c r="DG31" s="21" t="str">
        <f t="shared" si="22"/>
        <v/>
      </c>
      <c r="DH31" s="21"/>
      <c r="DI31" s="76" t="str">
        <f t="shared" si="23"/>
        <v/>
      </c>
      <c r="DJ31" s="212" t="str">
        <f t="shared" si="24"/>
        <v/>
      </c>
      <c r="DK31" s="212" t="str">
        <f t="shared" si="25"/>
        <v/>
      </c>
      <c r="DL31" s="212" t="str">
        <f t="shared" si="26"/>
        <v/>
      </c>
      <c r="DM31" s="212" t="str">
        <f t="shared" si="27"/>
        <v/>
      </c>
      <c r="DN31" s="212" t="str">
        <f t="shared" si="28"/>
        <v/>
      </c>
      <c r="DO31" s="212" t="str">
        <f t="shared" si="29"/>
        <v/>
      </c>
      <c r="DP31" s="212" t="str">
        <f t="shared" si="30"/>
        <v/>
      </c>
      <c r="DQ31" s="212" t="str">
        <f t="shared" si="31"/>
        <v/>
      </c>
      <c r="DR31" s="212" t="str">
        <f t="shared" si="32"/>
        <v/>
      </c>
      <c r="DS31" s="212" t="str">
        <f t="shared" si="33"/>
        <v/>
      </c>
      <c r="DT31" s="212" t="str">
        <f t="shared" si="34"/>
        <v/>
      </c>
      <c r="DU31" s="212" t="str">
        <f t="shared" si="35"/>
        <v/>
      </c>
      <c r="DV31" s="212" t="str">
        <f t="shared" si="36"/>
        <v/>
      </c>
      <c r="DW31" s="212" t="str">
        <f t="shared" si="37"/>
        <v/>
      </c>
      <c r="DX31" s="212" t="str">
        <f t="shared" si="38"/>
        <v/>
      </c>
      <c r="DY31" s="212" t="str">
        <f t="shared" si="39"/>
        <v/>
      </c>
      <c r="DZ31" s="212" t="str">
        <f t="shared" si="40"/>
        <v/>
      </c>
      <c r="EA31" s="212"/>
      <c r="EB31" s="212" t="str">
        <f t="shared" si="41"/>
        <v/>
      </c>
      <c r="EC31" s="212" t="str">
        <f t="shared" si="42"/>
        <v/>
      </c>
      <c r="ED31" s="83"/>
      <c r="EE31" s="105"/>
      <c r="EF31" s="89"/>
      <c r="EG31" s="68"/>
      <c r="EH31" s="131"/>
      <c r="EI31" s="72">
        <v>0</v>
      </c>
      <c r="EJ31" s="74">
        <v>0</v>
      </c>
    </row>
    <row r="32" spans="1:141" ht="17.100000000000001" customHeight="1" x14ac:dyDescent="0.35">
      <c r="A32" s="60"/>
      <c r="B32" s="312"/>
      <c r="C32" s="325"/>
      <c r="D32" s="325"/>
      <c r="E32" s="325"/>
      <c r="F32" s="325"/>
      <c r="G32" s="325"/>
      <c r="H32" s="135"/>
      <c r="I32" s="135"/>
      <c r="J32" s="134"/>
      <c r="K32" s="22" t="str">
        <f t="shared" si="5"/>
        <v/>
      </c>
      <c r="L32" s="135"/>
      <c r="M32" s="135"/>
      <c r="N32" s="135"/>
      <c r="O32" s="135"/>
      <c r="P32" s="134"/>
      <c r="Q32" s="22" t="str">
        <f t="shared" si="43"/>
        <v/>
      </c>
      <c r="R32" s="135"/>
      <c r="S32" s="135"/>
      <c r="T32" s="135"/>
      <c r="U32" s="135"/>
      <c r="V32" s="135"/>
      <c r="W32" s="134"/>
      <c r="X32" s="22" t="str">
        <f t="shared" si="44"/>
        <v/>
      </c>
      <c r="Y32" s="135"/>
      <c r="Z32" s="135"/>
      <c r="AA32" s="135"/>
      <c r="AB32" s="135"/>
      <c r="AC32" s="22" t="str">
        <f t="shared" si="45"/>
        <v/>
      </c>
      <c r="AD32" s="135"/>
      <c r="AE32" s="135"/>
      <c r="AF32" s="134"/>
      <c r="AG32" s="22" t="str">
        <f t="shared" si="6"/>
        <v/>
      </c>
      <c r="AH32" s="128">
        <f t="shared" si="7"/>
        <v>26</v>
      </c>
      <c r="AI32" s="77" t="str">
        <f t="shared" si="8"/>
        <v/>
      </c>
      <c r="AJ32" s="85" t="str">
        <f t="shared" si="9"/>
        <v/>
      </c>
      <c r="AK32" s="77"/>
      <c r="AL32" s="107"/>
      <c r="AM32" s="87"/>
      <c r="AN32" s="130"/>
      <c r="AO32" s="312"/>
      <c r="AP32" s="325"/>
      <c r="AQ32" s="325"/>
      <c r="AR32" s="325"/>
      <c r="AS32" s="325"/>
      <c r="AT32" s="325"/>
      <c r="AU32" s="135"/>
      <c r="AV32" s="135"/>
      <c r="AW32" s="134"/>
      <c r="AX32" s="22" t="str">
        <f t="shared" si="10"/>
        <v/>
      </c>
      <c r="AY32" s="135"/>
      <c r="AZ32" s="135"/>
      <c r="BA32" s="135"/>
      <c r="BB32" s="135"/>
      <c r="BC32" s="134"/>
      <c r="BD32" s="22" t="str">
        <f t="shared" si="11"/>
        <v/>
      </c>
      <c r="BE32" s="135"/>
      <c r="BF32" s="135"/>
      <c r="BG32" s="135"/>
      <c r="BH32" s="135"/>
      <c r="BI32" s="135"/>
      <c r="BJ32" s="134"/>
      <c r="BK32" s="22" t="str">
        <f t="shared" si="12"/>
        <v/>
      </c>
      <c r="BL32" s="135"/>
      <c r="BM32" s="135"/>
      <c r="BN32" s="135"/>
      <c r="BO32" s="185"/>
      <c r="BP32" s="171" t="str">
        <f t="shared" si="13"/>
        <v/>
      </c>
      <c r="BQ32" s="135"/>
      <c r="BR32" s="135"/>
      <c r="BS32" s="134"/>
      <c r="BT32" s="22" t="str">
        <f t="shared" si="14"/>
        <v/>
      </c>
      <c r="BU32" s="21">
        <f t="shared" si="15"/>
        <v>26</v>
      </c>
      <c r="BV32" s="172" t="str">
        <f t="shared" si="16"/>
        <v/>
      </c>
      <c r="BW32" s="172" t="str">
        <f t="shared" si="17"/>
        <v/>
      </c>
      <c r="BX32" s="86"/>
      <c r="BY32" s="106"/>
      <c r="BZ32" s="90"/>
      <c r="CA32" s="130"/>
      <c r="CB32" s="312"/>
      <c r="CC32" s="325"/>
      <c r="CD32" s="325"/>
      <c r="CE32" s="325"/>
      <c r="CF32" s="325"/>
      <c r="CG32" s="325"/>
      <c r="CH32" s="135"/>
      <c r="CI32" s="135"/>
      <c r="CJ32" s="134"/>
      <c r="CK32" s="22" t="str">
        <f t="shared" si="18"/>
        <v/>
      </c>
      <c r="CL32" s="135"/>
      <c r="CM32" s="135"/>
      <c r="CN32" s="135"/>
      <c r="CO32" s="135"/>
      <c r="CP32" s="134"/>
      <c r="CQ32" s="22" t="str">
        <f t="shared" si="19"/>
        <v/>
      </c>
      <c r="CR32" s="26"/>
      <c r="CS32" s="26"/>
      <c r="CT32" s="135"/>
      <c r="CU32" s="26"/>
      <c r="CV32" s="135"/>
      <c r="CW32" s="134"/>
      <c r="CX32" s="22" t="str">
        <f t="shared" si="20"/>
        <v/>
      </c>
      <c r="CY32" s="135"/>
      <c r="CZ32" s="135"/>
      <c r="DA32" s="135"/>
      <c r="DB32" s="134"/>
      <c r="DC32" s="22" t="str">
        <f t="shared" si="21"/>
        <v/>
      </c>
      <c r="DD32" s="135"/>
      <c r="DE32" s="135"/>
      <c r="DF32" s="134"/>
      <c r="DG32" s="22" t="str">
        <f t="shared" si="22"/>
        <v/>
      </c>
      <c r="DH32" s="21"/>
      <c r="DI32" s="77" t="str">
        <f t="shared" si="23"/>
        <v/>
      </c>
      <c r="DJ32" s="215" t="str">
        <f t="shared" si="24"/>
        <v/>
      </c>
      <c r="DK32" s="215" t="str">
        <f t="shared" si="25"/>
        <v/>
      </c>
      <c r="DL32" s="215" t="str">
        <f t="shared" si="26"/>
        <v/>
      </c>
      <c r="DM32" s="215" t="str">
        <f t="shared" si="27"/>
        <v/>
      </c>
      <c r="DN32" s="215" t="str">
        <f t="shared" si="28"/>
        <v/>
      </c>
      <c r="DO32" s="215" t="str">
        <f t="shared" si="29"/>
        <v/>
      </c>
      <c r="DP32" s="215" t="str">
        <f t="shared" si="30"/>
        <v/>
      </c>
      <c r="DQ32" s="215" t="str">
        <f t="shared" si="31"/>
        <v/>
      </c>
      <c r="DR32" s="215" t="str">
        <f t="shared" si="32"/>
        <v/>
      </c>
      <c r="DS32" s="215" t="str">
        <f t="shared" si="33"/>
        <v/>
      </c>
      <c r="DT32" s="215" t="str">
        <f t="shared" si="34"/>
        <v/>
      </c>
      <c r="DU32" s="215" t="str">
        <f t="shared" si="35"/>
        <v/>
      </c>
      <c r="DV32" s="215" t="str">
        <f t="shared" si="36"/>
        <v/>
      </c>
      <c r="DW32" s="215" t="str">
        <f t="shared" si="37"/>
        <v/>
      </c>
      <c r="DX32" s="215" t="str">
        <f t="shared" si="38"/>
        <v/>
      </c>
      <c r="DY32" s="215" t="str">
        <f t="shared" si="39"/>
        <v/>
      </c>
      <c r="DZ32" s="215" t="str">
        <f t="shared" si="40"/>
        <v/>
      </c>
      <c r="EA32" s="215"/>
      <c r="EB32" s="214" t="str">
        <f t="shared" si="41"/>
        <v/>
      </c>
      <c r="EC32" s="214" t="str">
        <f t="shared" si="42"/>
        <v/>
      </c>
      <c r="ED32" s="86"/>
      <c r="EE32" s="106"/>
      <c r="EF32" s="90"/>
      <c r="EG32" s="68"/>
      <c r="EH32" s="131"/>
      <c r="EI32" s="73" t="s">
        <v>1</v>
      </c>
      <c r="EJ32" s="180"/>
    </row>
    <row r="33" spans="1:140" ht="17.100000000000001" customHeight="1" x14ac:dyDescent="0.25">
      <c r="A33" s="60"/>
      <c r="B33" s="311"/>
      <c r="C33" s="324"/>
      <c r="D33" s="324"/>
      <c r="E33" s="324"/>
      <c r="F33" s="324"/>
      <c r="G33" s="324"/>
      <c r="H33" s="129"/>
      <c r="I33" s="129"/>
      <c r="J33" s="128"/>
      <c r="K33" s="21" t="str">
        <f t="shared" si="5"/>
        <v/>
      </c>
      <c r="L33" s="129"/>
      <c r="M33" s="129"/>
      <c r="N33" s="129"/>
      <c r="O33" s="129"/>
      <c r="P33" s="128"/>
      <c r="Q33" s="21" t="str">
        <f t="shared" si="43"/>
        <v/>
      </c>
      <c r="R33" s="129"/>
      <c r="S33" s="129"/>
      <c r="T33" s="129"/>
      <c r="U33" s="129"/>
      <c r="V33" s="129"/>
      <c r="W33" s="128"/>
      <c r="X33" s="21" t="str">
        <f t="shared" si="44"/>
        <v/>
      </c>
      <c r="Y33" s="129"/>
      <c r="Z33" s="129"/>
      <c r="AA33" s="129"/>
      <c r="AB33" s="129"/>
      <c r="AC33" s="21" t="str">
        <f t="shared" si="45"/>
        <v/>
      </c>
      <c r="AD33" s="129"/>
      <c r="AE33" s="129"/>
      <c r="AF33" s="128"/>
      <c r="AG33" s="21" t="str">
        <f t="shared" si="6"/>
        <v/>
      </c>
      <c r="AH33" s="128">
        <f t="shared" si="7"/>
        <v>26</v>
      </c>
      <c r="AI33" s="76" t="str">
        <f t="shared" si="8"/>
        <v/>
      </c>
      <c r="AJ33" s="82" t="str">
        <f t="shared" si="9"/>
        <v/>
      </c>
      <c r="AK33" s="76"/>
      <c r="AL33" s="93"/>
      <c r="AM33" s="84"/>
      <c r="AN33" s="130"/>
      <c r="AO33" s="311"/>
      <c r="AP33" s="324"/>
      <c r="AQ33" s="324"/>
      <c r="AR33" s="324"/>
      <c r="AS33" s="324"/>
      <c r="AT33" s="324"/>
      <c r="AU33" s="129"/>
      <c r="AV33" s="129"/>
      <c r="AW33" s="128"/>
      <c r="AX33" s="21" t="str">
        <f t="shared" si="10"/>
        <v/>
      </c>
      <c r="AY33" s="129"/>
      <c r="AZ33" s="129"/>
      <c r="BA33" s="129"/>
      <c r="BB33" s="129"/>
      <c r="BC33" s="128"/>
      <c r="BD33" s="21" t="str">
        <f t="shared" si="11"/>
        <v/>
      </c>
      <c r="BE33" s="129"/>
      <c r="BF33" s="129"/>
      <c r="BG33" s="129"/>
      <c r="BH33" s="129"/>
      <c r="BI33" s="129"/>
      <c r="BJ33" s="128"/>
      <c r="BK33" s="21" t="str">
        <f t="shared" si="12"/>
        <v/>
      </c>
      <c r="BL33" s="129"/>
      <c r="BM33" s="129"/>
      <c r="BN33" s="129"/>
      <c r="BO33" s="184"/>
      <c r="BP33" s="169" t="str">
        <f t="shared" si="13"/>
        <v/>
      </c>
      <c r="BQ33" s="129"/>
      <c r="BR33" s="129"/>
      <c r="BS33" s="128"/>
      <c r="BT33" s="21" t="str">
        <f t="shared" si="14"/>
        <v/>
      </c>
      <c r="BU33" s="21">
        <f t="shared" si="15"/>
        <v>26</v>
      </c>
      <c r="BV33" s="170" t="str">
        <f t="shared" si="16"/>
        <v/>
      </c>
      <c r="BW33" s="170" t="str">
        <f t="shared" si="17"/>
        <v/>
      </c>
      <c r="BX33" s="83"/>
      <c r="BY33" s="105"/>
      <c r="BZ33" s="89"/>
      <c r="CA33" s="130"/>
      <c r="CB33" s="311"/>
      <c r="CC33" s="324"/>
      <c r="CD33" s="324"/>
      <c r="CE33" s="324"/>
      <c r="CF33" s="324"/>
      <c r="CG33" s="324"/>
      <c r="CH33" s="129"/>
      <c r="CI33" s="129"/>
      <c r="CJ33" s="128"/>
      <c r="CK33" s="21" t="str">
        <f t="shared" si="18"/>
        <v/>
      </c>
      <c r="CL33" s="129"/>
      <c r="CM33" s="129"/>
      <c r="CN33" s="129"/>
      <c r="CO33" s="129"/>
      <c r="CP33" s="128"/>
      <c r="CQ33" s="21" t="str">
        <f t="shared" si="19"/>
        <v/>
      </c>
      <c r="CR33" s="25"/>
      <c r="CS33" s="25"/>
      <c r="CT33" s="129"/>
      <c r="CU33" s="25"/>
      <c r="CV33" s="129"/>
      <c r="CW33" s="128"/>
      <c r="CX33" s="21" t="str">
        <f t="shared" si="20"/>
        <v/>
      </c>
      <c r="CY33" s="129"/>
      <c r="CZ33" s="129"/>
      <c r="DA33" s="129"/>
      <c r="DB33" s="128"/>
      <c r="DC33" s="21" t="str">
        <f t="shared" si="21"/>
        <v/>
      </c>
      <c r="DD33" s="129"/>
      <c r="DE33" s="129"/>
      <c r="DF33" s="128"/>
      <c r="DG33" s="21" t="str">
        <f t="shared" si="22"/>
        <v/>
      </c>
      <c r="DH33" s="21"/>
      <c r="DI33" s="76" t="str">
        <f t="shared" si="23"/>
        <v/>
      </c>
      <c r="DJ33" s="212" t="str">
        <f t="shared" si="24"/>
        <v/>
      </c>
      <c r="DK33" s="212" t="str">
        <f t="shared" si="25"/>
        <v/>
      </c>
      <c r="DL33" s="212" t="str">
        <f t="shared" si="26"/>
        <v/>
      </c>
      <c r="DM33" s="212" t="str">
        <f t="shared" si="27"/>
        <v/>
      </c>
      <c r="DN33" s="212" t="str">
        <f t="shared" si="28"/>
        <v/>
      </c>
      <c r="DO33" s="212" t="str">
        <f t="shared" si="29"/>
        <v/>
      </c>
      <c r="DP33" s="212" t="str">
        <f t="shared" si="30"/>
        <v/>
      </c>
      <c r="DQ33" s="212" t="str">
        <f t="shared" si="31"/>
        <v/>
      </c>
      <c r="DR33" s="212" t="str">
        <f t="shared" si="32"/>
        <v/>
      </c>
      <c r="DS33" s="212" t="str">
        <f t="shared" si="33"/>
        <v/>
      </c>
      <c r="DT33" s="212" t="str">
        <f t="shared" si="34"/>
        <v/>
      </c>
      <c r="DU33" s="212" t="str">
        <f t="shared" si="35"/>
        <v/>
      </c>
      <c r="DV33" s="212" t="str">
        <f t="shared" si="36"/>
        <v/>
      </c>
      <c r="DW33" s="212" t="str">
        <f t="shared" si="37"/>
        <v/>
      </c>
      <c r="DX33" s="212" t="str">
        <f t="shared" si="38"/>
        <v/>
      </c>
      <c r="DY33" s="212" t="str">
        <f t="shared" si="39"/>
        <v/>
      </c>
      <c r="DZ33" s="212" t="str">
        <f t="shared" si="40"/>
        <v/>
      </c>
      <c r="EA33" s="212"/>
      <c r="EB33" s="212" t="str">
        <f t="shared" si="41"/>
        <v/>
      </c>
      <c r="EC33" s="212" t="str">
        <f t="shared" si="42"/>
        <v/>
      </c>
      <c r="ED33" s="83"/>
      <c r="EE33" s="105"/>
      <c r="EF33" s="89"/>
      <c r="EG33" s="68"/>
      <c r="EH33" s="131"/>
      <c r="EI33" s="72" t="s">
        <v>117</v>
      </c>
      <c r="EJ33" s="74" t="s">
        <v>134</v>
      </c>
    </row>
    <row r="34" spans="1:140" ht="17.100000000000001" customHeight="1" x14ac:dyDescent="0.25">
      <c r="A34" s="60"/>
      <c r="B34" s="312"/>
      <c r="C34" s="325"/>
      <c r="D34" s="325"/>
      <c r="E34" s="325"/>
      <c r="F34" s="325"/>
      <c r="G34" s="325"/>
      <c r="H34" s="135"/>
      <c r="I34" s="135"/>
      <c r="J34" s="134"/>
      <c r="K34" s="22" t="str">
        <f t="shared" si="5"/>
        <v/>
      </c>
      <c r="L34" s="135"/>
      <c r="M34" s="135"/>
      <c r="N34" s="135"/>
      <c r="O34" s="135"/>
      <c r="P34" s="134"/>
      <c r="Q34" s="22" t="str">
        <f t="shared" si="43"/>
        <v/>
      </c>
      <c r="R34" s="135"/>
      <c r="S34" s="135"/>
      <c r="T34" s="135"/>
      <c r="U34" s="135"/>
      <c r="V34" s="135"/>
      <c r="W34" s="134"/>
      <c r="X34" s="22" t="str">
        <f t="shared" si="44"/>
        <v/>
      </c>
      <c r="Y34" s="135"/>
      <c r="Z34" s="135"/>
      <c r="AA34" s="135"/>
      <c r="AB34" s="135"/>
      <c r="AC34" s="22" t="str">
        <f t="shared" si="45"/>
        <v/>
      </c>
      <c r="AD34" s="135"/>
      <c r="AE34" s="135"/>
      <c r="AF34" s="134"/>
      <c r="AG34" s="22" t="str">
        <f t="shared" si="6"/>
        <v/>
      </c>
      <c r="AH34" s="128">
        <f t="shared" si="7"/>
        <v>26</v>
      </c>
      <c r="AI34" s="77" t="str">
        <f t="shared" si="8"/>
        <v/>
      </c>
      <c r="AJ34" s="85" t="str">
        <f t="shared" si="9"/>
        <v/>
      </c>
      <c r="AK34" s="77"/>
      <c r="AL34" s="107"/>
      <c r="AM34" s="87"/>
      <c r="AN34" s="130"/>
      <c r="AO34" s="312"/>
      <c r="AP34" s="325"/>
      <c r="AQ34" s="325"/>
      <c r="AR34" s="325"/>
      <c r="AS34" s="325"/>
      <c r="AT34" s="325"/>
      <c r="AU34" s="135"/>
      <c r="AV34" s="135"/>
      <c r="AW34" s="134"/>
      <c r="AX34" s="22" t="str">
        <f t="shared" si="10"/>
        <v/>
      </c>
      <c r="AY34" s="135"/>
      <c r="AZ34" s="135"/>
      <c r="BA34" s="135"/>
      <c r="BB34" s="135"/>
      <c r="BC34" s="134"/>
      <c r="BD34" s="22" t="str">
        <f t="shared" si="11"/>
        <v/>
      </c>
      <c r="BE34" s="135"/>
      <c r="BF34" s="135"/>
      <c r="BG34" s="135"/>
      <c r="BH34" s="135"/>
      <c r="BI34" s="135"/>
      <c r="BJ34" s="134"/>
      <c r="BK34" s="22" t="str">
        <f t="shared" si="12"/>
        <v/>
      </c>
      <c r="BL34" s="135"/>
      <c r="BM34" s="135"/>
      <c r="BN34" s="135"/>
      <c r="BO34" s="185"/>
      <c r="BP34" s="171" t="str">
        <f t="shared" si="13"/>
        <v/>
      </c>
      <c r="BQ34" s="135"/>
      <c r="BR34" s="135"/>
      <c r="BS34" s="134"/>
      <c r="BT34" s="22" t="str">
        <f t="shared" si="14"/>
        <v/>
      </c>
      <c r="BU34" s="21">
        <f t="shared" si="15"/>
        <v>26</v>
      </c>
      <c r="BV34" s="172" t="str">
        <f t="shared" si="16"/>
        <v/>
      </c>
      <c r="BW34" s="172" t="str">
        <f t="shared" si="17"/>
        <v/>
      </c>
      <c r="BX34" s="86"/>
      <c r="BY34" s="106"/>
      <c r="BZ34" s="90"/>
      <c r="CA34" s="130"/>
      <c r="CB34" s="312"/>
      <c r="CC34" s="325"/>
      <c r="CD34" s="325"/>
      <c r="CE34" s="325"/>
      <c r="CF34" s="325"/>
      <c r="CG34" s="325"/>
      <c r="CH34" s="135"/>
      <c r="CI34" s="135"/>
      <c r="CJ34" s="134"/>
      <c r="CK34" s="22" t="str">
        <f t="shared" si="18"/>
        <v/>
      </c>
      <c r="CL34" s="135"/>
      <c r="CM34" s="135"/>
      <c r="CN34" s="135"/>
      <c r="CO34" s="135"/>
      <c r="CP34" s="134"/>
      <c r="CQ34" s="22" t="str">
        <f t="shared" si="19"/>
        <v/>
      </c>
      <c r="CR34" s="26"/>
      <c r="CS34" s="26"/>
      <c r="CT34" s="135"/>
      <c r="CU34" s="26"/>
      <c r="CV34" s="135"/>
      <c r="CW34" s="134"/>
      <c r="CX34" s="22" t="str">
        <f t="shared" si="20"/>
        <v/>
      </c>
      <c r="CY34" s="135"/>
      <c r="CZ34" s="135"/>
      <c r="DA34" s="135"/>
      <c r="DB34" s="134"/>
      <c r="DC34" s="22" t="str">
        <f t="shared" si="21"/>
        <v/>
      </c>
      <c r="DD34" s="135"/>
      <c r="DE34" s="135"/>
      <c r="DF34" s="134"/>
      <c r="DG34" s="22" t="str">
        <f t="shared" si="22"/>
        <v/>
      </c>
      <c r="DH34" s="21"/>
      <c r="DI34" s="77" t="str">
        <f t="shared" si="23"/>
        <v/>
      </c>
      <c r="DJ34" s="215" t="str">
        <f t="shared" si="24"/>
        <v/>
      </c>
      <c r="DK34" s="215" t="str">
        <f t="shared" si="25"/>
        <v/>
      </c>
      <c r="DL34" s="215" t="str">
        <f t="shared" si="26"/>
        <v/>
      </c>
      <c r="DM34" s="215" t="str">
        <f t="shared" si="27"/>
        <v/>
      </c>
      <c r="DN34" s="215" t="str">
        <f t="shared" si="28"/>
        <v/>
      </c>
      <c r="DO34" s="215" t="str">
        <f t="shared" si="29"/>
        <v/>
      </c>
      <c r="DP34" s="215" t="str">
        <f t="shared" si="30"/>
        <v/>
      </c>
      <c r="DQ34" s="215" t="str">
        <f t="shared" si="31"/>
        <v/>
      </c>
      <c r="DR34" s="215" t="str">
        <f t="shared" si="32"/>
        <v/>
      </c>
      <c r="DS34" s="215" t="str">
        <f t="shared" si="33"/>
        <v/>
      </c>
      <c r="DT34" s="215" t="str">
        <f t="shared" si="34"/>
        <v/>
      </c>
      <c r="DU34" s="215" t="str">
        <f t="shared" si="35"/>
        <v/>
      </c>
      <c r="DV34" s="215" t="str">
        <f t="shared" si="36"/>
        <v/>
      </c>
      <c r="DW34" s="215" t="str">
        <f t="shared" si="37"/>
        <v/>
      </c>
      <c r="DX34" s="215" t="str">
        <f t="shared" si="38"/>
        <v/>
      </c>
      <c r="DY34" s="215" t="str">
        <f t="shared" si="39"/>
        <v/>
      </c>
      <c r="DZ34" s="215" t="str">
        <f t="shared" si="40"/>
        <v/>
      </c>
      <c r="EA34" s="215"/>
      <c r="EB34" s="214" t="str">
        <f t="shared" si="41"/>
        <v/>
      </c>
      <c r="EC34" s="214" t="str">
        <f t="shared" si="42"/>
        <v/>
      </c>
      <c r="ED34" s="86"/>
      <c r="EE34" s="106"/>
      <c r="EF34" s="90"/>
      <c r="EG34" s="68"/>
      <c r="EH34" s="131"/>
      <c r="EI34" s="72" t="s">
        <v>119</v>
      </c>
      <c r="EJ34" s="74" t="s">
        <v>133</v>
      </c>
    </row>
    <row r="35" spans="1:140" ht="17.100000000000001" customHeight="1" x14ac:dyDescent="0.25">
      <c r="A35" s="60"/>
      <c r="B35" s="311"/>
      <c r="C35" s="324"/>
      <c r="D35" s="324"/>
      <c r="E35" s="324"/>
      <c r="F35" s="324"/>
      <c r="G35" s="324"/>
      <c r="H35" s="129"/>
      <c r="I35" s="129"/>
      <c r="J35" s="128"/>
      <c r="K35" s="21" t="str">
        <f t="shared" si="5"/>
        <v/>
      </c>
      <c r="L35" s="129"/>
      <c r="M35" s="129"/>
      <c r="N35" s="129"/>
      <c r="O35" s="129"/>
      <c r="P35" s="128"/>
      <c r="Q35" s="21" t="str">
        <f t="shared" si="43"/>
        <v/>
      </c>
      <c r="R35" s="129"/>
      <c r="S35" s="129"/>
      <c r="T35" s="129"/>
      <c r="U35" s="129"/>
      <c r="V35" s="129"/>
      <c r="W35" s="128"/>
      <c r="X35" s="21" t="str">
        <f t="shared" si="44"/>
        <v/>
      </c>
      <c r="Y35" s="129"/>
      <c r="Z35" s="129"/>
      <c r="AA35" s="129"/>
      <c r="AB35" s="129"/>
      <c r="AC35" s="21" t="str">
        <f t="shared" si="45"/>
        <v/>
      </c>
      <c r="AD35" s="129"/>
      <c r="AE35" s="129"/>
      <c r="AF35" s="128"/>
      <c r="AG35" s="21" t="str">
        <f t="shared" si="6"/>
        <v/>
      </c>
      <c r="AH35" s="128">
        <f t="shared" si="7"/>
        <v>26</v>
      </c>
      <c r="AI35" s="76" t="str">
        <f t="shared" si="8"/>
        <v/>
      </c>
      <c r="AJ35" s="82" t="str">
        <f t="shared" si="9"/>
        <v/>
      </c>
      <c r="AK35" s="76"/>
      <c r="AL35" s="93"/>
      <c r="AM35" s="84"/>
      <c r="AN35" s="130"/>
      <c r="AO35" s="311"/>
      <c r="AP35" s="324"/>
      <c r="AQ35" s="324"/>
      <c r="AR35" s="324"/>
      <c r="AS35" s="324"/>
      <c r="AT35" s="324"/>
      <c r="AU35" s="129"/>
      <c r="AV35" s="129"/>
      <c r="AW35" s="128"/>
      <c r="AX35" s="21" t="str">
        <f t="shared" si="10"/>
        <v/>
      </c>
      <c r="AY35" s="129"/>
      <c r="AZ35" s="129"/>
      <c r="BA35" s="129"/>
      <c r="BB35" s="129"/>
      <c r="BC35" s="128"/>
      <c r="BD35" s="21" t="str">
        <f t="shared" si="11"/>
        <v/>
      </c>
      <c r="BE35" s="129"/>
      <c r="BF35" s="129"/>
      <c r="BG35" s="129"/>
      <c r="BH35" s="129"/>
      <c r="BI35" s="129"/>
      <c r="BJ35" s="128"/>
      <c r="BK35" s="21" t="str">
        <f t="shared" si="12"/>
        <v/>
      </c>
      <c r="BL35" s="129"/>
      <c r="BM35" s="129"/>
      <c r="BN35" s="129"/>
      <c r="BO35" s="184"/>
      <c r="BP35" s="169" t="str">
        <f t="shared" si="13"/>
        <v/>
      </c>
      <c r="BQ35" s="129"/>
      <c r="BR35" s="129"/>
      <c r="BS35" s="128"/>
      <c r="BT35" s="21" t="str">
        <f t="shared" si="14"/>
        <v/>
      </c>
      <c r="BU35" s="21">
        <f t="shared" si="15"/>
        <v>26</v>
      </c>
      <c r="BV35" s="170" t="str">
        <f t="shared" si="16"/>
        <v/>
      </c>
      <c r="BW35" s="170" t="str">
        <f t="shared" si="17"/>
        <v/>
      </c>
      <c r="BX35" s="83"/>
      <c r="BY35" s="105"/>
      <c r="BZ35" s="89"/>
      <c r="CA35" s="130"/>
      <c r="CB35" s="311"/>
      <c r="CC35" s="324"/>
      <c r="CD35" s="324"/>
      <c r="CE35" s="324"/>
      <c r="CF35" s="324"/>
      <c r="CG35" s="324"/>
      <c r="CH35" s="129"/>
      <c r="CI35" s="129"/>
      <c r="CJ35" s="128"/>
      <c r="CK35" s="21" t="str">
        <f t="shared" si="18"/>
        <v/>
      </c>
      <c r="CL35" s="129"/>
      <c r="CM35" s="129"/>
      <c r="CN35" s="129"/>
      <c r="CO35" s="129"/>
      <c r="CP35" s="128"/>
      <c r="CQ35" s="21" t="str">
        <f t="shared" si="19"/>
        <v/>
      </c>
      <c r="CR35" s="25"/>
      <c r="CS35" s="25"/>
      <c r="CT35" s="129"/>
      <c r="CU35" s="25"/>
      <c r="CV35" s="129"/>
      <c r="CW35" s="128"/>
      <c r="CX35" s="21" t="str">
        <f t="shared" si="20"/>
        <v/>
      </c>
      <c r="CY35" s="129"/>
      <c r="CZ35" s="129"/>
      <c r="DA35" s="129"/>
      <c r="DB35" s="128"/>
      <c r="DC35" s="21" t="str">
        <f t="shared" si="21"/>
        <v/>
      </c>
      <c r="DD35" s="129"/>
      <c r="DE35" s="129"/>
      <c r="DF35" s="128"/>
      <c r="DG35" s="21" t="str">
        <f t="shared" si="22"/>
        <v/>
      </c>
      <c r="DH35" s="21"/>
      <c r="DI35" s="76" t="str">
        <f t="shared" si="23"/>
        <v/>
      </c>
      <c r="DJ35" s="212" t="str">
        <f t="shared" si="24"/>
        <v/>
      </c>
      <c r="DK35" s="212" t="str">
        <f t="shared" si="25"/>
        <v/>
      </c>
      <c r="DL35" s="212" t="str">
        <f t="shared" si="26"/>
        <v/>
      </c>
      <c r="DM35" s="212" t="str">
        <f t="shared" si="27"/>
        <v/>
      </c>
      <c r="DN35" s="212" t="str">
        <f t="shared" si="28"/>
        <v/>
      </c>
      <c r="DO35" s="212" t="str">
        <f t="shared" si="29"/>
        <v/>
      </c>
      <c r="DP35" s="212" t="str">
        <f t="shared" si="30"/>
        <v/>
      </c>
      <c r="DQ35" s="212" t="str">
        <f t="shared" si="31"/>
        <v/>
      </c>
      <c r="DR35" s="212" t="str">
        <f t="shared" si="32"/>
        <v/>
      </c>
      <c r="DS35" s="212" t="str">
        <f t="shared" si="33"/>
        <v/>
      </c>
      <c r="DT35" s="212" t="str">
        <f t="shared" si="34"/>
        <v/>
      </c>
      <c r="DU35" s="212" t="str">
        <f t="shared" si="35"/>
        <v/>
      </c>
      <c r="DV35" s="212" t="str">
        <f t="shared" si="36"/>
        <v/>
      </c>
      <c r="DW35" s="212" t="str">
        <f t="shared" si="37"/>
        <v/>
      </c>
      <c r="DX35" s="212" t="str">
        <f t="shared" si="38"/>
        <v/>
      </c>
      <c r="DY35" s="212" t="str">
        <f t="shared" si="39"/>
        <v/>
      </c>
      <c r="DZ35" s="212" t="str">
        <f t="shared" si="40"/>
        <v/>
      </c>
      <c r="EA35" s="212"/>
      <c r="EB35" s="212" t="str">
        <f t="shared" si="41"/>
        <v/>
      </c>
      <c r="EC35" s="212" t="str">
        <f t="shared" si="42"/>
        <v/>
      </c>
      <c r="ED35" s="83"/>
      <c r="EE35" s="105"/>
      <c r="EF35" s="89"/>
      <c r="EG35" s="68"/>
      <c r="EH35" s="131"/>
      <c r="EI35" s="72" t="s">
        <v>121</v>
      </c>
      <c r="EJ35" s="74" t="s">
        <v>128</v>
      </c>
    </row>
    <row r="36" spans="1:140" ht="17.100000000000001" customHeight="1" x14ac:dyDescent="0.25">
      <c r="A36" s="60"/>
      <c r="B36" s="312"/>
      <c r="C36" s="325"/>
      <c r="D36" s="325"/>
      <c r="E36" s="325"/>
      <c r="F36" s="325"/>
      <c r="G36" s="325"/>
      <c r="H36" s="135"/>
      <c r="I36" s="135"/>
      <c r="J36" s="134"/>
      <c r="K36" s="22" t="str">
        <f t="shared" si="5"/>
        <v/>
      </c>
      <c r="L36" s="135"/>
      <c r="M36" s="135"/>
      <c r="N36" s="135"/>
      <c r="O36" s="135"/>
      <c r="P36" s="134"/>
      <c r="Q36" s="22" t="str">
        <f t="shared" si="43"/>
        <v/>
      </c>
      <c r="R36" s="135"/>
      <c r="S36" s="135"/>
      <c r="T36" s="135"/>
      <c r="U36" s="135"/>
      <c r="V36" s="135"/>
      <c r="W36" s="134"/>
      <c r="X36" s="22" t="str">
        <f t="shared" si="44"/>
        <v/>
      </c>
      <c r="Y36" s="135"/>
      <c r="Z36" s="135"/>
      <c r="AA36" s="135"/>
      <c r="AB36" s="135"/>
      <c r="AC36" s="22" t="str">
        <f t="shared" si="45"/>
        <v/>
      </c>
      <c r="AD36" s="135"/>
      <c r="AE36" s="135"/>
      <c r="AF36" s="134"/>
      <c r="AG36" s="22" t="str">
        <f t="shared" si="6"/>
        <v/>
      </c>
      <c r="AH36" s="128">
        <f t="shared" si="7"/>
        <v>26</v>
      </c>
      <c r="AI36" s="77" t="str">
        <f t="shared" si="8"/>
        <v/>
      </c>
      <c r="AJ36" s="85" t="str">
        <f t="shared" si="9"/>
        <v/>
      </c>
      <c r="AK36" s="77"/>
      <c r="AL36" s="107"/>
      <c r="AM36" s="87"/>
      <c r="AN36" s="130"/>
      <c r="AO36" s="312"/>
      <c r="AP36" s="325"/>
      <c r="AQ36" s="325"/>
      <c r="AR36" s="325"/>
      <c r="AS36" s="325"/>
      <c r="AT36" s="325"/>
      <c r="AU36" s="135"/>
      <c r="AV36" s="135"/>
      <c r="AW36" s="134"/>
      <c r="AX36" s="22" t="str">
        <f t="shared" si="10"/>
        <v/>
      </c>
      <c r="AY36" s="135"/>
      <c r="AZ36" s="135"/>
      <c r="BA36" s="135"/>
      <c r="BB36" s="135"/>
      <c r="BC36" s="134"/>
      <c r="BD36" s="22" t="str">
        <f t="shared" si="11"/>
        <v/>
      </c>
      <c r="BE36" s="135"/>
      <c r="BF36" s="135"/>
      <c r="BG36" s="135"/>
      <c r="BH36" s="135"/>
      <c r="BI36" s="135"/>
      <c r="BJ36" s="134"/>
      <c r="BK36" s="22" t="str">
        <f t="shared" si="12"/>
        <v/>
      </c>
      <c r="BL36" s="135"/>
      <c r="BM36" s="135"/>
      <c r="BN36" s="135"/>
      <c r="BO36" s="185"/>
      <c r="BP36" s="171" t="str">
        <f t="shared" si="13"/>
        <v/>
      </c>
      <c r="BQ36" s="135"/>
      <c r="BR36" s="135"/>
      <c r="BS36" s="134"/>
      <c r="BT36" s="22" t="str">
        <f t="shared" si="14"/>
        <v/>
      </c>
      <c r="BU36" s="21">
        <f t="shared" si="15"/>
        <v>26</v>
      </c>
      <c r="BV36" s="172" t="str">
        <f t="shared" si="16"/>
        <v/>
      </c>
      <c r="BW36" s="172" t="str">
        <f t="shared" si="17"/>
        <v/>
      </c>
      <c r="BX36" s="86"/>
      <c r="BY36" s="106"/>
      <c r="BZ36" s="90"/>
      <c r="CA36" s="130"/>
      <c r="CB36" s="312"/>
      <c r="CC36" s="325"/>
      <c r="CD36" s="325"/>
      <c r="CE36" s="325"/>
      <c r="CF36" s="325"/>
      <c r="CG36" s="325"/>
      <c r="CH36" s="135"/>
      <c r="CI36" s="135"/>
      <c r="CJ36" s="134"/>
      <c r="CK36" s="22" t="str">
        <f t="shared" si="18"/>
        <v/>
      </c>
      <c r="CL36" s="135"/>
      <c r="CM36" s="135"/>
      <c r="CN36" s="135"/>
      <c r="CO36" s="135"/>
      <c r="CP36" s="134"/>
      <c r="CQ36" s="22" t="str">
        <f t="shared" si="19"/>
        <v/>
      </c>
      <c r="CR36" s="26"/>
      <c r="CS36" s="26"/>
      <c r="CT36" s="135"/>
      <c r="CU36" s="26"/>
      <c r="CV36" s="135"/>
      <c r="CW36" s="134"/>
      <c r="CX36" s="22" t="str">
        <f t="shared" si="20"/>
        <v/>
      </c>
      <c r="CY36" s="135"/>
      <c r="CZ36" s="135"/>
      <c r="DA36" s="135"/>
      <c r="DB36" s="134"/>
      <c r="DC36" s="22" t="str">
        <f t="shared" si="21"/>
        <v/>
      </c>
      <c r="DD36" s="135"/>
      <c r="DE36" s="135"/>
      <c r="DF36" s="134"/>
      <c r="DG36" s="22" t="str">
        <f t="shared" si="22"/>
        <v/>
      </c>
      <c r="DH36" s="21"/>
      <c r="DI36" s="77" t="str">
        <f t="shared" si="23"/>
        <v/>
      </c>
      <c r="DJ36" s="215" t="str">
        <f t="shared" si="24"/>
        <v/>
      </c>
      <c r="DK36" s="215" t="str">
        <f t="shared" si="25"/>
        <v/>
      </c>
      <c r="DL36" s="215" t="str">
        <f t="shared" si="26"/>
        <v/>
      </c>
      <c r="DM36" s="215" t="str">
        <f t="shared" si="27"/>
        <v/>
      </c>
      <c r="DN36" s="215" t="str">
        <f t="shared" si="28"/>
        <v/>
      </c>
      <c r="DO36" s="215" t="str">
        <f t="shared" si="29"/>
        <v/>
      </c>
      <c r="DP36" s="215" t="str">
        <f t="shared" si="30"/>
        <v/>
      </c>
      <c r="DQ36" s="215" t="str">
        <f t="shared" si="31"/>
        <v/>
      </c>
      <c r="DR36" s="215" t="str">
        <f t="shared" si="32"/>
        <v/>
      </c>
      <c r="DS36" s="215" t="str">
        <f t="shared" si="33"/>
        <v/>
      </c>
      <c r="DT36" s="215" t="str">
        <f t="shared" si="34"/>
        <v/>
      </c>
      <c r="DU36" s="215" t="str">
        <f t="shared" si="35"/>
        <v/>
      </c>
      <c r="DV36" s="215" t="str">
        <f t="shared" si="36"/>
        <v/>
      </c>
      <c r="DW36" s="215" t="str">
        <f t="shared" si="37"/>
        <v/>
      </c>
      <c r="DX36" s="215" t="str">
        <f t="shared" si="38"/>
        <v/>
      </c>
      <c r="DY36" s="215" t="str">
        <f t="shared" si="39"/>
        <v/>
      </c>
      <c r="DZ36" s="215" t="str">
        <f t="shared" si="40"/>
        <v/>
      </c>
      <c r="EA36" s="215"/>
      <c r="EB36" s="214" t="str">
        <f t="shared" si="41"/>
        <v/>
      </c>
      <c r="EC36" s="214" t="str">
        <f t="shared" si="42"/>
        <v/>
      </c>
      <c r="ED36" s="86"/>
      <c r="EE36" s="106"/>
      <c r="EF36" s="90"/>
      <c r="EG36" s="68"/>
      <c r="EH36" s="131"/>
      <c r="EI36" s="72">
        <v>0</v>
      </c>
      <c r="EJ36" s="74">
        <v>0</v>
      </c>
    </row>
    <row r="37" spans="1:140" ht="17.100000000000001" customHeight="1" x14ac:dyDescent="0.35">
      <c r="A37" s="60"/>
      <c r="B37" s="311"/>
      <c r="C37" s="324"/>
      <c r="D37" s="324"/>
      <c r="E37" s="324"/>
      <c r="F37" s="324"/>
      <c r="G37" s="324"/>
      <c r="H37" s="129"/>
      <c r="I37" s="129"/>
      <c r="J37" s="128"/>
      <c r="K37" s="21" t="str">
        <f t="shared" si="5"/>
        <v/>
      </c>
      <c r="L37" s="129"/>
      <c r="M37" s="129"/>
      <c r="N37" s="129"/>
      <c r="O37" s="129"/>
      <c r="P37" s="128"/>
      <c r="Q37" s="21" t="str">
        <f t="shared" si="43"/>
        <v/>
      </c>
      <c r="R37" s="129"/>
      <c r="S37" s="129"/>
      <c r="T37" s="129"/>
      <c r="U37" s="129"/>
      <c r="V37" s="129"/>
      <c r="W37" s="128"/>
      <c r="X37" s="21" t="str">
        <f t="shared" si="44"/>
        <v/>
      </c>
      <c r="Y37" s="129"/>
      <c r="Z37" s="129"/>
      <c r="AA37" s="129"/>
      <c r="AB37" s="129"/>
      <c r="AC37" s="21" t="str">
        <f t="shared" si="45"/>
        <v/>
      </c>
      <c r="AD37" s="129"/>
      <c r="AE37" s="129"/>
      <c r="AF37" s="128"/>
      <c r="AG37" s="21" t="str">
        <f t="shared" si="6"/>
        <v/>
      </c>
      <c r="AH37" s="128">
        <f t="shared" si="7"/>
        <v>26</v>
      </c>
      <c r="AI37" s="76" t="str">
        <f t="shared" si="8"/>
        <v/>
      </c>
      <c r="AJ37" s="82" t="str">
        <f t="shared" si="9"/>
        <v/>
      </c>
      <c r="AK37" s="76"/>
      <c r="AL37" s="93"/>
      <c r="AM37" s="84"/>
      <c r="AN37" s="130"/>
      <c r="AO37" s="311"/>
      <c r="AP37" s="324"/>
      <c r="AQ37" s="324"/>
      <c r="AR37" s="324"/>
      <c r="AS37" s="324"/>
      <c r="AT37" s="324"/>
      <c r="AU37" s="129"/>
      <c r="AV37" s="129"/>
      <c r="AW37" s="128"/>
      <c r="AX37" s="21" t="str">
        <f t="shared" si="10"/>
        <v/>
      </c>
      <c r="AY37" s="129"/>
      <c r="AZ37" s="129"/>
      <c r="BA37" s="129"/>
      <c r="BB37" s="129"/>
      <c r="BC37" s="128"/>
      <c r="BD37" s="21" t="str">
        <f t="shared" si="11"/>
        <v/>
      </c>
      <c r="BE37" s="129"/>
      <c r="BF37" s="129"/>
      <c r="BG37" s="129"/>
      <c r="BH37" s="129"/>
      <c r="BI37" s="129"/>
      <c r="BJ37" s="128"/>
      <c r="BK37" s="21" t="str">
        <f t="shared" si="12"/>
        <v/>
      </c>
      <c r="BL37" s="129"/>
      <c r="BM37" s="129"/>
      <c r="BN37" s="129"/>
      <c r="BO37" s="184"/>
      <c r="BP37" s="169" t="str">
        <f t="shared" si="13"/>
        <v/>
      </c>
      <c r="BQ37" s="129"/>
      <c r="BR37" s="129"/>
      <c r="BS37" s="128"/>
      <c r="BT37" s="21" t="str">
        <f t="shared" si="14"/>
        <v/>
      </c>
      <c r="BU37" s="21">
        <f t="shared" si="15"/>
        <v>26</v>
      </c>
      <c r="BV37" s="170" t="str">
        <f t="shared" si="16"/>
        <v/>
      </c>
      <c r="BW37" s="170" t="str">
        <f t="shared" si="17"/>
        <v/>
      </c>
      <c r="BX37" s="83"/>
      <c r="BY37" s="105"/>
      <c r="BZ37" s="89"/>
      <c r="CA37" s="130"/>
      <c r="CB37" s="311"/>
      <c r="CC37" s="324"/>
      <c r="CD37" s="324"/>
      <c r="CE37" s="324"/>
      <c r="CF37" s="324"/>
      <c r="CG37" s="324"/>
      <c r="CH37" s="129"/>
      <c r="CI37" s="129"/>
      <c r="CJ37" s="128"/>
      <c r="CK37" s="21" t="str">
        <f t="shared" si="18"/>
        <v/>
      </c>
      <c r="CL37" s="129"/>
      <c r="CM37" s="129"/>
      <c r="CN37" s="129"/>
      <c r="CO37" s="129"/>
      <c r="CP37" s="128"/>
      <c r="CQ37" s="21" t="str">
        <f t="shared" si="19"/>
        <v/>
      </c>
      <c r="CR37" s="25"/>
      <c r="CS37" s="25"/>
      <c r="CT37" s="129"/>
      <c r="CU37" s="25"/>
      <c r="CV37" s="129"/>
      <c r="CW37" s="128"/>
      <c r="CX37" s="21" t="str">
        <f t="shared" si="20"/>
        <v/>
      </c>
      <c r="CY37" s="129"/>
      <c r="CZ37" s="129"/>
      <c r="DA37" s="129"/>
      <c r="DB37" s="128"/>
      <c r="DC37" s="21" t="str">
        <f t="shared" si="21"/>
        <v/>
      </c>
      <c r="DD37" s="129"/>
      <c r="DE37" s="129"/>
      <c r="DF37" s="128"/>
      <c r="DG37" s="21" t="str">
        <f t="shared" si="22"/>
        <v/>
      </c>
      <c r="DH37" s="21"/>
      <c r="DI37" s="76" t="str">
        <f t="shared" si="23"/>
        <v/>
      </c>
      <c r="DJ37" s="212" t="str">
        <f t="shared" si="24"/>
        <v/>
      </c>
      <c r="DK37" s="212" t="str">
        <f t="shared" si="25"/>
        <v/>
      </c>
      <c r="DL37" s="212" t="str">
        <f t="shared" si="26"/>
        <v/>
      </c>
      <c r="DM37" s="212" t="str">
        <f t="shared" si="27"/>
        <v/>
      </c>
      <c r="DN37" s="212" t="str">
        <f t="shared" si="28"/>
        <v/>
      </c>
      <c r="DO37" s="212" t="str">
        <f t="shared" si="29"/>
        <v/>
      </c>
      <c r="DP37" s="212" t="str">
        <f t="shared" si="30"/>
        <v/>
      </c>
      <c r="DQ37" s="212" t="str">
        <f t="shared" si="31"/>
        <v/>
      </c>
      <c r="DR37" s="212" t="str">
        <f t="shared" si="32"/>
        <v/>
      </c>
      <c r="DS37" s="212" t="str">
        <f t="shared" si="33"/>
        <v/>
      </c>
      <c r="DT37" s="212" t="str">
        <f t="shared" si="34"/>
        <v/>
      </c>
      <c r="DU37" s="212" t="str">
        <f t="shared" si="35"/>
        <v/>
      </c>
      <c r="DV37" s="212" t="str">
        <f t="shared" si="36"/>
        <v/>
      </c>
      <c r="DW37" s="212" t="str">
        <f t="shared" si="37"/>
        <v/>
      </c>
      <c r="DX37" s="212" t="str">
        <f t="shared" si="38"/>
        <v/>
      </c>
      <c r="DY37" s="212" t="str">
        <f t="shared" si="39"/>
        <v/>
      </c>
      <c r="DZ37" s="212" t="str">
        <f t="shared" si="40"/>
        <v/>
      </c>
      <c r="EA37" s="212"/>
      <c r="EB37" s="212" t="str">
        <f t="shared" si="41"/>
        <v/>
      </c>
      <c r="EC37" s="212" t="str">
        <f t="shared" si="42"/>
        <v/>
      </c>
      <c r="ED37" s="83"/>
      <c r="EE37" s="105"/>
      <c r="EF37" s="89"/>
      <c r="EG37" s="68"/>
      <c r="EH37" s="131"/>
      <c r="EI37" s="73" t="s">
        <v>0</v>
      </c>
      <c r="EJ37" s="180"/>
    </row>
    <row r="38" spans="1:140" ht="17.100000000000001" customHeight="1" x14ac:dyDescent="0.25">
      <c r="A38" s="60"/>
      <c r="B38" s="312"/>
      <c r="C38" s="325"/>
      <c r="D38" s="325"/>
      <c r="E38" s="325"/>
      <c r="F38" s="325"/>
      <c r="G38" s="325"/>
      <c r="H38" s="135"/>
      <c r="I38" s="135"/>
      <c r="J38" s="134"/>
      <c r="K38" s="22" t="str">
        <f t="shared" si="5"/>
        <v/>
      </c>
      <c r="L38" s="138"/>
      <c r="M38" s="138"/>
      <c r="N38" s="138"/>
      <c r="O38" s="138"/>
      <c r="P38" s="139"/>
      <c r="Q38" s="22" t="str">
        <f t="shared" si="43"/>
        <v/>
      </c>
      <c r="R38" s="135"/>
      <c r="S38" s="135"/>
      <c r="T38" s="135"/>
      <c r="U38" s="135"/>
      <c r="V38" s="135"/>
      <c r="W38" s="134"/>
      <c r="X38" s="22" t="str">
        <f t="shared" si="44"/>
        <v/>
      </c>
      <c r="Y38" s="135"/>
      <c r="Z38" s="135"/>
      <c r="AA38" s="135"/>
      <c r="AB38" s="135"/>
      <c r="AC38" s="22" t="str">
        <f t="shared" si="45"/>
        <v/>
      </c>
      <c r="AD38" s="135"/>
      <c r="AE38" s="135"/>
      <c r="AF38" s="134"/>
      <c r="AG38" s="22" t="str">
        <f t="shared" si="6"/>
        <v/>
      </c>
      <c r="AH38" s="128">
        <f t="shared" si="7"/>
        <v>26</v>
      </c>
      <c r="AI38" s="77" t="str">
        <f t="shared" si="8"/>
        <v/>
      </c>
      <c r="AJ38" s="85" t="str">
        <f t="shared" si="9"/>
        <v/>
      </c>
      <c r="AK38" s="77"/>
      <c r="AL38" s="107"/>
      <c r="AM38" s="87"/>
      <c r="AN38" s="130"/>
      <c r="AO38" s="314"/>
      <c r="AP38" s="375"/>
      <c r="AQ38" s="375"/>
      <c r="AR38" s="375"/>
      <c r="AS38" s="375"/>
      <c r="AT38" s="375"/>
      <c r="AU38" s="138"/>
      <c r="AV38" s="138"/>
      <c r="AW38" s="139"/>
      <c r="AX38" s="23" t="str">
        <f t="shared" si="10"/>
        <v/>
      </c>
      <c r="AY38" s="138"/>
      <c r="AZ38" s="138"/>
      <c r="BA38" s="138"/>
      <c r="BB38" s="138"/>
      <c r="BC38" s="139"/>
      <c r="BD38" s="23" t="str">
        <f t="shared" si="11"/>
        <v/>
      </c>
      <c r="BE38" s="138"/>
      <c r="BF38" s="138"/>
      <c r="BG38" s="138"/>
      <c r="BH38" s="138"/>
      <c r="BI38" s="138"/>
      <c r="BJ38" s="139"/>
      <c r="BK38" s="23" t="str">
        <f t="shared" si="12"/>
        <v/>
      </c>
      <c r="BL38" s="138"/>
      <c r="BM38" s="138"/>
      <c r="BN38" s="138"/>
      <c r="BO38" s="186"/>
      <c r="BP38" s="173" t="str">
        <f t="shared" si="13"/>
        <v/>
      </c>
      <c r="BQ38" s="138"/>
      <c r="BR38" s="138"/>
      <c r="BS38" s="139"/>
      <c r="BT38" s="23" t="str">
        <f t="shared" si="14"/>
        <v/>
      </c>
      <c r="BU38" s="21">
        <f t="shared" si="15"/>
        <v>26</v>
      </c>
      <c r="BV38" s="24" t="str">
        <f t="shared" si="16"/>
        <v/>
      </c>
      <c r="BW38" s="24" t="str">
        <f t="shared" si="17"/>
        <v/>
      </c>
      <c r="BX38" s="91"/>
      <c r="BY38" s="114"/>
      <c r="BZ38" s="92"/>
      <c r="CA38" s="130"/>
      <c r="CB38" s="312"/>
      <c r="CC38" s="325"/>
      <c r="CD38" s="325"/>
      <c r="CE38" s="325"/>
      <c r="CF38" s="325"/>
      <c r="CG38" s="325"/>
      <c r="CH38" s="138"/>
      <c r="CI38" s="138"/>
      <c r="CJ38" s="139"/>
      <c r="CK38" s="23" t="str">
        <f t="shared" si="18"/>
        <v/>
      </c>
      <c r="CL38" s="138"/>
      <c r="CM38" s="138"/>
      <c r="CN38" s="138"/>
      <c r="CO38" s="138"/>
      <c r="CP38" s="139"/>
      <c r="CQ38" s="23" t="str">
        <f t="shared" si="19"/>
        <v/>
      </c>
      <c r="CR38" s="94"/>
      <c r="CS38" s="94"/>
      <c r="CT38" s="138"/>
      <c r="CU38" s="94"/>
      <c r="CV38" s="138"/>
      <c r="CW38" s="139"/>
      <c r="CX38" s="23" t="str">
        <f t="shared" si="20"/>
        <v/>
      </c>
      <c r="CY38" s="138"/>
      <c r="CZ38" s="138"/>
      <c r="DA38" s="138"/>
      <c r="DB38" s="139"/>
      <c r="DC38" s="23" t="str">
        <f t="shared" si="21"/>
        <v/>
      </c>
      <c r="DD38" s="138"/>
      <c r="DE38" s="138"/>
      <c r="DF38" s="139"/>
      <c r="DG38" s="23" t="str">
        <f t="shared" si="22"/>
        <v/>
      </c>
      <c r="DH38" s="21"/>
      <c r="DI38" s="78" t="str">
        <f t="shared" si="23"/>
        <v/>
      </c>
      <c r="DJ38" s="215" t="str">
        <f t="shared" si="24"/>
        <v/>
      </c>
      <c r="DK38" s="215" t="str">
        <f t="shared" si="25"/>
        <v/>
      </c>
      <c r="DL38" s="215" t="str">
        <f t="shared" si="26"/>
        <v/>
      </c>
      <c r="DM38" s="215" t="str">
        <f t="shared" si="27"/>
        <v/>
      </c>
      <c r="DN38" s="215" t="str">
        <f t="shared" si="28"/>
        <v/>
      </c>
      <c r="DO38" s="215" t="str">
        <f t="shared" si="29"/>
        <v/>
      </c>
      <c r="DP38" s="215" t="str">
        <f t="shared" si="30"/>
        <v/>
      </c>
      <c r="DQ38" s="215" t="str">
        <f t="shared" si="31"/>
        <v/>
      </c>
      <c r="DR38" s="215" t="str">
        <f t="shared" si="32"/>
        <v/>
      </c>
      <c r="DS38" s="215" t="str">
        <f t="shared" si="33"/>
        <v/>
      </c>
      <c r="DT38" s="215" t="str">
        <f t="shared" si="34"/>
        <v/>
      </c>
      <c r="DU38" s="215" t="str">
        <f t="shared" si="35"/>
        <v/>
      </c>
      <c r="DV38" s="215" t="str">
        <f t="shared" si="36"/>
        <v/>
      </c>
      <c r="DW38" s="215" t="str">
        <f t="shared" si="37"/>
        <v/>
      </c>
      <c r="DX38" s="215" t="str">
        <f t="shared" si="38"/>
        <v/>
      </c>
      <c r="DY38" s="215" t="str">
        <f t="shared" si="39"/>
        <v/>
      </c>
      <c r="DZ38" s="215" t="str">
        <f t="shared" si="40"/>
        <v/>
      </c>
      <c r="EA38" s="215"/>
      <c r="EB38" s="216" t="str">
        <f t="shared" si="41"/>
        <v/>
      </c>
      <c r="EC38" s="216" t="str">
        <f t="shared" si="42"/>
        <v/>
      </c>
      <c r="ED38" s="91"/>
      <c r="EE38" s="114"/>
      <c r="EF38" s="92"/>
      <c r="EG38" s="68"/>
      <c r="EH38" s="131"/>
      <c r="EI38" s="72" t="s">
        <v>117</v>
      </c>
      <c r="EJ38" s="74" t="s">
        <v>131</v>
      </c>
    </row>
    <row r="39" spans="1:140" ht="17.100000000000001" customHeight="1" x14ac:dyDescent="0.25">
      <c r="A39" s="60"/>
      <c r="B39" s="311"/>
      <c r="C39" s="324"/>
      <c r="D39" s="324"/>
      <c r="E39" s="324"/>
      <c r="F39" s="324"/>
      <c r="G39" s="324"/>
      <c r="H39" s="129"/>
      <c r="I39" s="129"/>
      <c r="J39" s="128"/>
      <c r="K39" s="21" t="str">
        <f t="shared" si="5"/>
        <v/>
      </c>
      <c r="L39" s="129"/>
      <c r="M39" s="129"/>
      <c r="N39" s="129"/>
      <c r="O39" s="129"/>
      <c r="P39" s="128"/>
      <c r="Q39" s="21" t="str">
        <f t="shared" si="43"/>
        <v/>
      </c>
      <c r="R39" s="129"/>
      <c r="S39" s="129"/>
      <c r="T39" s="129"/>
      <c r="U39" s="129"/>
      <c r="V39" s="129"/>
      <c r="W39" s="128"/>
      <c r="X39" s="21" t="str">
        <f t="shared" si="44"/>
        <v/>
      </c>
      <c r="Y39" s="129"/>
      <c r="Z39" s="129"/>
      <c r="AA39" s="129"/>
      <c r="AB39" s="129"/>
      <c r="AC39" s="21" t="str">
        <f t="shared" si="45"/>
        <v/>
      </c>
      <c r="AD39" s="129"/>
      <c r="AE39" s="129"/>
      <c r="AF39" s="128"/>
      <c r="AG39" s="21" t="str">
        <f t="shared" si="6"/>
        <v/>
      </c>
      <c r="AH39" s="128">
        <f t="shared" si="7"/>
        <v>26</v>
      </c>
      <c r="AI39" s="76" t="str">
        <f t="shared" si="8"/>
        <v/>
      </c>
      <c r="AJ39" s="82" t="str">
        <f t="shared" si="9"/>
        <v/>
      </c>
      <c r="AK39" s="76"/>
      <c r="AL39" s="93"/>
      <c r="AM39" s="84"/>
      <c r="AN39" s="130"/>
      <c r="AO39" s="311"/>
      <c r="AP39" s="324"/>
      <c r="AQ39" s="324"/>
      <c r="AR39" s="324"/>
      <c r="AS39" s="324"/>
      <c r="AT39" s="324"/>
      <c r="AU39" s="129"/>
      <c r="AV39" s="129"/>
      <c r="AW39" s="128"/>
      <c r="AX39" s="21" t="str">
        <f t="shared" si="10"/>
        <v/>
      </c>
      <c r="AY39" s="129"/>
      <c r="AZ39" s="129"/>
      <c r="BA39" s="129"/>
      <c r="BB39" s="129"/>
      <c r="BC39" s="128"/>
      <c r="BD39" s="21" t="str">
        <f t="shared" si="11"/>
        <v/>
      </c>
      <c r="BE39" s="129"/>
      <c r="BF39" s="129"/>
      <c r="BG39" s="129"/>
      <c r="BH39" s="129"/>
      <c r="BI39" s="129"/>
      <c r="BJ39" s="128"/>
      <c r="BK39" s="21" t="str">
        <f t="shared" si="12"/>
        <v/>
      </c>
      <c r="BL39" s="129"/>
      <c r="BM39" s="129"/>
      <c r="BN39" s="129"/>
      <c r="BO39" s="184"/>
      <c r="BP39" s="169" t="str">
        <f t="shared" si="13"/>
        <v/>
      </c>
      <c r="BQ39" s="129"/>
      <c r="BR39" s="129"/>
      <c r="BS39" s="128"/>
      <c r="BT39" s="21" t="str">
        <f t="shared" si="14"/>
        <v/>
      </c>
      <c r="BU39" s="21">
        <f t="shared" si="15"/>
        <v>26</v>
      </c>
      <c r="BV39" s="170" t="str">
        <f t="shared" si="16"/>
        <v/>
      </c>
      <c r="BW39" s="170" t="str">
        <f t="shared" si="17"/>
        <v/>
      </c>
      <c r="BX39" s="83"/>
      <c r="BY39" s="105"/>
      <c r="BZ39" s="89"/>
      <c r="CA39" s="130"/>
      <c r="CB39" s="311"/>
      <c r="CC39" s="324"/>
      <c r="CD39" s="324"/>
      <c r="CE39" s="324"/>
      <c r="CF39" s="324"/>
      <c r="CG39" s="324"/>
      <c r="CH39" s="129"/>
      <c r="CI39" s="129"/>
      <c r="CJ39" s="128"/>
      <c r="CK39" s="21" t="str">
        <f t="shared" si="18"/>
        <v/>
      </c>
      <c r="CL39" s="129"/>
      <c r="CM39" s="129"/>
      <c r="CN39" s="129"/>
      <c r="CO39" s="129"/>
      <c r="CP39" s="128"/>
      <c r="CQ39" s="21" t="str">
        <f t="shared" si="19"/>
        <v/>
      </c>
      <c r="CR39" s="25"/>
      <c r="CS39" s="25"/>
      <c r="CT39" s="129"/>
      <c r="CU39" s="25"/>
      <c r="CV39" s="129"/>
      <c r="CW39" s="128"/>
      <c r="CX39" s="21" t="str">
        <f t="shared" si="20"/>
        <v/>
      </c>
      <c r="CY39" s="129"/>
      <c r="CZ39" s="129"/>
      <c r="DA39" s="129"/>
      <c r="DB39" s="128"/>
      <c r="DC39" s="21" t="str">
        <f t="shared" si="21"/>
        <v/>
      </c>
      <c r="DD39" s="129"/>
      <c r="DE39" s="129"/>
      <c r="DF39" s="128"/>
      <c r="DG39" s="21" t="str">
        <f t="shared" si="22"/>
        <v/>
      </c>
      <c r="DH39" s="21"/>
      <c r="DI39" s="76" t="str">
        <f t="shared" si="23"/>
        <v/>
      </c>
      <c r="DJ39" s="212" t="str">
        <f t="shared" si="24"/>
        <v/>
      </c>
      <c r="DK39" s="212" t="str">
        <f t="shared" si="25"/>
        <v/>
      </c>
      <c r="DL39" s="212" t="str">
        <f t="shared" si="26"/>
        <v/>
      </c>
      <c r="DM39" s="212" t="str">
        <f t="shared" si="27"/>
        <v/>
      </c>
      <c r="DN39" s="212" t="str">
        <f t="shared" si="28"/>
        <v/>
      </c>
      <c r="DO39" s="212" t="str">
        <f t="shared" si="29"/>
        <v/>
      </c>
      <c r="DP39" s="212" t="str">
        <f t="shared" si="30"/>
        <v/>
      </c>
      <c r="DQ39" s="212" t="str">
        <f t="shared" si="31"/>
        <v/>
      </c>
      <c r="DR39" s="212" t="str">
        <f t="shared" si="32"/>
        <v/>
      </c>
      <c r="DS39" s="212" t="str">
        <f t="shared" si="33"/>
        <v/>
      </c>
      <c r="DT39" s="212" t="str">
        <f t="shared" si="34"/>
        <v/>
      </c>
      <c r="DU39" s="212" t="str">
        <f t="shared" si="35"/>
        <v/>
      </c>
      <c r="DV39" s="212" t="str">
        <f t="shared" si="36"/>
        <v/>
      </c>
      <c r="DW39" s="212" t="str">
        <f t="shared" si="37"/>
        <v/>
      </c>
      <c r="DX39" s="212" t="str">
        <f t="shared" si="38"/>
        <v/>
      </c>
      <c r="DY39" s="212" t="str">
        <f t="shared" si="39"/>
        <v/>
      </c>
      <c r="DZ39" s="212" t="str">
        <f t="shared" si="40"/>
        <v/>
      </c>
      <c r="EA39" s="212"/>
      <c r="EB39" s="212" t="str">
        <f t="shared" si="41"/>
        <v/>
      </c>
      <c r="EC39" s="212" t="str">
        <f t="shared" si="42"/>
        <v/>
      </c>
      <c r="ED39" s="83"/>
      <c r="EE39" s="105"/>
      <c r="EF39" s="89"/>
      <c r="EG39" s="68"/>
      <c r="EH39" s="131"/>
      <c r="EI39" s="72" t="s">
        <v>119</v>
      </c>
      <c r="EJ39" s="74" t="s">
        <v>133</v>
      </c>
    </row>
    <row r="40" spans="1:140" ht="17.100000000000001" customHeight="1" thickBot="1" x14ac:dyDescent="0.3">
      <c r="A40" s="60"/>
      <c r="B40" s="313"/>
      <c r="C40" s="345"/>
      <c r="D40" s="345"/>
      <c r="E40" s="345"/>
      <c r="F40" s="345"/>
      <c r="G40" s="345"/>
      <c r="H40" s="141"/>
      <c r="I40" s="141"/>
      <c r="J40" s="140"/>
      <c r="K40" s="168" t="str">
        <f t="shared" si="5"/>
        <v/>
      </c>
      <c r="L40" s="141"/>
      <c r="M40" s="141"/>
      <c r="N40" s="141"/>
      <c r="O40" s="141"/>
      <c r="P40" s="140"/>
      <c r="Q40" s="168" t="str">
        <f t="shared" si="43"/>
        <v/>
      </c>
      <c r="R40" s="141"/>
      <c r="S40" s="141"/>
      <c r="T40" s="141"/>
      <c r="U40" s="141"/>
      <c r="V40" s="141"/>
      <c r="W40" s="140"/>
      <c r="X40" s="168" t="str">
        <f t="shared" si="44"/>
        <v/>
      </c>
      <c r="Y40" s="141"/>
      <c r="Z40" s="141"/>
      <c r="AA40" s="141"/>
      <c r="AB40" s="141"/>
      <c r="AC40" s="168" t="str">
        <f t="shared" si="45"/>
        <v/>
      </c>
      <c r="AD40" s="141"/>
      <c r="AE40" s="141"/>
      <c r="AF40" s="140"/>
      <c r="AG40" s="168" t="str">
        <f t="shared" si="6"/>
        <v/>
      </c>
      <c r="AH40" s="207">
        <f t="shared" si="7"/>
        <v>26</v>
      </c>
      <c r="AI40" s="96" t="str">
        <f t="shared" si="8"/>
        <v/>
      </c>
      <c r="AJ40" s="95" t="str">
        <f t="shared" si="9"/>
        <v/>
      </c>
      <c r="AK40" s="96"/>
      <c r="AL40" s="108"/>
      <c r="AM40" s="97"/>
      <c r="AN40" s="130"/>
      <c r="AO40" s="313"/>
      <c r="AP40" s="345"/>
      <c r="AQ40" s="345"/>
      <c r="AR40" s="345"/>
      <c r="AS40" s="345"/>
      <c r="AT40" s="345"/>
      <c r="AU40" s="141"/>
      <c r="AV40" s="141"/>
      <c r="AW40" s="140"/>
      <c r="AX40" s="168" t="str">
        <f t="shared" si="10"/>
        <v/>
      </c>
      <c r="AY40" s="141"/>
      <c r="AZ40" s="141"/>
      <c r="BA40" s="141"/>
      <c r="BB40" s="141"/>
      <c r="BC40" s="140"/>
      <c r="BD40" s="168" t="str">
        <f t="shared" si="11"/>
        <v/>
      </c>
      <c r="BE40" s="141"/>
      <c r="BF40" s="141"/>
      <c r="BG40" s="141"/>
      <c r="BH40" s="141"/>
      <c r="BI40" s="141"/>
      <c r="BJ40" s="140"/>
      <c r="BK40" s="168" t="str">
        <f t="shared" si="12"/>
        <v/>
      </c>
      <c r="BL40" s="141"/>
      <c r="BM40" s="141"/>
      <c r="BN40" s="141"/>
      <c r="BO40" s="187"/>
      <c r="BP40" s="174" t="str">
        <f t="shared" si="13"/>
        <v/>
      </c>
      <c r="BQ40" s="141"/>
      <c r="BR40" s="141"/>
      <c r="BS40" s="140"/>
      <c r="BT40" s="168" t="str">
        <f t="shared" si="14"/>
        <v/>
      </c>
      <c r="BU40" s="209">
        <f t="shared" si="15"/>
        <v>26</v>
      </c>
      <c r="BV40" s="175" t="str">
        <f t="shared" si="16"/>
        <v/>
      </c>
      <c r="BW40" s="175" t="str">
        <f t="shared" si="17"/>
        <v/>
      </c>
      <c r="BX40" s="98"/>
      <c r="BY40" s="115"/>
      <c r="BZ40" s="99"/>
      <c r="CA40" s="130"/>
      <c r="CB40" s="313"/>
      <c r="CC40" s="345"/>
      <c r="CD40" s="345"/>
      <c r="CE40" s="345"/>
      <c r="CF40" s="345"/>
      <c r="CG40" s="345"/>
      <c r="CH40" s="307"/>
      <c r="CI40" s="307"/>
      <c r="CJ40" s="142"/>
      <c r="CK40" s="176" t="str">
        <f t="shared" ref="CK40" si="46">IF(COUNTBLANK(CH40:CI40)=CJ$6,"",AVERAGE(CH40:CI40)*CH$6)</f>
        <v/>
      </c>
      <c r="CL40" s="141"/>
      <c r="CM40" s="141"/>
      <c r="CN40" s="307"/>
      <c r="CO40" s="307"/>
      <c r="CP40" s="142"/>
      <c r="CQ40" s="176" t="str">
        <f t="shared" ref="CQ40" si="47">IF(COUNTBLANK(CL40:CO40)=$P$6,"",AVERAGE(CL40:CO40)*$L$6)</f>
        <v/>
      </c>
      <c r="CR40" s="177"/>
      <c r="CS40" s="177"/>
      <c r="CT40" s="307"/>
      <c r="CU40" s="177"/>
      <c r="CV40" s="307"/>
      <c r="CW40" s="142"/>
      <c r="CX40" s="176" t="str">
        <f t="shared" ref="CX40" si="48">IF(COUNTBLANK(CR40:CV40)=CW$6,"",AVERAGE(CR40:CV40)*CR$6)</f>
        <v/>
      </c>
      <c r="CY40" s="307"/>
      <c r="CZ40" s="307"/>
      <c r="DA40" s="307"/>
      <c r="DB40" s="142"/>
      <c r="DC40" s="176" t="str">
        <f t="shared" ref="DC40" si="49">IF(COUNTBLANK(CY40:DA40)=DB$6,"",AVERAGE(CY40:DA40)*CY$6)</f>
        <v/>
      </c>
      <c r="DD40" s="307"/>
      <c r="DE40" s="307"/>
      <c r="DF40" s="142"/>
      <c r="DG40" s="176" t="str">
        <f t="shared" ref="DG40" si="50">IF(COUNTBLANK(DD40:DE40)=DF$6,"",AVERAGE(DD40:DE40)*DD$6)</f>
        <v/>
      </c>
      <c r="DH40" s="209"/>
      <c r="DI40" s="178" t="str">
        <f t="shared" ref="DI40" si="51">IF(COUNTBLANK(CH40:DG40)=DH$6,"",SUM(CK40,CQ40,CX40,DC40,DG40))</f>
        <v/>
      </c>
      <c r="DJ40" s="217" t="str">
        <f t="shared" ref="DJ40" si="52">CK40</f>
        <v/>
      </c>
      <c r="DK40" s="217" t="str">
        <f t="shared" ref="DK40" si="53">Q40</f>
        <v/>
      </c>
      <c r="DL40" s="217" t="str">
        <f t="shared" ref="DL40" si="54">BD40</f>
        <v/>
      </c>
      <c r="DM40" s="217" t="str">
        <f t="shared" ref="DM40" si="55">CQ40</f>
        <v/>
      </c>
      <c r="DN40" s="217" t="str">
        <f t="shared" ref="DN40" si="56">IF(COUNTBLANK(DK40:DM40)=DM$4,"",AVERAGE(DK40:DM40))</f>
        <v/>
      </c>
      <c r="DO40" s="217" t="str">
        <f t="shared" ref="DO40" si="57">X40</f>
        <v/>
      </c>
      <c r="DP40" s="217" t="str">
        <f t="shared" ref="DP40" si="58">BK40</f>
        <v/>
      </c>
      <c r="DQ40" s="217" t="str">
        <f t="shared" ref="DQ40" si="59">CX40</f>
        <v/>
      </c>
      <c r="DR40" s="217" t="str">
        <f t="shared" ref="DR40" si="60">IF(COUNTBLANK(DO40:DQ40)=DQ$4,"",AVERAGE(DO40:DQ40))</f>
        <v/>
      </c>
      <c r="DS40" s="217" t="str">
        <f t="shared" ref="DS40" si="61">AC40</f>
        <v/>
      </c>
      <c r="DT40" s="217" t="str">
        <f t="shared" ref="DT40" si="62">BP40</f>
        <v/>
      </c>
      <c r="DU40" s="217" t="str">
        <f t="shared" ref="DU40" si="63">DC40</f>
        <v/>
      </c>
      <c r="DV40" s="217" t="str">
        <f t="shared" ref="DV40" si="64">IF(COUNTBLANK(DS40:DU40)=DU$4,"",AVERAGE(DS40:DU40))</f>
        <v/>
      </c>
      <c r="DW40" s="217" t="str">
        <f t="shared" ref="DW40" si="65">AG40</f>
        <v/>
      </c>
      <c r="DX40" s="217" t="str">
        <f t="shared" ref="DX40" si="66">BT40</f>
        <v/>
      </c>
      <c r="DY40" s="217" t="str">
        <f t="shared" ref="DY40" si="67">DG40</f>
        <v/>
      </c>
      <c r="DZ40" s="217" t="str">
        <f t="shared" ref="DZ40" si="68">IF(COUNTBLANK(DW40:DY40)=DY$4,"",AVERAGE(DW40:DY40))</f>
        <v/>
      </c>
      <c r="EA40" s="217"/>
      <c r="EB40" s="218" t="str">
        <f t="shared" ref="EB40" si="69">IF(COUNTBLANK(DJ40:EA40)=EA$4,"",SUM(DJ40,DN40,DR40,DV40,DZ40))</f>
        <v/>
      </c>
      <c r="EC40" s="218" t="str">
        <f t="shared" si="42"/>
        <v/>
      </c>
      <c r="ED40" s="100"/>
      <c r="EE40" s="119"/>
      <c r="EF40" s="101"/>
      <c r="EG40" s="68"/>
      <c r="EH40" s="131"/>
      <c r="EI40" s="166">
        <v>0</v>
      </c>
      <c r="EJ40" s="181">
        <v>0</v>
      </c>
    </row>
    <row r="41" spans="1:140" ht="19.5" customHeight="1" x14ac:dyDescent="0.2">
      <c r="B41" s="143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346" t="s">
        <v>9</v>
      </c>
      <c r="AA41" s="346"/>
      <c r="AB41" s="346"/>
      <c r="AC41" s="346"/>
      <c r="AD41" s="346"/>
      <c r="AE41" s="346"/>
      <c r="AF41" s="346"/>
      <c r="AG41" s="346"/>
      <c r="AH41" s="346"/>
      <c r="AI41" s="346"/>
      <c r="AJ41" s="145"/>
      <c r="AK41" s="146" t="str">
        <f>IF(COUNTBLANK(AK8:AK40)=AL41,"",COUNTIF(AK8:AK40,"&gt;=0"))</f>
        <v/>
      </c>
      <c r="AL41" s="111">
        <f>COUNTIF(AK8:AK40,"&lt;&gt;=0")</f>
        <v>33</v>
      </c>
      <c r="AM41" s="147"/>
      <c r="AN41" s="148"/>
      <c r="AO41" s="143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346" t="s">
        <v>9</v>
      </c>
      <c r="BN41" s="346"/>
      <c r="BO41" s="346"/>
      <c r="BP41" s="346"/>
      <c r="BQ41" s="346"/>
      <c r="BR41" s="346"/>
      <c r="BS41" s="346"/>
      <c r="BT41" s="346"/>
      <c r="BU41" s="346"/>
      <c r="BV41" s="346"/>
      <c r="BW41" s="374"/>
      <c r="BX41" s="146" t="str">
        <f>IF(COUNTBLANK(BX8:BX40)=BY41,"",COUNTIF(BX8:BX40,"&gt;=0"))</f>
        <v/>
      </c>
      <c r="BY41" s="116">
        <f>COUNTIF(BX8:BX40,"&lt;&gt;=0")</f>
        <v>33</v>
      </c>
      <c r="BZ41" s="147"/>
      <c r="CA41" s="148"/>
      <c r="CB41" s="143"/>
      <c r="CC41" s="144"/>
      <c r="CD41" s="144"/>
      <c r="CE41" s="144"/>
      <c r="CF41" s="144"/>
      <c r="CG41" s="144"/>
      <c r="CH41" s="144"/>
      <c r="CI41" s="144"/>
      <c r="CJ41" s="144"/>
      <c r="CK41" s="144"/>
      <c r="CL41" s="144"/>
      <c r="CM41" s="144"/>
      <c r="CN41" s="144"/>
      <c r="CO41" s="144"/>
      <c r="CP41" s="144"/>
      <c r="CQ41" s="144"/>
      <c r="CR41" s="144"/>
      <c r="CS41" s="144"/>
      <c r="CT41" s="144"/>
      <c r="CU41" s="144"/>
      <c r="CV41" s="144"/>
      <c r="CW41" s="144"/>
      <c r="CX41" s="144"/>
      <c r="CY41" s="144"/>
      <c r="CZ41" s="144"/>
      <c r="DA41" s="144"/>
      <c r="DB41" s="144"/>
      <c r="DC41" s="167"/>
      <c r="DD41" s="167"/>
      <c r="DE41" s="167"/>
      <c r="DF41" s="167"/>
      <c r="DG41" s="346" t="s">
        <v>9</v>
      </c>
      <c r="DH41" s="346"/>
      <c r="DI41" s="346"/>
      <c r="DJ41" s="346"/>
      <c r="DK41" s="346"/>
      <c r="DL41" s="346"/>
      <c r="DM41" s="346"/>
      <c r="DN41" s="346"/>
      <c r="DO41" s="346"/>
      <c r="DP41" s="346"/>
      <c r="DQ41" s="346"/>
      <c r="DR41" s="346"/>
      <c r="DS41" s="346"/>
      <c r="DT41" s="346"/>
      <c r="DU41" s="346"/>
      <c r="DV41" s="346"/>
      <c r="DW41" s="346"/>
      <c r="DX41" s="346"/>
      <c r="DY41" s="346"/>
      <c r="DZ41" s="346"/>
      <c r="EA41" s="346"/>
      <c r="EB41" s="346"/>
      <c r="EC41" s="374"/>
      <c r="ED41" s="146" t="str">
        <f>IF(COUNTBLANK(ED8:ED40)=EE41,"",COUNTIF(ED8:ED40,"&gt;=0"))</f>
        <v/>
      </c>
      <c r="EE41" s="116">
        <f>COUNTIF(ED8:ED40,"&lt;&gt;=0")</f>
        <v>33</v>
      </c>
      <c r="EF41" s="147"/>
      <c r="EG41" s="1"/>
      <c r="EH41" s="131"/>
      <c r="EI41" s="131"/>
    </row>
    <row r="42" spans="1:140" ht="19.5" customHeight="1" x14ac:dyDescent="0.2">
      <c r="B42" s="149"/>
      <c r="Z42" s="344" t="s">
        <v>8</v>
      </c>
      <c r="AA42" s="344"/>
      <c r="AB42" s="344"/>
      <c r="AC42" s="344"/>
      <c r="AD42" s="344"/>
      <c r="AE42" s="344"/>
      <c r="AF42" s="344"/>
      <c r="AG42" s="344"/>
      <c r="AH42" s="344"/>
      <c r="AI42" s="344"/>
      <c r="AJ42" s="150"/>
      <c r="AK42" s="151" t="str">
        <f>IF(COUNTBLANK(AK8:AK40)=AL41,"",AVERAGE(AK8:AK40)/10)</f>
        <v/>
      </c>
      <c r="AL42" s="152"/>
      <c r="AM42" s="153"/>
      <c r="AN42" s="154"/>
      <c r="AO42" s="149"/>
      <c r="BM42" s="344" t="s">
        <v>8</v>
      </c>
      <c r="BN42" s="344"/>
      <c r="BO42" s="344"/>
      <c r="BP42" s="344"/>
      <c r="BQ42" s="344"/>
      <c r="BR42" s="344"/>
      <c r="BS42" s="344"/>
      <c r="BT42" s="344"/>
      <c r="BU42" s="344"/>
      <c r="BV42" s="344"/>
      <c r="BW42" s="373"/>
      <c r="BX42" s="179" t="str">
        <f>IF(COUNTBLANK(BX8:BX40)=BY41,"",AVERAGE(BX8:BX40))</f>
        <v/>
      </c>
      <c r="BY42" s="152"/>
      <c r="BZ42" s="153"/>
      <c r="CA42" s="154"/>
      <c r="CB42" s="149"/>
      <c r="DC42" s="165"/>
      <c r="DD42" s="165"/>
      <c r="DE42" s="165"/>
      <c r="DF42" s="165"/>
      <c r="DG42" s="344" t="s">
        <v>8</v>
      </c>
      <c r="DH42" s="344"/>
      <c r="DI42" s="344"/>
      <c r="DJ42" s="344"/>
      <c r="DK42" s="344"/>
      <c r="DL42" s="344"/>
      <c r="DM42" s="344"/>
      <c r="DN42" s="344"/>
      <c r="DO42" s="344"/>
      <c r="DP42" s="344"/>
      <c r="DQ42" s="344"/>
      <c r="DR42" s="344"/>
      <c r="DS42" s="344"/>
      <c r="DT42" s="344"/>
      <c r="DU42" s="344"/>
      <c r="DV42" s="344"/>
      <c r="DW42" s="344"/>
      <c r="DX42" s="344"/>
      <c r="DY42" s="344"/>
      <c r="DZ42" s="344"/>
      <c r="EA42" s="344"/>
      <c r="EB42" s="344"/>
      <c r="EC42" s="373"/>
      <c r="ED42" s="179" t="str">
        <f>IF(COUNTBLANK(ED8:ED40)=EE41,"",AVERAGE(ED8:ED40))</f>
        <v/>
      </c>
      <c r="EE42" s="152"/>
      <c r="EF42" s="153"/>
      <c r="EG42" s="154"/>
    </row>
    <row r="43" spans="1:140" ht="19.5" customHeight="1" x14ac:dyDescent="0.2">
      <c r="B43" s="149"/>
      <c r="Z43" s="344" t="s">
        <v>7</v>
      </c>
      <c r="AA43" s="344"/>
      <c r="AB43" s="344"/>
      <c r="AC43" s="344"/>
      <c r="AD43" s="344"/>
      <c r="AE43" s="344"/>
      <c r="AF43" s="344"/>
      <c r="AG43" s="344"/>
      <c r="AH43" s="344"/>
      <c r="AI43" s="344"/>
      <c r="AJ43" s="150"/>
      <c r="AK43" s="155" t="str">
        <f>IF(COUNTBLANK(AK8:AK40)=AL41,"",COUNTIF(AK8:AK40,"&lt;10"))</f>
        <v/>
      </c>
      <c r="AL43" s="156"/>
      <c r="AM43" s="157"/>
      <c r="AN43" s="158"/>
      <c r="AO43" s="149"/>
      <c r="BM43" s="344" t="s">
        <v>7</v>
      </c>
      <c r="BN43" s="344"/>
      <c r="BO43" s="344"/>
      <c r="BP43" s="344"/>
      <c r="BQ43" s="344"/>
      <c r="BR43" s="344"/>
      <c r="BS43" s="344"/>
      <c r="BT43" s="344"/>
      <c r="BU43" s="344"/>
      <c r="BV43" s="344"/>
      <c r="BW43" s="373"/>
      <c r="BX43" s="155" t="str">
        <f>IF(COUNTBLANK(BX8:BX40)=BY41,"",COUNTIF(BX8:BX40,"&lt;3"))</f>
        <v/>
      </c>
      <c r="BY43" s="156"/>
      <c r="BZ43" s="157"/>
      <c r="CA43" s="158"/>
      <c r="CB43" s="149"/>
      <c r="DC43" s="165"/>
      <c r="DD43" s="165"/>
      <c r="DE43" s="165"/>
      <c r="DF43" s="165"/>
      <c r="DG43" s="344" t="s">
        <v>7</v>
      </c>
      <c r="DH43" s="344"/>
      <c r="DI43" s="344"/>
      <c r="DJ43" s="344"/>
      <c r="DK43" s="344"/>
      <c r="DL43" s="344"/>
      <c r="DM43" s="344"/>
      <c r="DN43" s="344"/>
      <c r="DO43" s="344"/>
      <c r="DP43" s="344"/>
      <c r="DQ43" s="344"/>
      <c r="DR43" s="344"/>
      <c r="DS43" s="344"/>
      <c r="DT43" s="344"/>
      <c r="DU43" s="344"/>
      <c r="DV43" s="344"/>
      <c r="DW43" s="344"/>
      <c r="DX43" s="344"/>
      <c r="DY43" s="344"/>
      <c r="DZ43" s="344"/>
      <c r="EA43" s="344"/>
      <c r="EB43" s="344"/>
      <c r="EC43" s="373"/>
      <c r="ED43" s="155" t="str">
        <f>IF(COUNTBLANK(ED8:ED40)=EE41,"",COUNTIF(ED8:ED40,"&lt;3"))</f>
        <v/>
      </c>
      <c r="EE43" s="156"/>
      <c r="EF43" s="157"/>
      <c r="EG43" s="158"/>
    </row>
    <row r="44" spans="1:140" ht="19.5" customHeight="1" x14ac:dyDescent="0.2">
      <c r="B44" s="149"/>
      <c r="Z44" s="344" t="s">
        <v>6</v>
      </c>
      <c r="AA44" s="344"/>
      <c r="AB44" s="344"/>
      <c r="AC44" s="344"/>
      <c r="AD44" s="344"/>
      <c r="AE44" s="344"/>
      <c r="AF44" s="344"/>
      <c r="AG44" s="344"/>
      <c r="AH44" s="344"/>
      <c r="AI44" s="344"/>
      <c r="AJ44" s="150"/>
      <c r="AK44" s="159" t="str">
        <f>IF(COUNTBLANK(AK8:AK40)=AL41,"",COUNTIF(AK8:AK40,"&gt;=10"))</f>
        <v/>
      </c>
      <c r="AL44" s="156"/>
      <c r="AM44" s="153"/>
      <c r="AN44" s="154"/>
      <c r="AO44" s="149"/>
      <c r="BM44" s="344" t="s">
        <v>6</v>
      </c>
      <c r="BN44" s="344"/>
      <c r="BO44" s="344"/>
      <c r="BP44" s="344"/>
      <c r="BQ44" s="344"/>
      <c r="BR44" s="344"/>
      <c r="BS44" s="344"/>
      <c r="BT44" s="344"/>
      <c r="BU44" s="344"/>
      <c r="BV44" s="344"/>
      <c r="BW44" s="373"/>
      <c r="BX44" s="159" t="str">
        <f>IF(COUNTBLANK(BX8:BX40)=BY41,"",COUNTIF(BX8:BX40,"&gt;=3"))</f>
        <v/>
      </c>
      <c r="BY44" s="156"/>
      <c r="BZ44" s="153"/>
      <c r="CA44" s="154"/>
      <c r="CB44" s="149"/>
      <c r="DC44" s="165"/>
      <c r="DD44" s="165"/>
      <c r="DE44" s="165"/>
      <c r="DF44" s="165"/>
      <c r="DG44" s="344" t="s">
        <v>6</v>
      </c>
      <c r="DH44" s="344"/>
      <c r="DI44" s="344"/>
      <c r="DJ44" s="344"/>
      <c r="DK44" s="344"/>
      <c r="DL44" s="344"/>
      <c r="DM44" s="344"/>
      <c r="DN44" s="344"/>
      <c r="DO44" s="344"/>
      <c r="DP44" s="344"/>
      <c r="DQ44" s="344"/>
      <c r="DR44" s="344"/>
      <c r="DS44" s="344"/>
      <c r="DT44" s="344"/>
      <c r="DU44" s="344"/>
      <c r="DV44" s="344"/>
      <c r="DW44" s="344"/>
      <c r="DX44" s="344"/>
      <c r="DY44" s="344"/>
      <c r="DZ44" s="344"/>
      <c r="EA44" s="344"/>
      <c r="EB44" s="344"/>
      <c r="EC44" s="373"/>
      <c r="ED44" s="159" t="str">
        <f>IF(COUNTBLANK(ED8:ED40)=EE41,"",COUNTIF(ED8:ED40,"&gt;=3"))</f>
        <v/>
      </c>
      <c r="EE44" s="156"/>
      <c r="EF44" s="153"/>
      <c r="EG44" s="154"/>
    </row>
    <row r="45" spans="1:140" ht="19.5" customHeight="1" x14ac:dyDescent="0.2">
      <c r="B45" s="149"/>
      <c r="Z45" s="344" t="s">
        <v>5</v>
      </c>
      <c r="AA45" s="344"/>
      <c r="AB45" s="344"/>
      <c r="AC45" s="344"/>
      <c r="AD45" s="344"/>
      <c r="AE45" s="344"/>
      <c r="AF45" s="344"/>
      <c r="AG45" s="344"/>
      <c r="AH45" s="344"/>
      <c r="AI45" s="344"/>
      <c r="AJ45" s="150"/>
      <c r="AK45" s="160" t="str">
        <f>IF(COUNTBLANK(AK41:AK44)=4,"",AK44/AK41)</f>
        <v/>
      </c>
      <c r="AL45" s="109"/>
      <c r="AM45" s="110"/>
      <c r="AN45" s="161"/>
      <c r="AO45" s="149"/>
      <c r="BM45" s="344" t="s">
        <v>5</v>
      </c>
      <c r="BN45" s="344"/>
      <c r="BO45" s="344"/>
      <c r="BP45" s="344"/>
      <c r="BQ45" s="344"/>
      <c r="BR45" s="344"/>
      <c r="BS45" s="344"/>
      <c r="BT45" s="344"/>
      <c r="BU45" s="344"/>
      <c r="BV45" s="344"/>
      <c r="BW45" s="373"/>
      <c r="BX45" s="160" t="str">
        <f>IF(COUNTBLANK(BX41:BX44)=4,"",BX44/BX41)</f>
        <v/>
      </c>
      <c r="BY45" s="109"/>
      <c r="BZ45" s="110"/>
      <c r="CA45" s="161"/>
      <c r="CB45" s="149"/>
      <c r="DC45" s="165"/>
      <c r="DD45" s="165"/>
      <c r="DE45" s="165"/>
      <c r="DF45" s="165"/>
      <c r="DG45" s="344" t="s">
        <v>5</v>
      </c>
      <c r="DH45" s="344"/>
      <c r="DI45" s="344"/>
      <c r="DJ45" s="344"/>
      <c r="DK45" s="344"/>
      <c r="DL45" s="344"/>
      <c r="DM45" s="344"/>
      <c r="DN45" s="344"/>
      <c r="DO45" s="344"/>
      <c r="DP45" s="344"/>
      <c r="DQ45" s="344"/>
      <c r="DR45" s="344"/>
      <c r="DS45" s="344"/>
      <c r="DT45" s="344"/>
      <c r="DU45" s="344"/>
      <c r="DV45" s="344"/>
      <c r="DW45" s="344"/>
      <c r="DX45" s="344"/>
      <c r="DY45" s="344"/>
      <c r="DZ45" s="344"/>
      <c r="EA45" s="344"/>
      <c r="EB45" s="344"/>
      <c r="EC45" s="373"/>
      <c r="ED45" s="160" t="str">
        <f>IF(COUNTBLANK(ED41:ED44)=4,"",ED44/ED41)</f>
        <v/>
      </c>
      <c r="EE45" s="109"/>
      <c r="EF45" s="110"/>
    </row>
    <row r="46" spans="1:140" ht="12.75" customHeight="1" thickBot="1" x14ac:dyDescent="0.25">
      <c r="B46" s="162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3"/>
      <c r="AE46" s="163"/>
      <c r="AF46" s="163"/>
      <c r="AG46" s="163"/>
      <c r="AH46" s="163"/>
      <c r="AI46" s="163"/>
      <c r="AJ46" s="163"/>
      <c r="AK46" s="163"/>
      <c r="AL46" s="163"/>
      <c r="AM46" s="164"/>
      <c r="AO46" s="162"/>
      <c r="AP46" s="163"/>
      <c r="AQ46" s="163"/>
      <c r="AR46" s="163"/>
      <c r="AS46" s="163"/>
      <c r="AT46" s="163"/>
      <c r="AU46" s="163"/>
      <c r="AV46" s="163"/>
      <c r="AW46" s="163"/>
      <c r="AX46" s="163"/>
      <c r="AY46" s="163"/>
      <c r="AZ46" s="163"/>
      <c r="BA46" s="163"/>
      <c r="BB46" s="163"/>
      <c r="BC46" s="163"/>
      <c r="BD46" s="163"/>
      <c r="BE46" s="163"/>
      <c r="BF46" s="163"/>
      <c r="BG46" s="163"/>
      <c r="BH46" s="163"/>
      <c r="BI46" s="163"/>
      <c r="BJ46" s="163"/>
      <c r="BK46" s="163"/>
      <c r="BL46" s="163"/>
      <c r="BM46" s="163"/>
      <c r="BN46" s="163"/>
      <c r="BO46" s="163"/>
      <c r="BP46" s="163"/>
      <c r="BQ46" s="163"/>
      <c r="BR46" s="163"/>
      <c r="BS46" s="163"/>
      <c r="BT46" s="163"/>
      <c r="BU46" s="163"/>
      <c r="BV46" s="163"/>
      <c r="BW46" s="163"/>
      <c r="BX46" s="163"/>
      <c r="BY46" s="163"/>
      <c r="BZ46" s="164"/>
      <c r="CB46" s="162"/>
      <c r="CC46" s="163"/>
      <c r="CD46" s="163"/>
      <c r="CE46" s="163"/>
      <c r="CF46" s="163"/>
      <c r="CG46" s="163"/>
      <c r="CH46" s="163"/>
      <c r="CI46" s="163"/>
      <c r="CJ46" s="163"/>
      <c r="CK46" s="163"/>
      <c r="CL46" s="163"/>
      <c r="CM46" s="163"/>
      <c r="CN46" s="163"/>
      <c r="CO46" s="163"/>
      <c r="CP46" s="163"/>
      <c r="CQ46" s="163"/>
      <c r="CR46" s="163"/>
      <c r="CS46" s="163"/>
      <c r="CT46" s="163"/>
      <c r="CU46" s="163"/>
      <c r="CV46" s="163"/>
      <c r="CW46" s="163"/>
      <c r="CX46" s="163"/>
      <c r="CY46" s="163"/>
      <c r="CZ46" s="163"/>
      <c r="DA46" s="163"/>
      <c r="DB46" s="163"/>
      <c r="DC46" s="163"/>
      <c r="DD46" s="163"/>
      <c r="DE46" s="163"/>
      <c r="DF46" s="163"/>
      <c r="DG46" s="163"/>
      <c r="DH46" s="163"/>
      <c r="DI46" s="163"/>
      <c r="DJ46" s="163"/>
      <c r="DK46" s="163"/>
      <c r="DL46" s="163"/>
      <c r="DM46" s="163"/>
      <c r="DN46" s="163"/>
      <c r="DO46" s="163"/>
      <c r="DP46" s="163"/>
      <c r="DQ46" s="163"/>
      <c r="DR46" s="163"/>
      <c r="DS46" s="163"/>
      <c r="DT46" s="163"/>
      <c r="DU46" s="163"/>
      <c r="DV46" s="163"/>
      <c r="DW46" s="163"/>
      <c r="DX46" s="163"/>
      <c r="DY46" s="163"/>
      <c r="DZ46" s="163"/>
      <c r="EA46" s="163"/>
      <c r="EB46" s="163"/>
      <c r="EC46" s="163"/>
      <c r="ED46" s="163"/>
      <c r="EE46" s="163"/>
      <c r="EF46" s="164"/>
    </row>
    <row r="47" spans="1:140" ht="12.75" customHeight="1" x14ac:dyDescent="0.2"/>
    <row r="48" spans="1:140" ht="12.75" customHeight="1" x14ac:dyDescent="0.2"/>
    <row r="49" spans="140:140" ht="12.75" customHeight="1" x14ac:dyDescent="0.2"/>
    <row r="50" spans="140:140" ht="12.75" customHeight="1" x14ac:dyDescent="0.2"/>
    <row r="51" spans="140:140" ht="12.75" customHeight="1" x14ac:dyDescent="0.2"/>
    <row r="52" spans="140:140" ht="12.75" customHeight="1" x14ac:dyDescent="0.2"/>
    <row r="53" spans="140:140" ht="12.75" customHeight="1" x14ac:dyDescent="0.2"/>
    <row r="54" spans="140:140" ht="12.75" customHeight="1" x14ac:dyDescent="0.2"/>
    <row r="55" spans="140:140" ht="12.75" customHeight="1" x14ac:dyDescent="0.2"/>
    <row r="56" spans="140:140" ht="12.75" customHeight="1" x14ac:dyDescent="0.2">
      <c r="EJ56" s="7"/>
    </row>
    <row r="57" spans="140:140" ht="12.75" customHeight="1" x14ac:dyDescent="0.2"/>
    <row r="58" spans="140:140" ht="12.75" hidden="1" customHeight="1" x14ac:dyDescent="0.2"/>
    <row r="59" spans="140:140" ht="12.75" hidden="1" customHeight="1" x14ac:dyDescent="0.2"/>
    <row r="60" spans="140:140" ht="12.75" hidden="1" customHeight="1" x14ac:dyDescent="0.2"/>
    <row r="61" spans="140:140" ht="12.75" hidden="1" customHeight="1" x14ac:dyDescent="0.2"/>
    <row r="62" spans="140:140" ht="12.75" hidden="1" customHeight="1" x14ac:dyDescent="0.2"/>
    <row r="63" spans="140:140" ht="12.75" hidden="1" customHeight="1" x14ac:dyDescent="0.2"/>
    <row r="64" spans="140:140" ht="12.75" hidden="1" customHeight="1" x14ac:dyDescent="0.2"/>
    <row r="65" ht="12.75" hidden="1" customHeight="1" x14ac:dyDescent="0.2"/>
    <row r="66" ht="12.75" hidden="1" customHeight="1" x14ac:dyDescent="0.2"/>
    <row r="67" ht="12.75" hidden="1" customHeight="1" x14ac:dyDescent="0.2"/>
    <row r="68" ht="12.75" hidden="1" customHeight="1" x14ac:dyDescent="0.2"/>
    <row r="69" ht="12.75" hidden="1" customHeight="1" x14ac:dyDescent="0.2"/>
    <row r="70" ht="12.75" hidden="1" customHeight="1" x14ac:dyDescent="0.2"/>
    <row r="71" ht="12.75" hidden="1" customHeight="1" x14ac:dyDescent="0.2"/>
  </sheetData>
  <sheetProtection selectLockedCells="1"/>
  <mergeCells count="191">
    <mergeCell ref="BL6:BN6"/>
    <mergeCell ref="AU6:AV6"/>
    <mergeCell ref="CH6:CI6"/>
    <mergeCell ref="H6:I6"/>
    <mergeCell ref="AY6:BB6"/>
    <mergeCell ref="Y6:AA6"/>
    <mergeCell ref="L6:O6"/>
    <mergeCell ref="DG42:EC42"/>
    <mergeCell ref="DG44:EC44"/>
    <mergeCell ref="AP21:AT21"/>
    <mergeCell ref="CC21:CG21"/>
    <mergeCell ref="AP22:AT22"/>
    <mergeCell ref="CC22:CG22"/>
    <mergeCell ref="AP23:AT23"/>
    <mergeCell ref="CC23:CG23"/>
    <mergeCell ref="AP24:AT24"/>
    <mergeCell ref="CC24:CG24"/>
    <mergeCell ref="AP25:AT25"/>
    <mergeCell ref="CC25:CG25"/>
    <mergeCell ref="AP26:AT26"/>
    <mergeCell ref="CC26:CG26"/>
    <mergeCell ref="AP27:AT27"/>
    <mergeCell ref="CC27:CG27"/>
    <mergeCell ref="AP28:AT28"/>
    <mergeCell ref="DG45:EC45"/>
    <mergeCell ref="DG43:EC43"/>
    <mergeCell ref="DG41:EC41"/>
    <mergeCell ref="BM41:BW41"/>
    <mergeCell ref="BM42:BW42"/>
    <mergeCell ref="BM43:BW43"/>
    <mergeCell ref="BM44:BW44"/>
    <mergeCell ref="BM45:BW45"/>
    <mergeCell ref="AP30:AT30"/>
    <mergeCell ref="CC30:CG30"/>
    <mergeCell ref="AP31:AT31"/>
    <mergeCell ref="CC31:CG31"/>
    <mergeCell ref="AP32:AT32"/>
    <mergeCell ref="CC32:CG32"/>
    <mergeCell ref="AP33:AT33"/>
    <mergeCell ref="CC33:CG33"/>
    <mergeCell ref="AP34:AT34"/>
    <mergeCell ref="CC34:CG34"/>
    <mergeCell ref="AP40:AT40"/>
    <mergeCell ref="CC40:CG40"/>
    <mergeCell ref="AP38:AT38"/>
    <mergeCell ref="CC38:CG38"/>
    <mergeCell ref="AP39:AT39"/>
    <mergeCell ref="CC39:CG39"/>
    <mergeCell ref="CC13:CG13"/>
    <mergeCell ref="AP14:AT14"/>
    <mergeCell ref="CC14:CG14"/>
    <mergeCell ref="CC28:CG28"/>
    <mergeCell ref="AP29:AT29"/>
    <mergeCell ref="CC29:CG29"/>
    <mergeCell ref="AP16:AT16"/>
    <mergeCell ref="CC16:CG16"/>
    <mergeCell ref="AP17:AT17"/>
    <mergeCell ref="CC17:CG17"/>
    <mergeCell ref="AP18:AT18"/>
    <mergeCell ref="CC18:CG18"/>
    <mergeCell ref="AP19:AT19"/>
    <mergeCell ref="CC19:CG19"/>
    <mergeCell ref="AP20:AT20"/>
    <mergeCell ref="CC20:CG20"/>
    <mergeCell ref="EF5:EF7"/>
    <mergeCell ref="AO6:AT6"/>
    <mergeCell ref="AX6:AX7"/>
    <mergeCell ref="BD6:BD7"/>
    <mergeCell ref="BE6:BI6"/>
    <mergeCell ref="BK6:BK7"/>
    <mergeCell ref="BP6:BP7"/>
    <mergeCell ref="BQ6:BR6"/>
    <mergeCell ref="BT6:BT7"/>
    <mergeCell ref="CB6:CG6"/>
    <mergeCell ref="CK6:CK7"/>
    <mergeCell ref="CQ6:CQ7"/>
    <mergeCell ref="CR6:CV6"/>
    <mergeCell ref="CX6:CX7"/>
    <mergeCell ref="DC6:DC7"/>
    <mergeCell ref="DD6:DE6"/>
    <mergeCell ref="DG6:DG7"/>
    <mergeCell ref="AO7:AT7"/>
    <mergeCell ref="CB7:CG7"/>
    <mergeCell ref="BV5:BV7"/>
    <mergeCell ref="ED5:ED7"/>
    <mergeCell ref="CY6:DA6"/>
    <mergeCell ref="CL6:CO6"/>
    <mergeCell ref="EC5:EC7"/>
    <mergeCell ref="B4:AM4"/>
    <mergeCell ref="AO4:BZ4"/>
    <mergeCell ref="CB4:DI4"/>
    <mergeCell ref="EB4:EF4"/>
    <mergeCell ref="EI4:EJ7"/>
    <mergeCell ref="AK5:AK7"/>
    <mergeCell ref="AM5:AM7"/>
    <mergeCell ref="AO5:AT5"/>
    <mergeCell ref="AU5:AX5"/>
    <mergeCell ref="AY5:BD5"/>
    <mergeCell ref="BE5:BK5"/>
    <mergeCell ref="BL5:BP5"/>
    <mergeCell ref="BQ5:BT5"/>
    <mergeCell ref="BW5:BW7"/>
    <mergeCell ref="BZ5:BZ7"/>
    <mergeCell ref="CB5:CG5"/>
    <mergeCell ref="CH5:CK5"/>
    <mergeCell ref="CL5:CQ5"/>
    <mergeCell ref="CR5:CX5"/>
    <mergeCell ref="CY5:DC5"/>
    <mergeCell ref="DD5:DG5"/>
    <mergeCell ref="DI5:DI7"/>
    <mergeCell ref="DJ5:DJ7"/>
    <mergeCell ref="DN5:DN7"/>
    <mergeCell ref="Z45:AI45"/>
    <mergeCell ref="C32:G32"/>
    <mergeCell ref="C33:G33"/>
    <mergeCell ref="C37:G37"/>
    <mergeCell ref="C38:G38"/>
    <mergeCell ref="C39:G39"/>
    <mergeCell ref="C40:G40"/>
    <mergeCell ref="C34:G34"/>
    <mergeCell ref="C35:G35"/>
    <mergeCell ref="Z41:AI41"/>
    <mergeCell ref="Z42:AI42"/>
    <mergeCell ref="Z43:AI43"/>
    <mergeCell ref="Z44:AI44"/>
    <mergeCell ref="B5:G5"/>
    <mergeCell ref="B6:G6"/>
    <mergeCell ref="AG6:AG7"/>
    <mergeCell ref="AC6:AC7"/>
    <mergeCell ref="AJ5:AJ7"/>
    <mergeCell ref="C36:G36"/>
    <mergeCell ref="C29:G29"/>
    <mergeCell ref="C30:G30"/>
    <mergeCell ref="C28:G28"/>
    <mergeCell ref="C31:G31"/>
    <mergeCell ref="C18:G18"/>
    <mergeCell ref="C19:G19"/>
    <mergeCell ref="C20:G20"/>
    <mergeCell ref="C21:G21"/>
    <mergeCell ref="C15:G15"/>
    <mergeCell ref="C16:G16"/>
    <mergeCell ref="C17:G17"/>
    <mergeCell ref="C22:G22"/>
    <mergeCell ref="C27:G27"/>
    <mergeCell ref="C23:G23"/>
    <mergeCell ref="C24:G24"/>
    <mergeCell ref="C25:G25"/>
    <mergeCell ref="AD5:AG5"/>
    <mergeCell ref="C26:G26"/>
    <mergeCell ref="R5:X5"/>
    <mergeCell ref="Y5:AC5"/>
    <mergeCell ref="H5:K5"/>
    <mergeCell ref="K6:K7"/>
    <mergeCell ref="Q6:Q7"/>
    <mergeCell ref="X6:X7"/>
    <mergeCell ref="AI5:AI7"/>
    <mergeCell ref="AD6:AE6"/>
    <mergeCell ref="L5:Q5"/>
    <mergeCell ref="C8:G8"/>
    <mergeCell ref="C9:G9"/>
    <mergeCell ref="C12:G12"/>
    <mergeCell ref="C13:G13"/>
    <mergeCell ref="C14:G14"/>
    <mergeCell ref="C11:G11"/>
    <mergeCell ref="B7:G7"/>
    <mergeCell ref="R6:V6"/>
    <mergeCell ref="C10:G10"/>
    <mergeCell ref="DZ5:DZ7"/>
    <mergeCell ref="DR5:DR7"/>
    <mergeCell ref="DV5:DV7"/>
    <mergeCell ref="EB5:EB7"/>
    <mergeCell ref="AP35:AT35"/>
    <mergeCell ref="CC35:CG35"/>
    <mergeCell ref="AP36:AT36"/>
    <mergeCell ref="CC36:CG36"/>
    <mergeCell ref="AP37:AT37"/>
    <mergeCell ref="CC37:CG37"/>
    <mergeCell ref="BX5:BX7"/>
    <mergeCell ref="AP8:AT8"/>
    <mergeCell ref="CC8:CG8"/>
    <mergeCell ref="AP9:AT9"/>
    <mergeCell ref="CC9:CG9"/>
    <mergeCell ref="AP10:AT10"/>
    <mergeCell ref="CC10:CG10"/>
    <mergeCell ref="AP11:AT11"/>
    <mergeCell ref="CC11:CG11"/>
    <mergeCell ref="AP12:AT12"/>
    <mergeCell ref="CC12:CG12"/>
    <mergeCell ref="AP15:AT15"/>
    <mergeCell ref="CC15:CG15"/>
    <mergeCell ref="AP13:AT13"/>
  </mergeCells>
  <conditionalFormatting sqref="EI8:EJ40">
    <cfRule type="cellIs" dxfId="5" priority="1" operator="equal">
      <formula>0</formula>
    </cfRule>
  </conditionalFormatting>
  <printOptions horizontalCentered="1"/>
  <pageMargins left="0.23622047244094491" right="0.23622047244094491" top="0.94488188976377963" bottom="0.35433070866141736" header="0.11811023622047245" footer="0.31496062992125984"/>
  <pageSetup paperSize="9" scale="61" orientation="portrait" blackAndWhite="1" r:id="rId1"/>
  <headerFooter>
    <oddHeader>&amp;L&amp;G&amp;C&amp;"Arial,Normal"&amp;18
Área Disciplinar de Português&amp;R&amp;"Arial,Normal"&amp;24
&amp;D</oddHeader>
  </headerFooter>
  <drawing r:id="rId2"/>
  <legacyDrawing r:id="rId3"/>
  <legacyDrawingHF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9">
    <pageSetUpPr fitToPage="1"/>
  </sheetPr>
  <dimension ref="A1:XFC171"/>
  <sheetViews>
    <sheetView showGridLines="0" zoomScale="75" zoomScaleNormal="75" zoomScalePageLayoutView="70" workbookViewId="0">
      <selection activeCell="AC10" sqref="AC10"/>
    </sheetView>
  </sheetViews>
  <sheetFormatPr defaultColWidth="0" defaultRowHeight="14.25" zeroHeight="1" x14ac:dyDescent="0.2"/>
  <cols>
    <col min="1" max="1" width="2.7109375" style="8" customWidth="1"/>
    <col min="2" max="2" width="6.42578125" style="8" customWidth="1"/>
    <col min="3" max="3" width="54.7109375" style="260" customWidth="1"/>
    <col min="4" max="4" width="18.140625" style="8" customWidth="1"/>
    <col min="5" max="5" width="4.7109375" style="46" hidden="1" customWidth="1"/>
    <col min="6" max="6" width="4.7109375" style="8" hidden="1" customWidth="1"/>
    <col min="7" max="36" width="5.7109375" style="247" customWidth="1"/>
    <col min="37" max="37" width="5.7109375" style="8" customWidth="1"/>
    <col min="38" max="38" width="9.28515625" style="12" customWidth="1"/>
    <col min="39" max="41" width="9.140625" style="8" customWidth="1"/>
    <col min="42" max="66" width="9.140625" style="8" hidden="1"/>
    <col min="67" max="67" width="8.42578125" style="8" hidden="1"/>
    <col min="68" max="16292" width="9.140625" style="8" hidden="1"/>
    <col min="16293" max="16293" width="1.140625" style="8" hidden="1"/>
    <col min="16294" max="16295" width="9.140625" style="8" hidden="1"/>
    <col min="16296" max="16296" width="1.140625" style="8" hidden="1"/>
    <col min="16297" max="16298" width="9.140625" style="8" hidden="1"/>
    <col min="16299" max="16299" width="1.140625" style="8" hidden="1"/>
    <col min="16300" max="16301" width="9.140625" style="8" hidden="1"/>
    <col min="16302" max="16302" width="1.140625" style="8" hidden="1"/>
    <col min="16303" max="16304" width="9.140625" style="8" hidden="1"/>
    <col min="16305" max="16305" width="1.140625" style="8" hidden="1"/>
    <col min="16306" max="16307" width="9.140625" style="8" hidden="1"/>
    <col min="16308" max="16308" width="1.140625" style="8" hidden="1"/>
    <col min="16309" max="16310" width="9.140625" style="8" hidden="1"/>
    <col min="16311" max="16311" width="1.140625" style="8" hidden="1"/>
    <col min="16312" max="16313" width="9.140625" style="8" hidden="1"/>
    <col min="16314" max="16314" width="1.140625" style="8" hidden="1"/>
    <col min="16315" max="16316" width="9.140625" style="8" hidden="1"/>
    <col min="16317" max="16317" width="1.140625" style="8" hidden="1"/>
    <col min="16318" max="16319" width="9.140625" style="8" hidden="1"/>
    <col min="16320" max="16320" width="1.140625" style="8" hidden="1"/>
    <col min="16321" max="16322" width="9.140625" style="8" hidden="1"/>
    <col min="16323" max="16323" width="1.140625" style="8" hidden="1"/>
    <col min="16324" max="16325" width="9.140625" style="8" hidden="1"/>
    <col min="16326" max="16326" width="1.140625" style="8" hidden="1"/>
    <col min="16327" max="16328" width="9.140625" style="8" hidden="1"/>
    <col min="16329" max="16329" width="1.140625" style="8" hidden="1"/>
    <col min="16330" max="16331" width="9.140625" style="8" hidden="1"/>
    <col min="16332" max="16332" width="1.140625" style="8" hidden="1"/>
    <col min="16333" max="16334" width="9.140625" style="8" hidden="1"/>
    <col min="16335" max="16335" width="1.140625" style="8" hidden="1"/>
    <col min="16336" max="16337" width="9.140625" style="8" hidden="1"/>
    <col min="16338" max="16338" width="1.140625" style="8" hidden="1"/>
    <col min="16339" max="16340" width="9.140625" style="8" hidden="1"/>
    <col min="16341" max="16341" width="1.140625" style="8" hidden="1"/>
    <col min="16342" max="16343" width="9.140625" style="8" hidden="1"/>
    <col min="16344" max="16344" width="1.140625" style="8" hidden="1"/>
    <col min="16345" max="16346" width="9.140625" style="8" hidden="1"/>
    <col min="16347" max="16347" width="1.140625" style="8" hidden="1"/>
    <col min="16348" max="16349" width="9.140625" style="8" hidden="1"/>
    <col min="16350" max="16350" width="1.140625" style="8" hidden="1"/>
    <col min="16351" max="16352" width="9.140625" style="8" hidden="1"/>
    <col min="16353" max="16353" width="1.140625" style="8" hidden="1"/>
    <col min="16354" max="16355" width="9.140625" style="8" hidden="1"/>
    <col min="16356" max="16356" width="1.140625" style="8" hidden="1"/>
    <col min="16357" max="16358" width="9.140625" style="8" hidden="1"/>
    <col min="16359" max="16359" width="1.140625" style="8" hidden="1"/>
    <col min="16360" max="16361" width="9.140625" style="8" hidden="1"/>
    <col min="16362" max="16362" width="1.140625" style="8" hidden="1"/>
    <col min="16363" max="16364" width="9.140625" style="8" hidden="1"/>
    <col min="16365" max="16365" width="1.140625" style="8" hidden="1"/>
    <col min="16366" max="16367" width="9.140625" style="8" hidden="1"/>
    <col min="16368" max="16368" width="1.140625" style="8" hidden="1"/>
    <col min="16369" max="16370" width="9.140625" style="8" hidden="1"/>
    <col min="16371" max="16371" width="1.140625" style="8" hidden="1"/>
    <col min="16372" max="16373" width="9.140625" style="8" hidden="1"/>
    <col min="16374" max="16374" width="1.140625" style="8" hidden="1"/>
    <col min="16375" max="16376" width="9.140625" style="8" hidden="1"/>
    <col min="16377" max="16377" width="1.140625" style="8" hidden="1"/>
    <col min="16378" max="16379" width="9.140625" style="8" hidden="1"/>
    <col min="16380" max="16380" width="1.140625" style="8" hidden="1"/>
    <col min="16381" max="16382" width="9.140625" style="8" hidden="1"/>
    <col min="16383" max="16383" width="1.140625" style="8" hidden="1"/>
    <col min="16384" max="16384" width="5.7109375" style="8" hidden="1"/>
  </cols>
  <sheetData>
    <row r="1" spans="1:43" s="5" customFormat="1" ht="24.95" customHeight="1" x14ac:dyDescent="0.2">
      <c r="C1" s="254"/>
      <c r="G1" s="53"/>
      <c r="H1" s="53"/>
      <c r="I1" s="53"/>
      <c r="J1" s="53"/>
      <c r="K1" s="53"/>
      <c r="L1" s="53"/>
      <c r="M1" s="232"/>
      <c r="N1" s="53"/>
      <c r="O1" s="233"/>
      <c r="P1" s="233"/>
      <c r="Q1" s="233"/>
      <c r="R1" s="233"/>
      <c r="S1" s="233"/>
      <c r="T1" s="233"/>
      <c r="U1" s="233"/>
      <c r="V1" s="233"/>
      <c r="W1" s="233"/>
      <c r="X1" s="233"/>
      <c r="Y1" s="233"/>
      <c r="Z1" s="233"/>
      <c r="AA1" s="233"/>
      <c r="AB1" s="233"/>
      <c r="AC1" s="233"/>
      <c r="AD1" s="233"/>
      <c r="AE1" s="233"/>
      <c r="AF1" s="233"/>
      <c r="AG1" s="233"/>
      <c r="AH1" s="233"/>
      <c r="AI1" s="233"/>
      <c r="AJ1" s="233"/>
      <c r="AK1" s="52"/>
      <c r="AL1" s="52"/>
      <c r="AP1" s="6"/>
      <c r="AQ1" s="6"/>
    </row>
    <row r="2" spans="1:43" s="5" customFormat="1" ht="24.95" customHeight="1" x14ac:dyDescent="0.4">
      <c r="B2" s="71" t="s">
        <v>65</v>
      </c>
      <c r="C2" s="254"/>
      <c r="G2" s="53"/>
      <c r="H2" s="53"/>
      <c r="I2" s="53"/>
      <c r="J2" s="53"/>
      <c r="K2" s="53"/>
      <c r="L2" s="53"/>
      <c r="M2" s="232"/>
      <c r="N2" s="62"/>
      <c r="O2" s="233"/>
      <c r="P2" s="233"/>
      <c r="Q2" s="233"/>
      <c r="R2" s="233"/>
      <c r="S2" s="233"/>
      <c r="T2" s="233"/>
      <c r="U2" s="233"/>
      <c r="V2" s="233"/>
      <c r="W2" s="233"/>
      <c r="X2" s="233"/>
      <c r="Y2" s="233"/>
      <c r="Z2" s="233"/>
      <c r="AA2" s="233"/>
      <c r="AB2" s="233"/>
      <c r="AC2" s="233"/>
      <c r="AD2" s="233"/>
      <c r="AE2" s="233"/>
      <c r="AF2" s="233"/>
      <c r="AG2" s="233"/>
      <c r="AH2" s="233"/>
      <c r="AI2" s="233"/>
      <c r="AJ2" s="233"/>
      <c r="AK2" s="52"/>
      <c r="AL2" s="52"/>
      <c r="AP2" s="6"/>
      <c r="AQ2" s="6"/>
    </row>
    <row r="3" spans="1:43" s="11" customFormat="1" ht="24.95" customHeight="1" thickBot="1" x14ac:dyDescent="0.25">
      <c r="A3" s="51"/>
      <c r="B3" s="51"/>
      <c r="C3" s="254"/>
      <c r="D3" s="51"/>
      <c r="E3" s="51"/>
      <c r="F3" s="2"/>
      <c r="G3" s="234"/>
      <c r="H3" s="234"/>
      <c r="I3" s="62"/>
      <c r="J3" s="62"/>
      <c r="K3" s="62"/>
      <c r="L3" s="62"/>
      <c r="M3" s="235"/>
      <c r="N3" s="62"/>
      <c r="O3" s="233"/>
      <c r="P3" s="233"/>
      <c r="Q3" s="233"/>
      <c r="R3" s="233"/>
      <c r="S3" s="233"/>
      <c r="T3" s="233"/>
      <c r="U3" s="233"/>
      <c r="V3" s="233"/>
      <c r="W3" s="233"/>
      <c r="X3" s="233"/>
      <c r="Y3" s="233"/>
      <c r="Z3" s="233"/>
      <c r="AA3" s="233"/>
      <c r="AB3" s="233"/>
      <c r="AC3" s="233"/>
      <c r="AD3" s="233"/>
      <c r="AE3" s="233"/>
      <c r="AF3" s="233"/>
      <c r="AG3" s="233"/>
      <c r="AH3" s="233"/>
      <c r="AI3" s="233"/>
      <c r="AJ3" s="233"/>
      <c r="AK3" s="52"/>
      <c r="AL3" s="52"/>
      <c r="AM3" s="2"/>
      <c r="AN3" s="2"/>
      <c r="AO3" s="8"/>
      <c r="AP3" s="9"/>
      <c r="AQ3" s="10"/>
    </row>
    <row r="4" spans="1:43" ht="30" customHeight="1" thickBot="1" x14ac:dyDescent="0.25">
      <c r="B4" s="384" t="s">
        <v>47</v>
      </c>
      <c r="C4" s="385"/>
      <c r="D4" s="390" t="s">
        <v>46</v>
      </c>
      <c r="E4" s="34"/>
      <c r="F4" s="29"/>
      <c r="G4" s="315">
        <v>1</v>
      </c>
      <c r="H4" s="315">
        <v>2</v>
      </c>
      <c r="I4" s="315">
        <v>3</v>
      </c>
      <c r="J4" s="315">
        <v>4</v>
      </c>
      <c r="K4" s="315">
        <v>5</v>
      </c>
      <c r="L4" s="315">
        <v>6</v>
      </c>
      <c r="M4" s="315">
        <v>7</v>
      </c>
      <c r="N4" s="315">
        <v>8</v>
      </c>
      <c r="O4" s="315">
        <v>9</v>
      </c>
      <c r="P4" s="315">
        <v>10</v>
      </c>
      <c r="Q4" s="315">
        <v>11</v>
      </c>
      <c r="R4" s="315">
        <v>12</v>
      </c>
      <c r="S4" s="315">
        <v>13</v>
      </c>
      <c r="T4" s="315">
        <v>14</v>
      </c>
      <c r="U4" s="315">
        <v>15</v>
      </c>
      <c r="V4" s="315">
        <v>16</v>
      </c>
      <c r="W4" s="315">
        <v>17</v>
      </c>
      <c r="X4" s="315">
        <v>18</v>
      </c>
      <c r="Y4" s="315">
        <v>19</v>
      </c>
      <c r="Z4" s="315">
        <v>20</v>
      </c>
      <c r="AA4" s="315">
        <v>21</v>
      </c>
      <c r="AB4" s="315">
        <v>22</v>
      </c>
      <c r="AC4" s="315">
        <v>23</v>
      </c>
      <c r="AD4" s="315">
        <v>24</v>
      </c>
      <c r="AE4" s="315">
        <v>25</v>
      </c>
      <c r="AF4" s="315">
        <v>26</v>
      </c>
      <c r="AG4" s="315">
        <v>27</v>
      </c>
      <c r="AH4" s="315">
        <v>28</v>
      </c>
      <c r="AI4" s="315">
        <v>29</v>
      </c>
      <c r="AJ4" s="316">
        <v>30</v>
      </c>
    </row>
    <row r="5" spans="1:43" ht="90" customHeight="1" thickBot="1" x14ac:dyDescent="0.25">
      <c r="B5" s="386"/>
      <c r="C5" s="387"/>
      <c r="D5" s="391"/>
      <c r="E5" s="35"/>
      <c r="F5" s="30"/>
      <c r="G5" s="317" t="s">
        <v>135</v>
      </c>
      <c r="H5" s="317" t="s">
        <v>136</v>
      </c>
      <c r="I5" s="318" t="s">
        <v>137</v>
      </c>
      <c r="J5" s="318" t="s">
        <v>138</v>
      </c>
      <c r="K5" s="318" t="s">
        <v>139</v>
      </c>
      <c r="L5" s="318" t="s">
        <v>140</v>
      </c>
      <c r="M5" s="318" t="s">
        <v>141</v>
      </c>
      <c r="N5" s="318" t="s">
        <v>142</v>
      </c>
      <c r="O5" s="318" t="s">
        <v>143</v>
      </c>
      <c r="P5" s="318" t="s">
        <v>144</v>
      </c>
      <c r="Q5" s="318" t="s">
        <v>145</v>
      </c>
      <c r="R5" s="318" t="s">
        <v>146</v>
      </c>
      <c r="S5" s="318" t="s">
        <v>147</v>
      </c>
      <c r="T5" s="318" t="s">
        <v>148</v>
      </c>
      <c r="U5" s="318" t="s">
        <v>149</v>
      </c>
      <c r="V5" s="318" t="s">
        <v>150</v>
      </c>
      <c r="W5" s="318" t="s">
        <v>151</v>
      </c>
      <c r="X5" s="318" t="s">
        <v>152</v>
      </c>
      <c r="Y5" s="318" t="s">
        <v>153</v>
      </c>
      <c r="Z5" s="318" t="s">
        <v>154</v>
      </c>
      <c r="AA5" s="318" t="s">
        <v>155</v>
      </c>
      <c r="AB5" s="318" t="s">
        <v>156</v>
      </c>
      <c r="AC5" s="318" t="s">
        <v>157</v>
      </c>
      <c r="AD5" s="318" t="s">
        <v>158</v>
      </c>
      <c r="AE5" s="318" t="s">
        <v>159</v>
      </c>
      <c r="AF5" s="318" t="s">
        <v>160</v>
      </c>
      <c r="AG5" s="318" t="s">
        <v>161</v>
      </c>
      <c r="AH5" s="318" t="s">
        <v>162</v>
      </c>
      <c r="AI5" s="318" t="s">
        <v>163</v>
      </c>
      <c r="AJ5" s="319" t="s">
        <v>164</v>
      </c>
    </row>
    <row r="6" spans="1:43" ht="25.5" customHeight="1" x14ac:dyDescent="0.2">
      <c r="B6" s="248" t="s">
        <v>62</v>
      </c>
      <c r="C6" s="267" t="s">
        <v>114</v>
      </c>
      <c r="E6" s="249" t="s">
        <v>62</v>
      </c>
      <c r="F6" s="250"/>
      <c r="G6" s="268" t="s">
        <v>62</v>
      </c>
      <c r="H6" s="269"/>
      <c r="I6" s="269"/>
      <c r="J6" s="269"/>
      <c r="K6" s="269"/>
      <c r="L6" s="269"/>
      <c r="M6" s="270"/>
      <c r="N6" s="269"/>
      <c r="O6" s="269"/>
      <c r="P6" s="269"/>
      <c r="Q6" s="269"/>
      <c r="R6" s="269"/>
      <c r="S6" s="269"/>
      <c r="T6" s="269"/>
      <c r="U6" s="269"/>
      <c r="V6" s="269"/>
      <c r="W6" s="269"/>
      <c r="X6" s="269"/>
      <c r="Y6" s="269"/>
      <c r="Z6" s="269"/>
      <c r="AA6" s="269"/>
      <c r="AB6" s="269"/>
      <c r="AC6" s="269"/>
      <c r="AD6" s="269"/>
      <c r="AE6" s="269"/>
      <c r="AF6" s="269"/>
      <c r="AG6" s="269"/>
      <c r="AH6" s="269"/>
      <c r="AI6" s="269"/>
      <c r="AJ6" s="271"/>
    </row>
    <row r="7" spans="1:43" ht="30" customHeight="1" x14ac:dyDescent="0.2">
      <c r="B7" s="392" t="s">
        <v>4</v>
      </c>
      <c r="C7" s="253" t="s">
        <v>112</v>
      </c>
      <c r="D7" s="388" t="s">
        <v>81</v>
      </c>
      <c r="E7" s="33">
        <f>COUNTIF(G7:G8,"&lt;&gt;=0")</f>
        <v>2</v>
      </c>
      <c r="G7" s="272"/>
      <c r="H7" s="272"/>
      <c r="I7" s="272"/>
      <c r="J7" s="272"/>
      <c r="K7" s="272"/>
      <c r="L7" s="272"/>
      <c r="M7" s="272"/>
      <c r="N7" s="272"/>
      <c r="O7" s="272"/>
      <c r="P7" s="272"/>
      <c r="Q7" s="272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272"/>
      <c r="AF7" s="272"/>
      <c r="AG7" s="272"/>
      <c r="AH7" s="272"/>
      <c r="AI7" s="272"/>
      <c r="AJ7" s="273"/>
    </row>
    <row r="8" spans="1:43" ht="30" customHeight="1" x14ac:dyDescent="0.2">
      <c r="B8" s="393"/>
      <c r="C8" s="253" t="s">
        <v>68</v>
      </c>
      <c r="D8" s="388"/>
      <c r="E8" s="36"/>
      <c r="F8" s="27">
        <f>COUNTIF(G7:G8,"&lt;&gt;=0")</f>
        <v>2</v>
      </c>
      <c r="G8" s="272"/>
      <c r="H8" s="272"/>
      <c r="I8" s="272"/>
      <c r="J8" s="272"/>
      <c r="K8" s="272"/>
      <c r="L8" s="272"/>
      <c r="M8" s="272"/>
      <c r="N8" s="272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  <c r="AF8" s="272"/>
      <c r="AG8" s="272"/>
      <c r="AH8" s="272"/>
      <c r="AI8" s="272"/>
      <c r="AJ8" s="273"/>
    </row>
    <row r="9" spans="1:43" ht="30" customHeight="1" x14ac:dyDescent="0.2">
      <c r="B9" s="393"/>
      <c r="C9" s="253" t="s">
        <v>69</v>
      </c>
      <c r="D9" s="388" t="s">
        <v>24</v>
      </c>
      <c r="E9" s="33">
        <f>COUNTIF(G9:G10,"&lt;&gt;=0")</f>
        <v>2</v>
      </c>
      <c r="G9" s="272"/>
      <c r="H9" s="272"/>
      <c r="I9" s="272"/>
      <c r="J9" s="272"/>
      <c r="K9" s="272"/>
      <c r="L9" s="272"/>
      <c r="M9" s="272"/>
      <c r="N9" s="272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  <c r="AF9" s="272"/>
      <c r="AG9" s="272"/>
      <c r="AH9" s="272"/>
      <c r="AI9" s="272"/>
      <c r="AJ9" s="273"/>
    </row>
    <row r="10" spans="1:43" ht="30" customHeight="1" x14ac:dyDescent="0.2">
      <c r="B10" s="393"/>
      <c r="C10" s="253" t="s">
        <v>70</v>
      </c>
      <c r="D10" s="388"/>
      <c r="E10" s="36"/>
      <c r="F10" s="27">
        <f>COUNTIF(G9:G10,"&lt;&gt;=0")</f>
        <v>2</v>
      </c>
      <c r="G10" s="272"/>
      <c r="H10" s="272"/>
      <c r="I10" s="272"/>
      <c r="J10" s="272"/>
      <c r="K10" s="272"/>
      <c r="L10" s="272"/>
      <c r="M10" s="272"/>
      <c r="N10" s="272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  <c r="AF10" s="272"/>
      <c r="AG10" s="272"/>
      <c r="AH10" s="272"/>
      <c r="AI10" s="272"/>
      <c r="AJ10" s="273"/>
    </row>
    <row r="11" spans="1:43" ht="30" customHeight="1" x14ac:dyDescent="0.2">
      <c r="B11" s="393"/>
      <c r="C11" s="253" t="s">
        <v>71</v>
      </c>
      <c r="D11" s="389" t="s">
        <v>82</v>
      </c>
      <c r="E11" s="33">
        <f>COUNTIF(G11:G14,"&lt;&gt;=0")</f>
        <v>4</v>
      </c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3"/>
    </row>
    <row r="12" spans="1:43" ht="30" customHeight="1" x14ac:dyDescent="0.2">
      <c r="B12" s="393"/>
      <c r="C12" s="253" t="s">
        <v>73</v>
      </c>
      <c r="D12" s="389"/>
      <c r="E12" s="33"/>
      <c r="F12" s="27"/>
      <c r="G12" s="272"/>
      <c r="H12" s="272"/>
      <c r="I12" s="272"/>
      <c r="J12" s="272"/>
      <c r="K12" s="272"/>
      <c r="L12" s="272"/>
      <c r="M12" s="272"/>
      <c r="N12" s="272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  <c r="AF12" s="272"/>
      <c r="AG12" s="272"/>
      <c r="AH12" s="272"/>
      <c r="AI12" s="272"/>
      <c r="AJ12" s="273"/>
    </row>
    <row r="13" spans="1:43" ht="30" customHeight="1" x14ac:dyDescent="0.2">
      <c r="B13" s="393"/>
      <c r="C13" s="253" t="s">
        <v>72</v>
      </c>
      <c r="D13" s="389"/>
      <c r="E13" s="33"/>
      <c r="F13" s="27"/>
      <c r="G13" s="272"/>
      <c r="H13" s="272"/>
      <c r="I13" s="272"/>
      <c r="J13" s="272"/>
      <c r="K13" s="272"/>
      <c r="L13" s="272"/>
      <c r="M13" s="272"/>
      <c r="N13" s="272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  <c r="AF13" s="272"/>
      <c r="AG13" s="272"/>
      <c r="AH13" s="272"/>
      <c r="AI13" s="272"/>
      <c r="AJ13" s="273"/>
    </row>
    <row r="14" spans="1:43" ht="30" customHeight="1" x14ac:dyDescent="0.2">
      <c r="B14" s="393"/>
      <c r="C14" s="253" t="s">
        <v>72</v>
      </c>
      <c r="D14" s="389"/>
      <c r="E14" s="33"/>
      <c r="F14" s="27">
        <f>COUNTIF(G11:G14,"&lt;&gt;=0")</f>
        <v>4</v>
      </c>
      <c r="G14" s="272"/>
      <c r="H14" s="272"/>
      <c r="I14" s="272"/>
      <c r="J14" s="272"/>
      <c r="K14" s="272"/>
      <c r="L14" s="272"/>
      <c r="M14" s="272"/>
      <c r="N14" s="272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  <c r="AF14" s="272"/>
      <c r="AG14" s="272"/>
      <c r="AH14" s="272"/>
      <c r="AI14" s="272"/>
      <c r="AJ14" s="273"/>
      <c r="AK14" s="18"/>
    </row>
    <row r="15" spans="1:43" ht="30" hidden="1" customHeight="1" x14ac:dyDescent="0.2">
      <c r="B15" s="393"/>
      <c r="C15" s="228"/>
      <c r="D15" s="190" t="s">
        <v>29</v>
      </c>
      <c r="E15" s="33"/>
      <c r="F15" s="27"/>
      <c r="G15" s="229" t="str">
        <f>IF(COUNTBLANK(G7:G8)=$E$7,"",COUNTIF(G7:G8,"s")/$F$8)</f>
        <v/>
      </c>
      <c r="H15" s="229" t="str">
        <f>IF(COUNTBLANK(H7:H8)=$E$7,"",COUNTIF(H7:H8,"s")/$F$8)</f>
        <v/>
      </c>
      <c r="I15" s="229" t="str">
        <f t="shared" ref="I15:AJ15" si="0">IF(COUNTBLANK(I7:I8)=$E$7,"",COUNTIF(I7:I8,"S")/$F$8)</f>
        <v/>
      </c>
      <c r="J15" s="229" t="str">
        <f>IF(COUNTBLANK(J7:J8)=$E$7,"",COUNTIF(J7:J8,"S")/$F$8)</f>
        <v/>
      </c>
      <c r="K15" s="229" t="str">
        <f t="shared" si="0"/>
        <v/>
      </c>
      <c r="L15" s="229" t="str">
        <f t="shared" si="0"/>
        <v/>
      </c>
      <c r="M15" s="229" t="str">
        <f t="shared" si="0"/>
        <v/>
      </c>
      <c r="N15" s="229" t="str">
        <f t="shared" si="0"/>
        <v/>
      </c>
      <c r="O15" s="229" t="str">
        <f t="shared" si="0"/>
        <v/>
      </c>
      <c r="P15" s="229" t="str">
        <f t="shared" si="0"/>
        <v/>
      </c>
      <c r="Q15" s="229" t="str">
        <f t="shared" si="0"/>
        <v/>
      </c>
      <c r="R15" s="229" t="str">
        <f t="shared" si="0"/>
        <v/>
      </c>
      <c r="S15" s="229" t="str">
        <f t="shared" si="0"/>
        <v/>
      </c>
      <c r="T15" s="229" t="str">
        <f t="shared" si="0"/>
        <v/>
      </c>
      <c r="U15" s="229" t="str">
        <f t="shared" si="0"/>
        <v/>
      </c>
      <c r="V15" s="229" t="str">
        <f t="shared" si="0"/>
        <v/>
      </c>
      <c r="W15" s="229" t="str">
        <f t="shared" si="0"/>
        <v/>
      </c>
      <c r="X15" s="229" t="str">
        <f t="shared" si="0"/>
        <v/>
      </c>
      <c r="Y15" s="229" t="str">
        <f t="shared" si="0"/>
        <v/>
      </c>
      <c r="Z15" s="229" t="str">
        <f t="shared" si="0"/>
        <v/>
      </c>
      <c r="AA15" s="229" t="str">
        <f t="shared" si="0"/>
        <v/>
      </c>
      <c r="AB15" s="229" t="str">
        <f t="shared" si="0"/>
        <v/>
      </c>
      <c r="AC15" s="229" t="str">
        <f t="shared" si="0"/>
        <v/>
      </c>
      <c r="AD15" s="229" t="str">
        <f t="shared" si="0"/>
        <v/>
      </c>
      <c r="AE15" s="229" t="str">
        <f t="shared" si="0"/>
        <v/>
      </c>
      <c r="AF15" s="229" t="str">
        <f t="shared" si="0"/>
        <v/>
      </c>
      <c r="AG15" s="229" t="str">
        <f t="shared" si="0"/>
        <v/>
      </c>
      <c r="AH15" s="229" t="str">
        <f t="shared" si="0"/>
        <v/>
      </c>
      <c r="AI15" s="229" t="str">
        <f t="shared" si="0"/>
        <v/>
      </c>
      <c r="AJ15" s="262" t="str">
        <f t="shared" si="0"/>
        <v/>
      </c>
      <c r="AK15" s="18"/>
    </row>
    <row r="16" spans="1:43" ht="30" hidden="1" customHeight="1" x14ac:dyDescent="0.2">
      <c r="B16" s="393"/>
      <c r="C16" s="228"/>
      <c r="D16" s="194" t="s">
        <v>85</v>
      </c>
      <c r="E16" s="33"/>
      <c r="F16" s="27"/>
      <c r="G16" s="229" t="str">
        <f>IF(COUNTBLANK(G11:G14)=$E$11,"",COUNTIF(G11:G14,"s")/$F$14)</f>
        <v/>
      </c>
      <c r="H16" s="229" t="str">
        <f t="shared" ref="H16:AJ16" si="1">IF(COUNTBLANK(H11:H14)=$E$11,"",COUNTIF(H11:H14,"s")/$F$14)</f>
        <v/>
      </c>
      <c r="I16" s="229" t="str">
        <f t="shared" si="1"/>
        <v/>
      </c>
      <c r="J16" s="229" t="str">
        <f t="shared" si="1"/>
        <v/>
      </c>
      <c r="K16" s="229" t="str">
        <f t="shared" si="1"/>
        <v/>
      </c>
      <c r="L16" s="229" t="str">
        <f t="shared" si="1"/>
        <v/>
      </c>
      <c r="M16" s="229" t="str">
        <f t="shared" si="1"/>
        <v/>
      </c>
      <c r="N16" s="229" t="str">
        <f t="shared" si="1"/>
        <v/>
      </c>
      <c r="O16" s="229" t="str">
        <f t="shared" si="1"/>
        <v/>
      </c>
      <c r="P16" s="229" t="str">
        <f>IF(COUNTBLANK(P11:P14)=$E$11,"",COUNTIF(P11:P14,"s")/$F$14)</f>
        <v/>
      </c>
      <c r="Q16" s="229" t="str">
        <f t="shared" si="1"/>
        <v/>
      </c>
      <c r="R16" s="229" t="str">
        <f t="shared" si="1"/>
        <v/>
      </c>
      <c r="S16" s="229" t="str">
        <f t="shared" si="1"/>
        <v/>
      </c>
      <c r="T16" s="229" t="str">
        <f t="shared" si="1"/>
        <v/>
      </c>
      <c r="U16" s="229" t="str">
        <f t="shared" si="1"/>
        <v/>
      </c>
      <c r="V16" s="229" t="str">
        <f t="shared" si="1"/>
        <v/>
      </c>
      <c r="W16" s="229" t="str">
        <f t="shared" si="1"/>
        <v/>
      </c>
      <c r="X16" s="229" t="str">
        <f t="shared" si="1"/>
        <v/>
      </c>
      <c r="Y16" s="229" t="str">
        <f t="shared" si="1"/>
        <v/>
      </c>
      <c r="Z16" s="229" t="str">
        <f t="shared" si="1"/>
        <v/>
      </c>
      <c r="AA16" s="229" t="str">
        <f t="shared" si="1"/>
        <v/>
      </c>
      <c r="AB16" s="229" t="str">
        <f t="shared" si="1"/>
        <v/>
      </c>
      <c r="AC16" s="229" t="str">
        <f t="shared" si="1"/>
        <v/>
      </c>
      <c r="AD16" s="229" t="str">
        <f t="shared" si="1"/>
        <v/>
      </c>
      <c r="AE16" s="229" t="str">
        <f t="shared" si="1"/>
        <v/>
      </c>
      <c r="AF16" s="229" t="str">
        <f t="shared" si="1"/>
        <v/>
      </c>
      <c r="AG16" s="229" t="str">
        <f t="shared" si="1"/>
        <v/>
      </c>
      <c r="AH16" s="229" t="str">
        <f t="shared" si="1"/>
        <v/>
      </c>
      <c r="AI16" s="229" t="str">
        <f t="shared" si="1"/>
        <v/>
      </c>
      <c r="AJ16" s="262" t="str">
        <f t="shared" si="1"/>
        <v/>
      </c>
      <c r="AK16" s="18"/>
    </row>
    <row r="17" spans="2:37" s="12" customFormat="1" ht="30" hidden="1" customHeight="1" x14ac:dyDescent="0.2">
      <c r="B17" s="393"/>
      <c r="C17" s="255"/>
      <c r="D17" s="55" t="s">
        <v>23</v>
      </c>
      <c r="E17" s="37"/>
      <c r="F17" s="55"/>
      <c r="G17" s="229" t="str">
        <f>IF(COUNTBLANK(G7:G8)=$E$7,"",COUNTIF(G7:G8,"s")/$F$8)</f>
        <v/>
      </c>
      <c r="H17" s="229" t="str">
        <f t="shared" ref="H17:AJ17" si="2">IF(COUNTBLANK(H7:H8)=$E$7,"",COUNTIF(H7:H8,"s")/$F$8)</f>
        <v/>
      </c>
      <c r="I17" s="229" t="str">
        <f t="shared" si="2"/>
        <v/>
      </c>
      <c r="J17" s="229" t="str">
        <f t="shared" si="2"/>
        <v/>
      </c>
      <c r="K17" s="229" t="str">
        <f t="shared" si="2"/>
        <v/>
      </c>
      <c r="L17" s="229" t="str">
        <f t="shared" si="2"/>
        <v/>
      </c>
      <c r="M17" s="229" t="str">
        <f t="shared" si="2"/>
        <v/>
      </c>
      <c r="N17" s="229" t="str">
        <f t="shared" si="2"/>
        <v/>
      </c>
      <c r="O17" s="229" t="str">
        <f t="shared" si="2"/>
        <v/>
      </c>
      <c r="P17" s="229" t="str">
        <f t="shared" si="2"/>
        <v/>
      </c>
      <c r="Q17" s="229" t="str">
        <f t="shared" si="2"/>
        <v/>
      </c>
      <c r="R17" s="229" t="str">
        <f t="shared" si="2"/>
        <v/>
      </c>
      <c r="S17" s="229" t="str">
        <f t="shared" si="2"/>
        <v/>
      </c>
      <c r="T17" s="229" t="str">
        <f t="shared" si="2"/>
        <v/>
      </c>
      <c r="U17" s="229" t="str">
        <f t="shared" si="2"/>
        <v/>
      </c>
      <c r="V17" s="229" t="str">
        <f t="shared" si="2"/>
        <v/>
      </c>
      <c r="W17" s="229" t="str">
        <f t="shared" si="2"/>
        <v/>
      </c>
      <c r="X17" s="229" t="str">
        <f t="shared" si="2"/>
        <v/>
      </c>
      <c r="Y17" s="229" t="str">
        <f t="shared" si="2"/>
        <v/>
      </c>
      <c r="Z17" s="229" t="str">
        <f t="shared" si="2"/>
        <v/>
      </c>
      <c r="AA17" s="229" t="str">
        <f t="shared" si="2"/>
        <v/>
      </c>
      <c r="AB17" s="229" t="str">
        <f t="shared" si="2"/>
        <v/>
      </c>
      <c r="AC17" s="229" t="str">
        <f t="shared" si="2"/>
        <v/>
      </c>
      <c r="AD17" s="229" t="str">
        <f t="shared" si="2"/>
        <v/>
      </c>
      <c r="AE17" s="229" t="str">
        <f t="shared" si="2"/>
        <v/>
      </c>
      <c r="AF17" s="229" t="str">
        <f t="shared" si="2"/>
        <v/>
      </c>
      <c r="AG17" s="229" t="str">
        <f t="shared" si="2"/>
        <v/>
      </c>
      <c r="AH17" s="229" t="str">
        <f t="shared" si="2"/>
        <v/>
      </c>
      <c r="AI17" s="229" t="str">
        <f t="shared" si="2"/>
        <v/>
      </c>
      <c r="AJ17" s="262" t="str">
        <f t="shared" si="2"/>
        <v/>
      </c>
      <c r="AK17" s="18"/>
    </row>
    <row r="18" spans="2:37" s="12" customFormat="1" ht="30" hidden="1" customHeight="1" x14ac:dyDescent="0.2">
      <c r="B18" s="393"/>
      <c r="C18" s="255"/>
      <c r="D18" s="55" t="s">
        <v>24</v>
      </c>
      <c r="E18" s="38"/>
      <c r="G18" s="229" t="str">
        <f>IF(COUNTBLANK(G9:G10)=$E$9,"",COUNTIF(G9:G10,"s")/$F$10)</f>
        <v/>
      </c>
      <c r="H18" s="229" t="str">
        <f t="shared" ref="H18:AJ18" si="3">IF(COUNTBLANK(H9:H10)=$E$9,"",COUNTIF(H9:H10,"s")/$F$10)</f>
        <v/>
      </c>
      <c r="I18" s="229" t="str">
        <f t="shared" si="3"/>
        <v/>
      </c>
      <c r="J18" s="229" t="str">
        <f t="shared" si="3"/>
        <v/>
      </c>
      <c r="K18" s="229" t="str">
        <f t="shared" si="3"/>
        <v/>
      </c>
      <c r="L18" s="229" t="str">
        <f t="shared" si="3"/>
        <v/>
      </c>
      <c r="M18" s="229" t="str">
        <f t="shared" si="3"/>
        <v/>
      </c>
      <c r="N18" s="229" t="str">
        <f t="shared" si="3"/>
        <v/>
      </c>
      <c r="O18" s="229" t="str">
        <f t="shared" si="3"/>
        <v/>
      </c>
      <c r="P18" s="229" t="str">
        <f t="shared" si="3"/>
        <v/>
      </c>
      <c r="Q18" s="229" t="str">
        <f t="shared" si="3"/>
        <v/>
      </c>
      <c r="R18" s="229" t="str">
        <f t="shared" si="3"/>
        <v/>
      </c>
      <c r="S18" s="229" t="str">
        <f t="shared" si="3"/>
        <v/>
      </c>
      <c r="T18" s="229" t="str">
        <f t="shared" si="3"/>
        <v/>
      </c>
      <c r="U18" s="229" t="str">
        <f t="shared" si="3"/>
        <v/>
      </c>
      <c r="V18" s="229" t="str">
        <f t="shared" si="3"/>
        <v/>
      </c>
      <c r="W18" s="229" t="str">
        <f t="shared" si="3"/>
        <v/>
      </c>
      <c r="X18" s="229" t="str">
        <f t="shared" si="3"/>
        <v/>
      </c>
      <c r="Y18" s="229" t="str">
        <f t="shared" si="3"/>
        <v/>
      </c>
      <c r="Z18" s="229" t="str">
        <f t="shared" si="3"/>
        <v/>
      </c>
      <c r="AA18" s="229" t="str">
        <f t="shared" si="3"/>
        <v/>
      </c>
      <c r="AB18" s="229" t="str">
        <f t="shared" si="3"/>
        <v/>
      </c>
      <c r="AC18" s="229" t="str">
        <f t="shared" si="3"/>
        <v/>
      </c>
      <c r="AD18" s="229" t="str">
        <f t="shared" si="3"/>
        <v/>
      </c>
      <c r="AE18" s="229" t="str">
        <f t="shared" si="3"/>
        <v/>
      </c>
      <c r="AF18" s="229" t="str">
        <f t="shared" si="3"/>
        <v/>
      </c>
      <c r="AG18" s="229" t="str">
        <f t="shared" si="3"/>
        <v/>
      </c>
      <c r="AH18" s="229" t="str">
        <f t="shared" si="3"/>
        <v/>
      </c>
      <c r="AI18" s="229" t="str">
        <f t="shared" si="3"/>
        <v/>
      </c>
      <c r="AJ18" s="262" t="str">
        <f t="shared" si="3"/>
        <v/>
      </c>
      <c r="AK18" s="18"/>
    </row>
    <row r="19" spans="2:37" s="12" customFormat="1" ht="30" hidden="1" customHeight="1" x14ac:dyDescent="0.2">
      <c r="B19" s="393"/>
      <c r="C19" s="255"/>
      <c r="D19" s="55" t="s">
        <v>25</v>
      </c>
      <c r="E19" s="37"/>
      <c r="F19" s="27">
        <f>COUNTIF(G15:G19,"&lt;&gt;=0")</f>
        <v>5</v>
      </c>
      <c r="G19" s="229" t="str">
        <f>IF(COUNTBLANK(G11:G14)=$E$11,"",COUNTIF(G11:G14,"s")/$F$14)</f>
        <v/>
      </c>
      <c r="H19" s="229" t="str">
        <f t="shared" ref="H19:AJ19" si="4">IF(COUNTBLANK(H11:H14)=$E$11,"",COUNTIF(H11:H14,"s")/$F$14)</f>
        <v/>
      </c>
      <c r="I19" s="229" t="str">
        <f t="shared" si="4"/>
        <v/>
      </c>
      <c r="J19" s="229" t="str">
        <f t="shared" si="4"/>
        <v/>
      </c>
      <c r="K19" s="229" t="str">
        <f t="shared" si="4"/>
        <v/>
      </c>
      <c r="L19" s="229" t="str">
        <f t="shared" si="4"/>
        <v/>
      </c>
      <c r="M19" s="229" t="str">
        <f t="shared" si="4"/>
        <v/>
      </c>
      <c r="N19" s="229" t="str">
        <f t="shared" si="4"/>
        <v/>
      </c>
      <c r="O19" s="229" t="str">
        <f t="shared" si="4"/>
        <v/>
      </c>
      <c r="P19" s="229" t="str">
        <f t="shared" si="4"/>
        <v/>
      </c>
      <c r="Q19" s="229" t="str">
        <f t="shared" si="4"/>
        <v/>
      </c>
      <c r="R19" s="229" t="str">
        <f t="shared" si="4"/>
        <v/>
      </c>
      <c r="S19" s="229" t="str">
        <f t="shared" si="4"/>
        <v/>
      </c>
      <c r="T19" s="229" t="str">
        <f t="shared" si="4"/>
        <v/>
      </c>
      <c r="U19" s="229" t="str">
        <f t="shared" si="4"/>
        <v/>
      </c>
      <c r="V19" s="229" t="str">
        <f t="shared" si="4"/>
        <v/>
      </c>
      <c r="W19" s="229" t="str">
        <f t="shared" si="4"/>
        <v/>
      </c>
      <c r="X19" s="229" t="str">
        <f t="shared" si="4"/>
        <v/>
      </c>
      <c r="Y19" s="229" t="str">
        <f t="shared" si="4"/>
        <v/>
      </c>
      <c r="Z19" s="229" t="str">
        <f t="shared" si="4"/>
        <v/>
      </c>
      <c r="AA19" s="229" t="str">
        <f t="shared" si="4"/>
        <v/>
      </c>
      <c r="AB19" s="229" t="str">
        <f t="shared" si="4"/>
        <v/>
      </c>
      <c r="AC19" s="229" t="str">
        <f t="shared" si="4"/>
        <v/>
      </c>
      <c r="AD19" s="229" t="str">
        <f t="shared" si="4"/>
        <v/>
      </c>
      <c r="AE19" s="229" t="str">
        <f t="shared" si="4"/>
        <v/>
      </c>
      <c r="AF19" s="229" t="str">
        <f t="shared" si="4"/>
        <v/>
      </c>
      <c r="AG19" s="229" t="str">
        <f t="shared" si="4"/>
        <v/>
      </c>
      <c r="AH19" s="229" t="str">
        <f t="shared" si="4"/>
        <v/>
      </c>
      <c r="AI19" s="229" t="str">
        <f t="shared" si="4"/>
        <v/>
      </c>
      <c r="AJ19" s="262" t="str">
        <f t="shared" si="4"/>
        <v/>
      </c>
      <c r="AK19" s="18"/>
    </row>
    <row r="20" spans="2:37" s="12" customFormat="1" ht="24.95" customHeight="1" x14ac:dyDescent="0.2">
      <c r="B20" s="394"/>
      <c r="C20" s="396" t="s">
        <v>26</v>
      </c>
      <c r="D20" s="396"/>
      <c r="E20" s="396"/>
      <c r="F20" s="396"/>
      <c r="G20" s="230" t="str">
        <f t="shared" ref="G20:AJ20" si="5">IF(COUNTBLANK(G15:G19)=$F$19,"",AVERAGE(G15:G19))</f>
        <v/>
      </c>
      <c r="H20" s="230" t="str">
        <f t="shared" si="5"/>
        <v/>
      </c>
      <c r="I20" s="230" t="str">
        <f t="shared" si="5"/>
        <v/>
      </c>
      <c r="J20" s="230" t="str">
        <f t="shared" si="5"/>
        <v/>
      </c>
      <c r="K20" s="230" t="str">
        <f t="shared" si="5"/>
        <v/>
      </c>
      <c r="L20" s="230" t="str">
        <f t="shared" si="5"/>
        <v/>
      </c>
      <c r="M20" s="231" t="str">
        <f t="shared" si="5"/>
        <v/>
      </c>
      <c r="N20" s="231" t="str">
        <f t="shared" si="5"/>
        <v/>
      </c>
      <c r="O20" s="231" t="str">
        <f t="shared" si="5"/>
        <v/>
      </c>
      <c r="P20" s="231" t="str">
        <f t="shared" si="5"/>
        <v/>
      </c>
      <c r="Q20" s="231" t="str">
        <f t="shared" si="5"/>
        <v/>
      </c>
      <c r="R20" s="231" t="str">
        <f t="shared" si="5"/>
        <v/>
      </c>
      <c r="S20" s="231" t="str">
        <f t="shared" si="5"/>
        <v/>
      </c>
      <c r="T20" s="231" t="str">
        <f t="shared" si="5"/>
        <v/>
      </c>
      <c r="U20" s="231" t="str">
        <f t="shared" si="5"/>
        <v/>
      </c>
      <c r="V20" s="231" t="str">
        <f t="shared" si="5"/>
        <v/>
      </c>
      <c r="W20" s="231" t="str">
        <f t="shared" si="5"/>
        <v/>
      </c>
      <c r="X20" s="231" t="str">
        <f t="shared" si="5"/>
        <v/>
      </c>
      <c r="Y20" s="231" t="str">
        <f t="shared" si="5"/>
        <v/>
      </c>
      <c r="Z20" s="231" t="str">
        <f t="shared" si="5"/>
        <v/>
      </c>
      <c r="AA20" s="231" t="str">
        <f t="shared" si="5"/>
        <v/>
      </c>
      <c r="AB20" s="231" t="str">
        <f t="shared" si="5"/>
        <v/>
      </c>
      <c r="AC20" s="231" t="str">
        <f t="shared" si="5"/>
        <v/>
      </c>
      <c r="AD20" s="231" t="str">
        <f t="shared" si="5"/>
        <v/>
      </c>
      <c r="AE20" s="231" t="str">
        <f t="shared" si="5"/>
        <v/>
      </c>
      <c r="AF20" s="231" t="str">
        <f t="shared" si="5"/>
        <v/>
      </c>
      <c r="AG20" s="231" t="str">
        <f t="shared" si="5"/>
        <v/>
      </c>
      <c r="AH20" s="231" t="str">
        <f t="shared" si="5"/>
        <v/>
      </c>
      <c r="AI20" s="231" t="str">
        <f t="shared" si="5"/>
        <v/>
      </c>
      <c r="AJ20" s="263" t="str">
        <f t="shared" si="5"/>
        <v/>
      </c>
      <c r="AK20" s="20"/>
    </row>
    <row r="21" spans="2:37" s="12" customFormat="1" ht="30" customHeight="1" x14ac:dyDescent="0.2">
      <c r="B21" s="395" t="s">
        <v>3</v>
      </c>
      <c r="C21" s="253" t="s">
        <v>108</v>
      </c>
      <c r="D21" s="285" t="s">
        <v>27</v>
      </c>
      <c r="E21" s="33">
        <f>COUNTIF(G21:G21,"&lt;&gt;=0")</f>
        <v>1</v>
      </c>
      <c r="F21" s="57">
        <f>COUNTIF(G21,"&lt;&gt;=0")</f>
        <v>1</v>
      </c>
      <c r="G21" s="272"/>
      <c r="H21" s="272"/>
      <c r="I21" s="272"/>
      <c r="J21" s="272"/>
      <c r="K21" s="272"/>
      <c r="L21" s="272"/>
      <c r="M21" s="272"/>
      <c r="N21" s="272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  <c r="AF21" s="272"/>
      <c r="AG21" s="272"/>
      <c r="AH21" s="272"/>
      <c r="AI21" s="272"/>
      <c r="AJ21" s="273"/>
      <c r="AK21" s="18"/>
    </row>
    <row r="22" spans="2:37" s="12" customFormat="1" ht="30" customHeight="1" x14ac:dyDescent="0.2">
      <c r="B22" s="395"/>
      <c r="C22" s="253" t="s">
        <v>74</v>
      </c>
      <c r="D22" s="286" t="s">
        <v>85</v>
      </c>
      <c r="E22" s="33">
        <f>COUNTIF(G22:G22,"&lt;&gt;=0")</f>
        <v>1</v>
      </c>
      <c r="F22" s="57">
        <f>COUNTIF(G22,"&lt;&gt;=0")</f>
        <v>1</v>
      </c>
      <c r="G22" s="272"/>
      <c r="H22" s="272"/>
      <c r="I22" s="272"/>
      <c r="J22" s="272"/>
      <c r="K22" s="272"/>
      <c r="L22" s="272"/>
      <c r="M22" s="272"/>
      <c r="N22" s="272"/>
      <c r="O22" s="272"/>
      <c r="P22" s="272"/>
      <c r="Q22" s="272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  <c r="AF22" s="272"/>
      <c r="AG22" s="272"/>
      <c r="AH22" s="272"/>
      <c r="AI22" s="272"/>
      <c r="AJ22" s="273"/>
      <c r="AK22" s="8"/>
    </row>
    <row r="23" spans="2:37" s="12" customFormat="1" ht="30" customHeight="1" x14ac:dyDescent="0.2">
      <c r="B23" s="395"/>
      <c r="C23" s="253" t="s">
        <v>75</v>
      </c>
      <c r="D23" s="401" t="s">
        <v>84</v>
      </c>
      <c r="E23" s="33">
        <f>COUNTIF(G23:G29,"&lt;&gt;=0")</f>
        <v>7</v>
      </c>
      <c r="F23" s="57"/>
      <c r="G23" s="272"/>
      <c r="H23" s="272"/>
      <c r="I23" s="272"/>
      <c r="J23" s="272"/>
      <c r="K23" s="272"/>
      <c r="L23" s="272"/>
      <c r="M23" s="272"/>
      <c r="N23" s="272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  <c r="AF23" s="272"/>
      <c r="AG23" s="272"/>
      <c r="AH23" s="272"/>
      <c r="AI23" s="272"/>
      <c r="AJ23" s="273"/>
      <c r="AK23" s="8"/>
    </row>
    <row r="24" spans="2:37" s="12" customFormat="1" ht="30" customHeight="1" x14ac:dyDescent="0.2">
      <c r="B24" s="395"/>
      <c r="C24" s="253" t="s">
        <v>76</v>
      </c>
      <c r="D24" s="401"/>
      <c r="E24" s="37"/>
      <c r="F24" s="57"/>
      <c r="G24" s="272"/>
      <c r="H24" s="272"/>
      <c r="I24" s="272"/>
      <c r="J24" s="272"/>
      <c r="K24" s="272"/>
      <c r="L24" s="272"/>
      <c r="M24" s="272"/>
      <c r="N24" s="272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  <c r="AF24" s="272"/>
      <c r="AG24" s="272"/>
      <c r="AH24" s="272"/>
      <c r="AI24" s="272"/>
      <c r="AJ24" s="273"/>
      <c r="AK24" s="8"/>
    </row>
    <row r="25" spans="2:37" s="12" customFormat="1" ht="30" customHeight="1" x14ac:dyDescent="0.2">
      <c r="B25" s="395"/>
      <c r="C25" s="253" t="s">
        <v>77</v>
      </c>
      <c r="D25" s="401"/>
      <c r="E25" s="37"/>
      <c r="F25" s="191"/>
      <c r="G25" s="272"/>
      <c r="H25" s="272"/>
      <c r="I25" s="272"/>
      <c r="J25" s="272"/>
      <c r="K25" s="272"/>
      <c r="L25" s="272"/>
      <c r="M25" s="272"/>
      <c r="N25" s="272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  <c r="AF25" s="272"/>
      <c r="AG25" s="272"/>
      <c r="AH25" s="272"/>
      <c r="AI25" s="272"/>
      <c r="AJ25" s="273"/>
      <c r="AK25" s="8"/>
    </row>
    <row r="26" spans="2:37" s="12" customFormat="1" ht="30" customHeight="1" x14ac:dyDescent="0.2">
      <c r="B26" s="395"/>
      <c r="C26" s="253" t="s">
        <v>78</v>
      </c>
      <c r="D26" s="401"/>
      <c r="E26" s="37"/>
      <c r="F26" s="191"/>
      <c r="G26" s="272"/>
      <c r="H26" s="272"/>
      <c r="I26" s="272"/>
      <c r="J26" s="272"/>
      <c r="K26" s="272"/>
      <c r="L26" s="272"/>
      <c r="M26" s="272"/>
      <c r="N26" s="272"/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  <c r="AF26" s="272"/>
      <c r="AG26" s="272"/>
      <c r="AH26" s="272"/>
      <c r="AI26" s="272"/>
      <c r="AJ26" s="273"/>
      <c r="AK26" s="8"/>
    </row>
    <row r="27" spans="2:37" s="12" customFormat="1" ht="30" customHeight="1" x14ac:dyDescent="0.2">
      <c r="B27" s="395"/>
      <c r="C27" s="253" t="s">
        <v>79</v>
      </c>
      <c r="D27" s="401"/>
      <c r="E27" s="37"/>
      <c r="F27" s="191"/>
      <c r="G27" s="272"/>
      <c r="H27" s="272"/>
      <c r="I27" s="272"/>
      <c r="J27" s="272"/>
      <c r="K27" s="272"/>
      <c r="L27" s="272"/>
      <c r="M27" s="272"/>
      <c r="N27" s="272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  <c r="AF27" s="272"/>
      <c r="AG27" s="272"/>
      <c r="AH27" s="272"/>
      <c r="AI27" s="272"/>
      <c r="AJ27" s="273"/>
      <c r="AK27" s="8"/>
    </row>
    <row r="28" spans="2:37" s="12" customFormat="1" ht="30" customHeight="1" x14ac:dyDescent="0.2">
      <c r="B28" s="395"/>
      <c r="C28" s="253" t="s">
        <v>113</v>
      </c>
      <c r="D28" s="401"/>
      <c r="E28" s="37"/>
      <c r="F28" s="191"/>
      <c r="G28" s="272"/>
      <c r="H28" s="272"/>
      <c r="I28" s="272"/>
      <c r="J28" s="272"/>
      <c r="K28" s="272"/>
      <c r="L28" s="272"/>
      <c r="M28" s="272"/>
      <c r="N28" s="272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  <c r="AF28" s="272"/>
      <c r="AG28" s="272"/>
      <c r="AH28" s="272"/>
      <c r="AI28" s="272"/>
      <c r="AJ28" s="273"/>
      <c r="AK28" s="8"/>
    </row>
    <row r="29" spans="2:37" s="12" customFormat="1" ht="30" customHeight="1" x14ac:dyDescent="0.2">
      <c r="B29" s="395"/>
      <c r="C29" s="253" t="s">
        <v>80</v>
      </c>
      <c r="D29" s="401"/>
      <c r="E29" s="37"/>
      <c r="F29" s="57">
        <f>COUNTIF(G23:G29,"&lt;&gt;=0")</f>
        <v>7</v>
      </c>
      <c r="G29" s="272"/>
      <c r="H29" s="272"/>
      <c r="I29" s="272"/>
      <c r="J29" s="272"/>
      <c r="K29" s="272"/>
      <c r="L29" s="272"/>
      <c r="M29" s="272"/>
      <c r="N29" s="272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2"/>
      <c r="AH29" s="272"/>
      <c r="AI29" s="272"/>
      <c r="AJ29" s="273"/>
      <c r="AK29" s="8"/>
    </row>
    <row r="30" spans="2:37" s="12" customFormat="1" ht="30" hidden="1" customHeight="1" x14ac:dyDescent="0.2">
      <c r="B30" s="395"/>
      <c r="C30" s="228"/>
      <c r="D30" s="195" t="s">
        <v>28</v>
      </c>
      <c r="E30" s="33"/>
      <c r="F30" s="57"/>
      <c r="G30" s="229" t="str">
        <f>IF(COUNTBLANK(G23:G29)=$E$23,"",COUNTIF(G23:G29,"s")/$F$29)</f>
        <v/>
      </c>
      <c r="H30" s="229" t="str">
        <f t="shared" ref="H30:AJ30" si="6">IF(COUNTBLANK(H23:H29)=$E$23,"",COUNTIF(H23:H29,"s")/$F$29)</f>
        <v/>
      </c>
      <c r="I30" s="229" t="str">
        <f t="shared" si="6"/>
        <v/>
      </c>
      <c r="J30" s="229" t="str">
        <f t="shared" si="6"/>
        <v/>
      </c>
      <c r="K30" s="229" t="str">
        <f t="shared" si="6"/>
        <v/>
      </c>
      <c r="L30" s="229" t="str">
        <f t="shared" si="6"/>
        <v/>
      </c>
      <c r="M30" s="229" t="str">
        <f t="shared" si="6"/>
        <v/>
      </c>
      <c r="N30" s="229" t="str">
        <f t="shared" si="6"/>
        <v/>
      </c>
      <c r="O30" s="229" t="str">
        <f t="shared" si="6"/>
        <v/>
      </c>
      <c r="P30" s="229" t="str">
        <f t="shared" si="6"/>
        <v/>
      </c>
      <c r="Q30" s="229" t="str">
        <f t="shared" si="6"/>
        <v/>
      </c>
      <c r="R30" s="229" t="str">
        <f t="shared" si="6"/>
        <v/>
      </c>
      <c r="S30" s="229" t="str">
        <f t="shared" si="6"/>
        <v/>
      </c>
      <c r="T30" s="229" t="str">
        <f t="shared" si="6"/>
        <v/>
      </c>
      <c r="U30" s="229" t="str">
        <f t="shared" si="6"/>
        <v/>
      </c>
      <c r="V30" s="229" t="str">
        <f t="shared" si="6"/>
        <v/>
      </c>
      <c r="W30" s="229" t="str">
        <f t="shared" si="6"/>
        <v/>
      </c>
      <c r="X30" s="229" t="str">
        <f t="shared" si="6"/>
        <v/>
      </c>
      <c r="Y30" s="229" t="str">
        <f t="shared" si="6"/>
        <v/>
      </c>
      <c r="Z30" s="229" t="str">
        <f t="shared" si="6"/>
        <v/>
      </c>
      <c r="AA30" s="229" t="str">
        <f t="shared" si="6"/>
        <v/>
      </c>
      <c r="AB30" s="229" t="str">
        <f t="shared" si="6"/>
        <v/>
      </c>
      <c r="AC30" s="229" t="str">
        <f t="shared" si="6"/>
        <v/>
      </c>
      <c r="AD30" s="229" t="str">
        <f t="shared" si="6"/>
        <v/>
      </c>
      <c r="AE30" s="229" t="str">
        <f t="shared" si="6"/>
        <v/>
      </c>
      <c r="AF30" s="229" t="str">
        <f t="shared" si="6"/>
        <v/>
      </c>
      <c r="AG30" s="229" t="str">
        <f t="shared" si="6"/>
        <v/>
      </c>
      <c r="AH30" s="229" t="str">
        <f t="shared" si="6"/>
        <v/>
      </c>
      <c r="AI30" s="229" t="str">
        <f t="shared" si="6"/>
        <v/>
      </c>
      <c r="AJ30" s="262" t="str">
        <f t="shared" si="6"/>
        <v/>
      </c>
      <c r="AK30" s="8"/>
    </row>
    <row r="31" spans="2:37" s="12" customFormat="1" ht="30" hidden="1" customHeight="1" x14ac:dyDescent="0.2">
      <c r="B31" s="395"/>
      <c r="C31" s="228"/>
      <c r="D31" s="195" t="s">
        <v>94</v>
      </c>
      <c r="E31" s="33"/>
      <c r="F31" s="191"/>
      <c r="G31" s="229" t="str">
        <f>IF(COUNTBLANK(G23:G29)=$E$23,"",COUNTIF(G23:G29,"s")/$F$29)</f>
        <v/>
      </c>
      <c r="H31" s="229" t="str">
        <f t="shared" ref="H31:AJ31" si="7">IF(COUNTBLANK(H23:H29)=$E$23,"",COUNTIF(H23:H29,"s")/$F$29)</f>
        <v/>
      </c>
      <c r="I31" s="229" t="str">
        <f t="shared" si="7"/>
        <v/>
      </c>
      <c r="J31" s="229" t="str">
        <f t="shared" si="7"/>
        <v/>
      </c>
      <c r="K31" s="229" t="str">
        <f t="shared" si="7"/>
        <v/>
      </c>
      <c r="L31" s="229" t="str">
        <f t="shared" si="7"/>
        <v/>
      </c>
      <c r="M31" s="229" t="str">
        <f t="shared" si="7"/>
        <v/>
      </c>
      <c r="N31" s="229" t="str">
        <f t="shared" si="7"/>
        <v/>
      </c>
      <c r="O31" s="229" t="str">
        <f t="shared" si="7"/>
        <v/>
      </c>
      <c r="P31" s="229" t="str">
        <f t="shared" si="7"/>
        <v/>
      </c>
      <c r="Q31" s="229" t="str">
        <f t="shared" si="7"/>
        <v/>
      </c>
      <c r="R31" s="229" t="str">
        <f t="shared" si="7"/>
        <v/>
      </c>
      <c r="S31" s="229" t="str">
        <f t="shared" si="7"/>
        <v/>
      </c>
      <c r="T31" s="229" t="str">
        <f t="shared" si="7"/>
        <v/>
      </c>
      <c r="U31" s="229" t="str">
        <f t="shared" si="7"/>
        <v/>
      </c>
      <c r="V31" s="229" t="str">
        <f t="shared" si="7"/>
        <v/>
      </c>
      <c r="W31" s="229" t="str">
        <f t="shared" si="7"/>
        <v/>
      </c>
      <c r="X31" s="229" t="str">
        <f t="shared" si="7"/>
        <v/>
      </c>
      <c r="Y31" s="229" t="str">
        <f t="shared" si="7"/>
        <v/>
      </c>
      <c r="Z31" s="229" t="str">
        <f t="shared" si="7"/>
        <v/>
      </c>
      <c r="AA31" s="229" t="str">
        <f t="shared" si="7"/>
        <v/>
      </c>
      <c r="AB31" s="229" t="str">
        <f t="shared" si="7"/>
        <v/>
      </c>
      <c r="AC31" s="229" t="str">
        <f t="shared" si="7"/>
        <v/>
      </c>
      <c r="AD31" s="229" t="str">
        <f t="shared" si="7"/>
        <v/>
      </c>
      <c r="AE31" s="229" t="str">
        <f t="shared" si="7"/>
        <v/>
      </c>
      <c r="AF31" s="229" t="str">
        <f t="shared" si="7"/>
        <v/>
      </c>
      <c r="AG31" s="229" t="str">
        <f t="shared" si="7"/>
        <v/>
      </c>
      <c r="AH31" s="229" t="str">
        <f t="shared" si="7"/>
        <v/>
      </c>
      <c r="AI31" s="229" t="str">
        <f t="shared" si="7"/>
        <v/>
      </c>
      <c r="AJ31" s="262" t="str">
        <f t="shared" si="7"/>
        <v/>
      </c>
      <c r="AK31" s="8"/>
    </row>
    <row r="32" spans="2:37" s="12" customFormat="1" ht="30" hidden="1" customHeight="1" x14ac:dyDescent="0.2">
      <c r="B32" s="395"/>
      <c r="C32" s="228"/>
      <c r="D32" s="195" t="s">
        <v>93</v>
      </c>
      <c r="E32" s="33"/>
      <c r="F32" s="191"/>
      <c r="G32" s="229" t="str">
        <f>IF(COUNTBLANK(G23:G29)=$E$23,"",COUNTIF(G23:G29,"s")/$F$29)</f>
        <v/>
      </c>
      <c r="H32" s="229" t="str">
        <f t="shared" ref="H32:AJ32" si="8">IF(COUNTBLANK(H23:H29)=$E$23,"",COUNTIF(H23:H29,"s")/$F$29)</f>
        <v/>
      </c>
      <c r="I32" s="229" t="str">
        <f t="shared" si="8"/>
        <v/>
      </c>
      <c r="J32" s="229" t="str">
        <f t="shared" si="8"/>
        <v/>
      </c>
      <c r="K32" s="229" t="str">
        <f t="shared" si="8"/>
        <v/>
      </c>
      <c r="L32" s="229" t="str">
        <f t="shared" si="8"/>
        <v/>
      </c>
      <c r="M32" s="229" t="str">
        <f t="shared" si="8"/>
        <v/>
      </c>
      <c r="N32" s="229" t="str">
        <f t="shared" si="8"/>
        <v/>
      </c>
      <c r="O32" s="229" t="str">
        <f t="shared" si="8"/>
        <v/>
      </c>
      <c r="P32" s="229" t="str">
        <f t="shared" si="8"/>
        <v/>
      </c>
      <c r="Q32" s="229" t="str">
        <f t="shared" si="8"/>
        <v/>
      </c>
      <c r="R32" s="229" t="str">
        <f t="shared" si="8"/>
        <v/>
      </c>
      <c r="S32" s="229" t="str">
        <f t="shared" si="8"/>
        <v/>
      </c>
      <c r="T32" s="229" t="str">
        <f t="shared" si="8"/>
        <v/>
      </c>
      <c r="U32" s="229" t="str">
        <f t="shared" si="8"/>
        <v/>
      </c>
      <c r="V32" s="229" t="str">
        <f t="shared" si="8"/>
        <v/>
      </c>
      <c r="W32" s="229" t="str">
        <f t="shared" si="8"/>
        <v/>
      </c>
      <c r="X32" s="229" t="str">
        <f t="shared" si="8"/>
        <v/>
      </c>
      <c r="Y32" s="229" t="str">
        <f t="shared" si="8"/>
        <v/>
      </c>
      <c r="Z32" s="229" t="str">
        <f t="shared" si="8"/>
        <v/>
      </c>
      <c r="AA32" s="229" t="str">
        <f t="shared" si="8"/>
        <v/>
      </c>
      <c r="AB32" s="229" t="str">
        <f t="shared" si="8"/>
        <v/>
      </c>
      <c r="AC32" s="229" t="str">
        <f t="shared" si="8"/>
        <v/>
      </c>
      <c r="AD32" s="229" t="str">
        <f t="shared" si="8"/>
        <v/>
      </c>
      <c r="AE32" s="229" t="str">
        <f t="shared" si="8"/>
        <v/>
      </c>
      <c r="AF32" s="229" t="str">
        <f t="shared" si="8"/>
        <v/>
      </c>
      <c r="AG32" s="229" t="str">
        <f t="shared" si="8"/>
        <v/>
      </c>
      <c r="AH32" s="229" t="str">
        <f t="shared" si="8"/>
        <v/>
      </c>
      <c r="AI32" s="229" t="str">
        <f t="shared" si="8"/>
        <v/>
      </c>
      <c r="AJ32" s="262" t="str">
        <f t="shared" si="8"/>
        <v/>
      </c>
      <c r="AK32" s="8"/>
    </row>
    <row r="33" spans="1:44" s="12" customFormat="1" ht="30" hidden="1" customHeight="1" x14ac:dyDescent="0.2">
      <c r="B33" s="395"/>
      <c r="C33" s="228"/>
      <c r="D33" s="189" t="s">
        <v>27</v>
      </c>
      <c r="E33" s="33"/>
      <c r="F33" s="191"/>
      <c r="G33" s="229" t="str">
        <f>IF(COUNTBLANK(G21:G21)=$E$21,"",COUNTIF(G21,"s")/$F$21)</f>
        <v/>
      </c>
      <c r="H33" s="229" t="str">
        <f t="shared" ref="H33:AJ33" si="9">IF(COUNTBLANK(H21:H21)=$E$21,"",COUNTIF(H21,"s")/$F$21)</f>
        <v/>
      </c>
      <c r="I33" s="229" t="str">
        <f t="shared" si="9"/>
        <v/>
      </c>
      <c r="J33" s="229" t="str">
        <f t="shared" si="9"/>
        <v/>
      </c>
      <c r="K33" s="229" t="str">
        <f t="shared" si="9"/>
        <v/>
      </c>
      <c r="L33" s="229" t="str">
        <f t="shared" si="9"/>
        <v/>
      </c>
      <c r="M33" s="229" t="str">
        <f t="shared" si="9"/>
        <v/>
      </c>
      <c r="N33" s="229" t="str">
        <f t="shared" si="9"/>
        <v/>
      </c>
      <c r="O33" s="229" t="str">
        <f t="shared" si="9"/>
        <v/>
      </c>
      <c r="P33" s="229" t="str">
        <f t="shared" si="9"/>
        <v/>
      </c>
      <c r="Q33" s="229" t="str">
        <f t="shared" si="9"/>
        <v/>
      </c>
      <c r="R33" s="229" t="str">
        <f t="shared" si="9"/>
        <v/>
      </c>
      <c r="S33" s="229" t="str">
        <f t="shared" si="9"/>
        <v/>
      </c>
      <c r="T33" s="229" t="str">
        <f t="shared" si="9"/>
        <v/>
      </c>
      <c r="U33" s="229" t="str">
        <f t="shared" si="9"/>
        <v/>
      </c>
      <c r="V33" s="229" t="str">
        <f t="shared" si="9"/>
        <v/>
      </c>
      <c r="W33" s="229" t="str">
        <f t="shared" si="9"/>
        <v/>
      </c>
      <c r="X33" s="229" t="str">
        <f t="shared" si="9"/>
        <v/>
      </c>
      <c r="Y33" s="229" t="str">
        <f t="shared" si="9"/>
        <v/>
      </c>
      <c r="Z33" s="229" t="str">
        <f t="shared" si="9"/>
        <v/>
      </c>
      <c r="AA33" s="229" t="str">
        <f t="shared" si="9"/>
        <v/>
      </c>
      <c r="AB33" s="229" t="str">
        <f t="shared" si="9"/>
        <v/>
      </c>
      <c r="AC33" s="229" t="str">
        <f t="shared" si="9"/>
        <v/>
      </c>
      <c r="AD33" s="229" t="str">
        <f t="shared" si="9"/>
        <v/>
      </c>
      <c r="AE33" s="229" t="str">
        <f t="shared" si="9"/>
        <v/>
      </c>
      <c r="AF33" s="229" t="str">
        <f t="shared" si="9"/>
        <v/>
      </c>
      <c r="AG33" s="229" t="str">
        <f t="shared" si="9"/>
        <v/>
      </c>
      <c r="AH33" s="229" t="str">
        <f t="shared" si="9"/>
        <v/>
      </c>
      <c r="AI33" s="229" t="str">
        <f t="shared" si="9"/>
        <v/>
      </c>
      <c r="AJ33" s="262" t="str">
        <f t="shared" si="9"/>
        <v/>
      </c>
      <c r="AK33" s="8"/>
    </row>
    <row r="34" spans="1:44" ht="30" hidden="1" customHeight="1" x14ac:dyDescent="0.2">
      <c r="B34" s="395"/>
      <c r="C34" s="228"/>
      <c r="D34" s="194" t="s">
        <v>85</v>
      </c>
      <c r="E34" s="39"/>
      <c r="F34" s="191">
        <f>COUNTIF(G30:G34,"&lt;&gt;=0")</f>
        <v>5</v>
      </c>
      <c r="G34" s="229" t="str">
        <f>IF(COUNTBLANK(G22:G22)=$E$22,"",COUNTIF(G22,"s")/$F$22)</f>
        <v/>
      </c>
      <c r="H34" s="229" t="str">
        <f t="shared" ref="H34:AJ34" si="10">IF(COUNTBLANK(H22:H22)=$E$22,"",COUNTIF(H22,"s")/$F$22)</f>
        <v/>
      </c>
      <c r="I34" s="229" t="str">
        <f t="shared" si="10"/>
        <v/>
      </c>
      <c r="J34" s="229" t="str">
        <f t="shared" si="10"/>
        <v/>
      </c>
      <c r="K34" s="229" t="str">
        <f t="shared" si="10"/>
        <v/>
      </c>
      <c r="L34" s="229" t="str">
        <f t="shared" si="10"/>
        <v/>
      </c>
      <c r="M34" s="229" t="str">
        <f t="shared" si="10"/>
        <v/>
      </c>
      <c r="N34" s="229" t="str">
        <f t="shared" si="10"/>
        <v/>
      </c>
      <c r="O34" s="229" t="str">
        <f t="shared" si="10"/>
        <v/>
      </c>
      <c r="P34" s="229" t="str">
        <f t="shared" si="10"/>
        <v/>
      </c>
      <c r="Q34" s="229" t="str">
        <f t="shared" si="10"/>
        <v/>
      </c>
      <c r="R34" s="229" t="str">
        <f t="shared" si="10"/>
        <v/>
      </c>
      <c r="S34" s="229" t="str">
        <f t="shared" si="10"/>
        <v/>
      </c>
      <c r="T34" s="229" t="str">
        <f t="shared" si="10"/>
        <v/>
      </c>
      <c r="U34" s="229" t="str">
        <f t="shared" si="10"/>
        <v/>
      </c>
      <c r="V34" s="229" t="str">
        <f t="shared" si="10"/>
        <v/>
      </c>
      <c r="W34" s="229" t="str">
        <f t="shared" si="10"/>
        <v/>
      </c>
      <c r="X34" s="229" t="str">
        <f t="shared" si="10"/>
        <v/>
      </c>
      <c r="Y34" s="229" t="str">
        <f t="shared" si="10"/>
        <v/>
      </c>
      <c r="Z34" s="229" t="str">
        <f t="shared" si="10"/>
        <v/>
      </c>
      <c r="AA34" s="229" t="str">
        <f t="shared" si="10"/>
        <v/>
      </c>
      <c r="AB34" s="229" t="str">
        <f t="shared" si="10"/>
        <v/>
      </c>
      <c r="AC34" s="229" t="str">
        <f t="shared" si="10"/>
        <v/>
      </c>
      <c r="AD34" s="229" t="str">
        <f t="shared" si="10"/>
        <v/>
      </c>
      <c r="AE34" s="229" t="str">
        <f t="shared" si="10"/>
        <v/>
      </c>
      <c r="AF34" s="229" t="str">
        <f t="shared" si="10"/>
        <v/>
      </c>
      <c r="AG34" s="229" t="str">
        <f t="shared" si="10"/>
        <v/>
      </c>
      <c r="AH34" s="229" t="str">
        <f t="shared" si="10"/>
        <v/>
      </c>
      <c r="AI34" s="229" t="str">
        <f t="shared" si="10"/>
        <v/>
      </c>
      <c r="AJ34" s="262" t="str">
        <f t="shared" si="10"/>
        <v/>
      </c>
      <c r="AK34" s="18"/>
    </row>
    <row r="35" spans="1:44" ht="24.95" customHeight="1" x14ac:dyDescent="0.2">
      <c r="B35" s="395"/>
      <c r="C35" s="396" t="s">
        <v>26</v>
      </c>
      <c r="D35" s="396"/>
      <c r="E35" s="396"/>
      <c r="F35" s="396"/>
      <c r="G35" s="230" t="str">
        <f t="shared" ref="G35:AJ35" si="11">IF(COUNTBLANK(G30:G34)=$F$34,"",AVERAGE(G30:G34))</f>
        <v/>
      </c>
      <c r="H35" s="230" t="str">
        <f t="shared" si="11"/>
        <v/>
      </c>
      <c r="I35" s="230" t="str">
        <f t="shared" si="11"/>
        <v/>
      </c>
      <c r="J35" s="230" t="str">
        <f t="shared" si="11"/>
        <v/>
      </c>
      <c r="K35" s="230" t="str">
        <f t="shared" si="11"/>
        <v/>
      </c>
      <c r="L35" s="230" t="str">
        <f t="shared" si="11"/>
        <v/>
      </c>
      <c r="M35" s="231" t="str">
        <f t="shared" si="11"/>
        <v/>
      </c>
      <c r="N35" s="231" t="str">
        <f t="shared" si="11"/>
        <v/>
      </c>
      <c r="O35" s="231" t="str">
        <f t="shared" si="11"/>
        <v/>
      </c>
      <c r="P35" s="231" t="str">
        <f t="shared" si="11"/>
        <v/>
      </c>
      <c r="Q35" s="231" t="str">
        <f t="shared" si="11"/>
        <v/>
      </c>
      <c r="R35" s="231" t="str">
        <f t="shared" si="11"/>
        <v/>
      </c>
      <c r="S35" s="231" t="str">
        <f t="shared" si="11"/>
        <v/>
      </c>
      <c r="T35" s="231" t="str">
        <f t="shared" si="11"/>
        <v/>
      </c>
      <c r="U35" s="231" t="str">
        <f t="shared" si="11"/>
        <v/>
      </c>
      <c r="V35" s="231" t="str">
        <f t="shared" si="11"/>
        <v/>
      </c>
      <c r="W35" s="231" t="str">
        <f t="shared" si="11"/>
        <v/>
      </c>
      <c r="X35" s="231" t="str">
        <f t="shared" si="11"/>
        <v/>
      </c>
      <c r="Y35" s="231" t="str">
        <f t="shared" si="11"/>
        <v/>
      </c>
      <c r="Z35" s="231" t="str">
        <f t="shared" si="11"/>
        <v/>
      </c>
      <c r="AA35" s="231" t="str">
        <f t="shared" si="11"/>
        <v/>
      </c>
      <c r="AB35" s="231" t="str">
        <f t="shared" si="11"/>
        <v/>
      </c>
      <c r="AC35" s="231" t="str">
        <f t="shared" si="11"/>
        <v/>
      </c>
      <c r="AD35" s="231" t="str">
        <f t="shared" si="11"/>
        <v/>
      </c>
      <c r="AE35" s="231" t="str">
        <f t="shared" si="11"/>
        <v/>
      </c>
      <c r="AF35" s="231" t="str">
        <f t="shared" si="11"/>
        <v/>
      </c>
      <c r="AG35" s="231" t="str">
        <f t="shared" si="11"/>
        <v/>
      </c>
      <c r="AH35" s="231" t="str">
        <f t="shared" si="11"/>
        <v/>
      </c>
      <c r="AI35" s="231" t="str">
        <f t="shared" si="11"/>
        <v/>
      </c>
      <c r="AJ35" s="263" t="str">
        <f t="shared" si="11"/>
        <v/>
      </c>
      <c r="AK35" s="20"/>
    </row>
    <row r="36" spans="1:44" ht="30" customHeight="1" x14ac:dyDescent="0.2">
      <c r="B36" s="402" t="s">
        <v>2</v>
      </c>
      <c r="C36" s="253" t="s">
        <v>86</v>
      </c>
      <c r="D36" s="408" t="s">
        <v>98</v>
      </c>
      <c r="E36" s="33">
        <f>COUNTIF(G36:G43,"&lt;&gt;=0")</f>
        <v>8</v>
      </c>
      <c r="F36" s="189">
        <f>COUNTIF(G36:G43,"&lt;&gt;=0")</f>
        <v>8</v>
      </c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  <c r="AF36" s="272"/>
      <c r="AG36" s="272"/>
      <c r="AH36" s="272"/>
      <c r="AI36" s="272"/>
      <c r="AJ36" s="273"/>
    </row>
    <row r="37" spans="1:44" ht="30" customHeight="1" x14ac:dyDescent="0.2">
      <c r="B37" s="402"/>
      <c r="C37" s="253" t="s">
        <v>87</v>
      </c>
      <c r="D37" s="409"/>
      <c r="E37" s="39"/>
      <c r="F37" s="189"/>
      <c r="G37" s="274"/>
      <c r="H37" s="272"/>
      <c r="I37" s="272"/>
      <c r="J37" s="272"/>
      <c r="K37" s="272"/>
      <c r="L37" s="272"/>
      <c r="M37" s="272"/>
      <c r="N37" s="272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  <c r="AF37" s="272"/>
      <c r="AG37" s="272"/>
      <c r="AH37" s="272"/>
      <c r="AI37" s="272"/>
      <c r="AJ37" s="273"/>
    </row>
    <row r="38" spans="1:44" ht="30" customHeight="1" x14ac:dyDescent="0.2">
      <c r="B38" s="402"/>
      <c r="C38" s="253" t="s">
        <v>88</v>
      </c>
      <c r="D38" s="409"/>
      <c r="E38" s="39"/>
      <c r="F38" s="189"/>
      <c r="G38" s="272"/>
      <c r="H38" s="272"/>
      <c r="I38" s="272"/>
      <c r="J38" s="272"/>
      <c r="K38" s="272"/>
      <c r="L38" s="272"/>
      <c r="M38" s="272"/>
      <c r="N38" s="272"/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  <c r="AF38" s="272"/>
      <c r="AG38" s="272"/>
      <c r="AH38" s="272"/>
      <c r="AI38" s="272"/>
      <c r="AJ38" s="273"/>
    </row>
    <row r="39" spans="1:44" ht="30" customHeight="1" x14ac:dyDescent="0.2">
      <c r="B39" s="402"/>
      <c r="C39" s="253" t="s">
        <v>89</v>
      </c>
      <c r="D39" s="409"/>
      <c r="E39" s="39"/>
      <c r="F39" s="189"/>
      <c r="G39" s="272"/>
      <c r="H39" s="272"/>
      <c r="I39" s="272"/>
      <c r="J39" s="272"/>
      <c r="K39" s="272"/>
      <c r="L39" s="272"/>
      <c r="M39" s="272"/>
      <c r="N39" s="272"/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  <c r="AF39" s="272"/>
      <c r="AG39" s="272"/>
      <c r="AH39" s="272"/>
      <c r="AI39" s="272"/>
      <c r="AJ39" s="273"/>
    </row>
    <row r="40" spans="1:44" ht="30" customHeight="1" x14ac:dyDescent="0.2">
      <c r="B40" s="402"/>
      <c r="C40" s="253" t="s">
        <v>91</v>
      </c>
      <c r="D40" s="409"/>
      <c r="E40" s="39"/>
      <c r="F40" s="189"/>
      <c r="G40" s="272"/>
      <c r="H40" s="272"/>
      <c r="I40" s="272"/>
      <c r="J40" s="272"/>
      <c r="K40" s="272"/>
      <c r="L40" s="272"/>
      <c r="M40" s="272"/>
      <c r="N40" s="272"/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  <c r="AF40" s="272"/>
      <c r="AG40" s="272"/>
      <c r="AH40" s="272"/>
      <c r="AI40" s="272"/>
      <c r="AJ40" s="273"/>
    </row>
    <row r="41" spans="1:44" ht="30" customHeight="1" x14ac:dyDescent="0.2">
      <c r="B41" s="402"/>
      <c r="C41" s="253" t="s">
        <v>92</v>
      </c>
      <c r="D41" s="409"/>
      <c r="E41" s="39"/>
      <c r="F41" s="189"/>
      <c r="G41" s="272"/>
      <c r="H41" s="272"/>
      <c r="I41" s="272"/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  <c r="AF41" s="272"/>
      <c r="AG41" s="272"/>
      <c r="AH41" s="272"/>
      <c r="AI41" s="272"/>
      <c r="AJ41" s="273"/>
    </row>
    <row r="42" spans="1:44" ht="30" customHeight="1" x14ac:dyDescent="0.2">
      <c r="B42" s="402"/>
      <c r="C42" s="253" t="s">
        <v>92</v>
      </c>
      <c r="D42" s="409"/>
      <c r="E42" s="39"/>
      <c r="F42" s="189"/>
      <c r="G42" s="272"/>
      <c r="H42" s="272"/>
      <c r="I42" s="272"/>
      <c r="J42" s="272"/>
      <c r="K42" s="272"/>
      <c r="L42" s="272"/>
      <c r="M42" s="272"/>
      <c r="N42" s="272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  <c r="AF42" s="272"/>
      <c r="AG42" s="272"/>
      <c r="AH42" s="272"/>
      <c r="AI42" s="272"/>
      <c r="AJ42" s="273"/>
    </row>
    <row r="43" spans="1:44" ht="30" customHeight="1" x14ac:dyDescent="0.2">
      <c r="B43" s="402"/>
      <c r="C43" s="253" t="s">
        <v>110</v>
      </c>
      <c r="D43" s="410"/>
      <c r="E43" s="39"/>
      <c r="F43" s="189"/>
      <c r="G43" s="272"/>
      <c r="H43" s="272"/>
      <c r="I43" s="272"/>
      <c r="J43" s="272"/>
      <c r="K43" s="272"/>
      <c r="L43" s="272"/>
      <c r="M43" s="272"/>
      <c r="N43" s="2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  <c r="AF43" s="272"/>
      <c r="AG43" s="272"/>
      <c r="AH43" s="272"/>
      <c r="AI43" s="272"/>
      <c r="AJ43" s="273"/>
    </row>
    <row r="44" spans="1:44" ht="30" customHeight="1" x14ac:dyDescent="0.2">
      <c r="B44" s="402"/>
      <c r="C44" s="253" t="s">
        <v>109</v>
      </c>
      <c r="D44" s="286" t="s">
        <v>99</v>
      </c>
      <c r="E44" s="33">
        <f>COUNTIF(G44:G44,"&lt;&gt;=0")</f>
        <v>1</v>
      </c>
      <c r="F44" s="191">
        <f>COUNTIF(G44,"&lt;&gt;=0")</f>
        <v>1</v>
      </c>
      <c r="G44" s="272"/>
      <c r="H44" s="272"/>
      <c r="I44" s="272"/>
      <c r="J44" s="272"/>
      <c r="K44" s="272"/>
      <c r="L44" s="272"/>
      <c r="M44" s="272"/>
      <c r="N44" s="272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  <c r="AF44" s="272"/>
      <c r="AG44" s="272"/>
      <c r="AH44" s="272"/>
      <c r="AI44" s="272"/>
      <c r="AJ44" s="273"/>
    </row>
    <row r="45" spans="1:44" ht="30" customHeight="1" x14ac:dyDescent="0.2">
      <c r="B45" s="402"/>
      <c r="C45" s="253" t="s">
        <v>90</v>
      </c>
      <c r="D45" s="287" t="s">
        <v>95</v>
      </c>
      <c r="E45" s="33">
        <f>COUNTIF(G45:G45,"&lt;&gt;=0")</f>
        <v>1</v>
      </c>
      <c r="F45" s="57">
        <f>COUNTIF(G45,"&lt;&gt;=0")</f>
        <v>1</v>
      </c>
      <c r="G45" s="272"/>
      <c r="H45" s="272"/>
      <c r="I45" s="272"/>
      <c r="J45" s="272"/>
      <c r="K45" s="272"/>
      <c r="L45" s="272"/>
      <c r="M45" s="272"/>
      <c r="N45" s="272"/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  <c r="AF45" s="272"/>
      <c r="AG45" s="272"/>
      <c r="AH45" s="272"/>
      <c r="AI45" s="272"/>
      <c r="AJ45" s="273"/>
    </row>
    <row r="46" spans="1:44" ht="30" hidden="1" customHeight="1" x14ac:dyDescent="0.2">
      <c r="B46" s="402"/>
      <c r="C46" s="228"/>
      <c r="D46" s="196" t="s">
        <v>95</v>
      </c>
      <c r="E46" s="33"/>
      <c r="F46" s="57"/>
      <c r="G46" s="229" t="str">
        <f>IF(COUNTBLANK(G45:G45)=$E$45,"",COUNTIF(G45,"s")/$F$45)</f>
        <v/>
      </c>
      <c r="H46" s="229" t="str">
        <f t="shared" ref="H46:AJ46" si="12">IF(COUNTBLANK(H45:H45)=$E$45,"",COUNTIF(H45,"s")/$F$45)</f>
        <v/>
      </c>
      <c r="I46" s="229" t="str">
        <f t="shared" si="12"/>
        <v/>
      </c>
      <c r="J46" s="229" t="str">
        <f t="shared" si="12"/>
        <v/>
      </c>
      <c r="K46" s="229" t="str">
        <f t="shared" si="12"/>
        <v/>
      </c>
      <c r="L46" s="229" t="str">
        <f t="shared" si="12"/>
        <v/>
      </c>
      <c r="M46" s="229" t="str">
        <f t="shared" si="12"/>
        <v/>
      </c>
      <c r="N46" s="229" t="str">
        <f t="shared" si="12"/>
        <v/>
      </c>
      <c r="O46" s="229" t="str">
        <f t="shared" si="12"/>
        <v/>
      </c>
      <c r="P46" s="229" t="str">
        <f t="shared" si="12"/>
        <v/>
      </c>
      <c r="Q46" s="229" t="str">
        <f t="shared" si="12"/>
        <v/>
      </c>
      <c r="R46" s="229" t="str">
        <f t="shared" si="12"/>
        <v/>
      </c>
      <c r="S46" s="229" t="str">
        <f t="shared" si="12"/>
        <v/>
      </c>
      <c r="T46" s="229" t="str">
        <f t="shared" si="12"/>
        <v/>
      </c>
      <c r="U46" s="229" t="str">
        <f t="shared" si="12"/>
        <v/>
      </c>
      <c r="V46" s="229" t="str">
        <f t="shared" si="12"/>
        <v/>
      </c>
      <c r="W46" s="229" t="str">
        <f t="shared" si="12"/>
        <v/>
      </c>
      <c r="X46" s="229" t="str">
        <f t="shared" si="12"/>
        <v/>
      </c>
      <c r="Y46" s="229" t="str">
        <f t="shared" si="12"/>
        <v/>
      </c>
      <c r="Z46" s="229" t="str">
        <f t="shared" si="12"/>
        <v/>
      </c>
      <c r="AA46" s="229" t="str">
        <f t="shared" si="12"/>
        <v/>
      </c>
      <c r="AB46" s="229" t="str">
        <f t="shared" si="12"/>
        <v/>
      </c>
      <c r="AC46" s="229" t="str">
        <f t="shared" si="12"/>
        <v/>
      </c>
      <c r="AD46" s="229" t="str">
        <f t="shared" si="12"/>
        <v/>
      </c>
      <c r="AE46" s="229" t="str">
        <f t="shared" si="12"/>
        <v/>
      </c>
      <c r="AF46" s="229" t="str">
        <f t="shared" si="12"/>
        <v/>
      </c>
      <c r="AG46" s="229" t="str">
        <f t="shared" si="12"/>
        <v/>
      </c>
      <c r="AH46" s="229" t="str">
        <f t="shared" si="12"/>
        <v/>
      </c>
      <c r="AI46" s="229" t="str">
        <f t="shared" si="12"/>
        <v/>
      </c>
      <c r="AJ46" s="262" t="str">
        <f t="shared" si="12"/>
        <v/>
      </c>
      <c r="AK46" s="18"/>
    </row>
    <row r="47" spans="1:44" ht="30" hidden="1" customHeight="1" x14ac:dyDescent="0.2">
      <c r="B47" s="402"/>
      <c r="C47" s="228"/>
      <c r="D47" s="196" t="s">
        <v>96</v>
      </c>
      <c r="E47" s="33"/>
      <c r="F47" s="191"/>
      <c r="G47" s="229" t="str">
        <f>IF(COUNTBLANK(G36:G43)=$E$36,"",COUNTIF(G36:G43,"s")/$F$36)</f>
        <v/>
      </c>
      <c r="H47" s="229" t="str">
        <f t="shared" ref="H47:AJ47" si="13">IF(COUNTBLANK(H36:H43)=$E$36,"",COUNTIF(H36:H43,"s")/$F$36)</f>
        <v/>
      </c>
      <c r="I47" s="229" t="str">
        <f t="shared" si="13"/>
        <v/>
      </c>
      <c r="J47" s="229" t="str">
        <f t="shared" si="13"/>
        <v/>
      </c>
      <c r="K47" s="229" t="str">
        <f t="shared" si="13"/>
        <v/>
      </c>
      <c r="L47" s="229" t="str">
        <f t="shared" si="13"/>
        <v/>
      </c>
      <c r="M47" s="229" t="str">
        <f t="shared" si="13"/>
        <v/>
      </c>
      <c r="N47" s="229" t="str">
        <f t="shared" si="13"/>
        <v/>
      </c>
      <c r="O47" s="229" t="str">
        <f t="shared" si="13"/>
        <v/>
      </c>
      <c r="P47" s="229" t="str">
        <f t="shared" si="13"/>
        <v/>
      </c>
      <c r="Q47" s="229" t="str">
        <f t="shared" si="13"/>
        <v/>
      </c>
      <c r="R47" s="229" t="str">
        <f t="shared" si="13"/>
        <v/>
      </c>
      <c r="S47" s="229" t="str">
        <f t="shared" si="13"/>
        <v/>
      </c>
      <c r="T47" s="229" t="str">
        <f t="shared" si="13"/>
        <v/>
      </c>
      <c r="U47" s="229" t="str">
        <f t="shared" si="13"/>
        <v/>
      </c>
      <c r="V47" s="229" t="str">
        <f t="shared" si="13"/>
        <v/>
      </c>
      <c r="W47" s="229" t="str">
        <f t="shared" si="13"/>
        <v/>
      </c>
      <c r="X47" s="229" t="str">
        <f t="shared" si="13"/>
        <v/>
      </c>
      <c r="Y47" s="229" t="str">
        <f t="shared" si="13"/>
        <v/>
      </c>
      <c r="Z47" s="229" t="str">
        <f t="shared" si="13"/>
        <v/>
      </c>
      <c r="AA47" s="229" t="str">
        <f t="shared" si="13"/>
        <v/>
      </c>
      <c r="AB47" s="229" t="str">
        <f t="shared" si="13"/>
        <v/>
      </c>
      <c r="AC47" s="229" t="str">
        <f t="shared" si="13"/>
        <v/>
      </c>
      <c r="AD47" s="229" t="str">
        <f t="shared" si="13"/>
        <v/>
      </c>
      <c r="AE47" s="229" t="str">
        <f t="shared" si="13"/>
        <v/>
      </c>
      <c r="AF47" s="229" t="str">
        <f t="shared" si="13"/>
        <v/>
      </c>
      <c r="AG47" s="229" t="str">
        <f t="shared" si="13"/>
        <v/>
      </c>
      <c r="AH47" s="229" t="str">
        <f t="shared" si="13"/>
        <v/>
      </c>
      <c r="AI47" s="229" t="str">
        <f t="shared" si="13"/>
        <v/>
      </c>
      <c r="AJ47" s="262" t="str">
        <f t="shared" si="13"/>
        <v/>
      </c>
      <c r="AK47" s="18"/>
    </row>
    <row r="48" spans="1:44" s="12" customFormat="1" ht="30" hidden="1" customHeight="1" x14ac:dyDescent="0.2">
      <c r="A48" s="8"/>
      <c r="B48" s="402"/>
      <c r="C48" s="228"/>
      <c r="D48" s="56" t="s">
        <v>29</v>
      </c>
      <c r="E48" s="39"/>
      <c r="F48" s="56"/>
      <c r="G48" s="229" t="str">
        <f>IF(COUNTBLANK(G36:G43)=$E$36,"",COUNTIF(G36:G43,"S")/$F$36)</f>
        <v/>
      </c>
      <c r="H48" s="229" t="str">
        <f t="shared" ref="H48:AJ48" si="14">IF(COUNTBLANK(H36:H43)=$E$36,"",COUNTIF(H36:H43,"S")/$F$36)</f>
        <v/>
      </c>
      <c r="I48" s="229" t="str">
        <f t="shared" si="14"/>
        <v/>
      </c>
      <c r="J48" s="229" t="str">
        <f t="shared" si="14"/>
        <v/>
      </c>
      <c r="K48" s="229" t="str">
        <f t="shared" si="14"/>
        <v/>
      </c>
      <c r="L48" s="229" t="str">
        <f t="shared" si="14"/>
        <v/>
      </c>
      <c r="M48" s="229" t="str">
        <f t="shared" si="14"/>
        <v/>
      </c>
      <c r="N48" s="229" t="str">
        <f t="shared" si="14"/>
        <v/>
      </c>
      <c r="O48" s="229" t="str">
        <f t="shared" si="14"/>
        <v/>
      </c>
      <c r="P48" s="229" t="str">
        <f t="shared" si="14"/>
        <v/>
      </c>
      <c r="Q48" s="229" t="str">
        <f t="shared" si="14"/>
        <v/>
      </c>
      <c r="R48" s="229" t="str">
        <f t="shared" si="14"/>
        <v/>
      </c>
      <c r="S48" s="229" t="str">
        <f t="shared" si="14"/>
        <v/>
      </c>
      <c r="T48" s="229" t="str">
        <f t="shared" si="14"/>
        <v/>
      </c>
      <c r="U48" s="229" t="str">
        <f t="shared" si="14"/>
        <v/>
      </c>
      <c r="V48" s="229" t="str">
        <f t="shared" si="14"/>
        <v/>
      </c>
      <c r="W48" s="229" t="str">
        <f t="shared" si="14"/>
        <v/>
      </c>
      <c r="X48" s="229" t="str">
        <f t="shared" si="14"/>
        <v/>
      </c>
      <c r="Y48" s="229" t="str">
        <f t="shared" si="14"/>
        <v/>
      </c>
      <c r="Z48" s="229" t="str">
        <f t="shared" si="14"/>
        <v/>
      </c>
      <c r="AA48" s="229" t="str">
        <f t="shared" si="14"/>
        <v/>
      </c>
      <c r="AB48" s="229" t="str">
        <f t="shared" si="14"/>
        <v/>
      </c>
      <c r="AC48" s="229" t="str">
        <f t="shared" si="14"/>
        <v/>
      </c>
      <c r="AD48" s="229" t="str">
        <f t="shared" si="14"/>
        <v/>
      </c>
      <c r="AE48" s="229" t="str">
        <f t="shared" si="14"/>
        <v/>
      </c>
      <c r="AF48" s="229" t="str">
        <f t="shared" si="14"/>
        <v/>
      </c>
      <c r="AG48" s="229" t="str">
        <f t="shared" si="14"/>
        <v/>
      </c>
      <c r="AH48" s="229" t="str">
        <f t="shared" si="14"/>
        <v/>
      </c>
      <c r="AI48" s="229" t="str">
        <f t="shared" si="14"/>
        <v/>
      </c>
      <c r="AJ48" s="262" t="str">
        <f t="shared" si="14"/>
        <v/>
      </c>
      <c r="AK48" s="18"/>
      <c r="AM48" s="8"/>
      <c r="AN48" s="8"/>
      <c r="AO48" s="8"/>
      <c r="AP48" s="8"/>
      <c r="AQ48" s="8"/>
      <c r="AR48" s="8"/>
    </row>
    <row r="49" spans="1:44" s="12" customFormat="1" ht="30" hidden="1" customHeight="1" x14ac:dyDescent="0.2">
      <c r="A49" s="8"/>
      <c r="B49" s="402"/>
      <c r="C49" s="228"/>
      <c r="D49" s="194" t="s">
        <v>97</v>
      </c>
      <c r="E49" s="39"/>
      <c r="F49" s="57">
        <f>COUNTIF(G46:G49,"&lt;&gt;=0")</f>
        <v>4</v>
      </c>
      <c r="G49" s="229" t="str">
        <f>IF(COUNTBLANK(G44:G44)=$E$44,"",COUNTIF(G44,"S")/$F$44)</f>
        <v/>
      </c>
      <c r="H49" s="229" t="str">
        <f t="shared" ref="H49:AJ49" si="15">IF(COUNTBLANK(H44:H44)=$E$44,"",COUNTIF(H44,"S")/$F$44)</f>
        <v/>
      </c>
      <c r="I49" s="229" t="str">
        <f t="shared" si="15"/>
        <v/>
      </c>
      <c r="J49" s="229" t="str">
        <f t="shared" si="15"/>
        <v/>
      </c>
      <c r="K49" s="229" t="str">
        <f t="shared" si="15"/>
        <v/>
      </c>
      <c r="L49" s="229" t="str">
        <f t="shared" si="15"/>
        <v/>
      </c>
      <c r="M49" s="229" t="str">
        <f t="shared" si="15"/>
        <v/>
      </c>
      <c r="N49" s="229" t="str">
        <f t="shared" si="15"/>
        <v/>
      </c>
      <c r="O49" s="229" t="str">
        <f t="shared" si="15"/>
        <v/>
      </c>
      <c r="P49" s="229" t="str">
        <f t="shared" si="15"/>
        <v/>
      </c>
      <c r="Q49" s="229" t="str">
        <f t="shared" si="15"/>
        <v/>
      </c>
      <c r="R49" s="229" t="str">
        <f t="shared" si="15"/>
        <v/>
      </c>
      <c r="S49" s="229" t="str">
        <f t="shared" si="15"/>
        <v/>
      </c>
      <c r="T49" s="229" t="str">
        <f t="shared" si="15"/>
        <v/>
      </c>
      <c r="U49" s="229" t="str">
        <f t="shared" si="15"/>
        <v/>
      </c>
      <c r="V49" s="229" t="str">
        <f t="shared" si="15"/>
        <v/>
      </c>
      <c r="W49" s="229" t="str">
        <f t="shared" si="15"/>
        <v/>
      </c>
      <c r="X49" s="229" t="str">
        <f t="shared" si="15"/>
        <v/>
      </c>
      <c r="Y49" s="229" t="str">
        <f t="shared" si="15"/>
        <v/>
      </c>
      <c r="Z49" s="229" t="str">
        <f t="shared" si="15"/>
        <v/>
      </c>
      <c r="AA49" s="229" t="str">
        <f t="shared" si="15"/>
        <v/>
      </c>
      <c r="AB49" s="229" t="str">
        <f t="shared" si="15"/>
        <v/>
      </c>
      <c r="AC49" s="229" t="str">
        <f t="shared" si="15"/>
        <v/>
      </c>
      <c r="AD49" s="229" t="str">
        <f t="shared" si="15"/>
        <v/>
      </c>
      <c r="AE49" s="229" t="str">
        <f t="shared" si="15"/>
        <v/>
      </c>
      <c r="AF49" s="229" t="str">
        <f t="shared" si="15"/>
        <v/>
      </c>
      <c r="AG49" s="229" t="str">
        <f t="shared" si="15"/>
        <v/>
      </c>
      <c r="AH49" s="229" t="str">
        <f t="shared" si="15"/>
        <v/>
      </c>
      <c r="AI49" s="229" t="str">
        <f t="shared" si="15"/>
        <v/>
      </c>
      <c r="AJ49" s="262" t="str">
        <f t="shared" si="15"/>
        <v/>
      </c>
      <c r="AK49" s="18"/>
      <c r="AM49" s="8"/>
      <c r="AN49" s="8"/>
      <c r="AO49" s="8"/>
      <c r="AP49" s="8"/>
      <c r="AQ49" s="8"/>
      <c r="AR49" s="8"/>
    </row>
    <row r="50" spans="1:44" s="12" customFormat="1" ht="24.95" customHeight="1" x14ac:dyDescent="0.2">
      <c r="A50" s="8"/>
      <c r="B50" s="402"/>
      <c r="C50" s="396" t="s">
        <v>26</v>
      </c>
      <c r="D50" s="396"/>
      <c r="E50" s="396"/>
      <c r="F50" s="396"/>
      <c r="G50" s="230" t="str">
        <f>IF(COUNTBLANK(G46:G49)=$F$49,"",AVERAGE(G46:G49))</f>
        <v/>
      </c>
      <c r="H50" s="230" t="str">
        <f>IF(COUNTBLANK(H46:H49)=$F$49,"",AVERAGE(H46:H49))</f>
        <v/>
      </c>
      <c r="I50" s="230" t="str">
        <f>IF(COUNTBLANK(I46:I49)=$F$49,"",AVERAGE(I46:I49))</f>
        <v/>
      </c>
      <c r="J50" s="230" t="str">
        <f t="shared" ref="J50:AJ50" si="16">IF(COUNTBLANK(J46:J49)=$F$49,"",AVERAGE(J46:J49))</f>
        <v/>
      </c>
      <c r="K50" s="230" t="str">
        <f t="shared" si="16"/>
        <v/>
      </c>
      <c r="L50" s="230" t="str">
        <f t="shared" si="16"/>
        <v/>
      </c>
      <c r="M50" s="231" t="str">
        <f t="shared" si="16"/>
        <v/>
      </c>
      <c r="N50" s="231" t="str">
        <f t="shared" si="16"/>
        <v/>
      </c>
      <c r="O50" s="231" t="str">
        <f t="shared" si="16"/>
        <v/>
      </c>
      <c r="P50" s="231" t="str">
        <f t="shared" si="16"/>
        <v/>
      </c>
      <c r="Q50" s="231" t="str">
        <f t="shared" si="16"/>
        <v/>
      </c>
      <c r="R50" s="231" t="str">
        <f t="shared" si="16"/>
        <v/>
      </c>
      <c r="S50" s="231" t="str">
        <f t="shared" si="16"/>
        <v/>
      </c>
      <c r="T50" s="231" t="str">
        <f t="shared" si="16"/>
        <v/>
      </c>
      <c r="U50" s="231" t="str">
        <f t="shared" si="16"/>
        <v/>
      </c>
      <c r="V50" s="231" t="str">
        <f t="shared" si="16"/>
        <v/>
      </c>
      <c r="W50" s="231" t="str">
        <f t="shared" si="16"/>
        <v/>
      </c>
      <c r="X50" s="231" t="str">
        <f t="shared" si="16"/>
        <v/>
      </c>
      <c r="Y50" s="231" t="str">
        <f t="shared" si="16"/>
        <v/>
      </c>
      <c r="Z50" s="231" t="str">
        <f t="shared" si="16"/>
        <v/>
      </c>
      <c r="AA50" s="231" t="str">
        <f t="shared" si="16"/>
        <v/>
      </c>
      <c r="AB50" s="231" t="str">
        <f t="shared" si="16"/>
        <v/>
      </c>
      <c r="AC50" s="231" t="str">
        <f t="shared" si="16"/>
        <v/>
      </c>
      <c r="AD50" s="231" t="str">
        <f t="shared" si="16"/>
        <v/>
      </c>
      <c r="AE50" s="231" t="str">
        <f t="shared" si="16"/>
        <v/>
      </c>
      <c r="AF50" s="231" t="str">
        <f t="shared" si="16"/>
        <v/>
      </c>
      <c r="AG50" s="231" t="str">
        <f t="shared" si="16"/>
        <v/>
      </c>
      <c r="AH50" s="231" t="str">
        <f t="shared" si="16"/>
        <v/>
      </c>
      <c r="AI50" s="231" t="str">
        <f t="shared" si="16"/>
        <v/>
      </c>
      <c r="AJ50" s="263" t="str">
        <f t="shared" si="16"/>
        <v/>
      </c>
      <c r="AK50" s="20"/>
      <c r="AM50" s="8"/>
      <c r="AN50" s="8"/>
      <c r="AO50" s="8"/>
      <c r="AP50" s="8"/>
      <c r="AQ50" s="8"/>
      <c r="AR50" s="8"/>
    </row>
    <row r="51" spans="1:44" s="12" customFormat="1" ht="32.1" customHeight="1" x14ac:dyDescent="0.2">
      <c r="A51" s="8"/>
      <c r="B51" s="395" t="s">
        <v>1</v>
      </c>
      <c r="C51" s="252" t="s">
        <v>111</v>
      </c>
      <c r="D51" s="405" t="s">
        <v>49</v>
      </c>
      <c r="E51" s="33">
        <f>COUNTIF(G51:G53,"&lt;&gt;=0")</f>
        <v>3</v>
      </c>
      <c r="F51" s="404">
        <f>COUNTIF(G51:G53,"&lt;&gt;=0")</f>
        <v>3</v>
      </c>
      <c r="G51" s="275"/>
      <c r="H51" s="275"/>
      <c r="I51" s="275"/>
      <c r="J51" s="275"/>
      <c r="K51" s="275"/>
      <c r="L51" s="275"/>
      <c r="M51" s="275"/>
      <c r="N51" s="275"/>
      <c r="O51" s="275"/>
      <c r="P51" s="275"/>
      <c r="Q51" s="275"/>
      <c r="R51" s="275"/>
      <c r="S51" s="275"/>
      <c r="T51" s="275"/>
      <c r="U51" s="275"/>
      <c r="V51" s="275"/>
      <c r="W51" s="275"/>
      <c r="X51" s="275"/>
      <c r="Y51" s="275"/>
      <c r="Z51" s="275"/>
      <c r="AA51" s="275"/>
      <c r="AB51" s="275"/>
      <c r="AC51" s="275"/>
      <c r="AD51" s="275"/>
      <c r="AE51" s="275"/>
      <c r="AF51" s="275"/>
      <c r="AG51" s="275"/>
      <c r="AH51" s="275"/>
      <c r="AI51" s="275"/>
      <c r="AJ51" s="276"/>
      <c r="AK51" s="18"/>
      <c r="AM51" s="8"/>
      <c r="AN51" s="8"/>
      <c r="AO51" s="8"/>
      <c r="AP51" s="8"/>
      <c r="AQ51" s="8"/>
      <c r="AR51" s="8"/>
    </row>
    <row r="52" spans="1:44" s="12" customFormat="1" ht="32.1" customHeight="1" x14ac:dyDescent="0.2">
      <c r="A52" s="8"/>
      <c r="B52" s="395"/>
      <c r="C52" s="252" t="s">
        <v>100</v>
      </c>
      <c r="D52" s="406"/>
      <c r="E52" s="40"/>
      <c r="F52" s="404"/>
      <c r="G52" s="275"/>
      <c r="H52" s="275"/>
      <c r="I52" s="275"/>
      <c r="J52" s="275"/>
      <c r="K52" s="275"/>
      <c r="L52" s="275"/>
      <c r="M52" s="275"/>
      <c r="N52" s="275"/>
      <c r="O52" s="275"/>
      <c r="P52" s="275"/>
      <c r="Q52" s="275"/>
      <c r="R52" s="275"/>
      <c r="S52" s="275"/>
      <c r="T52" s="275"/>
      <c r="U52" s="275"/>
      <c r="V52" s="275"/>
      <c r="W52" s="275"/>
      <c r="X52" s="275"/>
      <c r="Y52" s="275"/>
      <c r="Z52" s="275"/>
      <c r="AA52" s="275"/>
      <c r="AB52" s="275"/>
      <c r="AC52" s="275"/>
      <c r="AD52" s="275"/>
      <c r="AE52" s="275"/>
      <c r="AF52" s="275"/>
      <c r="AG52" s="275"/>
      <c r="AH52" s="275"/>
      <c r="AI52" s="275"/>
      <c r="AJ52" s="276"/>
      <c r="AK52" s="8"/>
      <c r="AM52" s="8"/>
      <c r="AN52" s="8"/>
      <c r="AO52" s="8"/>
      <c r="AP52" s="8"/>
      <c r="AQ52" s="8"/>
      <c r="AR52" s="8"/>
    </row>
    <row r="53" spans="1:44" s="12" customFormat="1" ht="31.5" customHeight="1" x14ac:dyDescent="0.2">
      <c r="A53" s="8"/>
      <c r="B53" s="395"/>
      <c r="C53" s="261" t="s">
        <v>101</v>
      </c>
      <c r="D53" s="407"/>
      <c r="E53" s="40"/>
      <c r="F53" s="404"/>
      <c r="G53" s="275"/>
      <c r="H53" s="275"/>
      <c r="I53" s="275"/>
      <c r="J53" s="275"/>
      <c r="K53" s="275"/>
      <c r="L53" s="275"/>
      <c r="M53" s="275"/>
      <c r="N53" s="275"/>
      <c r="O53" s="275"/>
      <c r="P53" s="275"/>
      <c r="Q53" s="275"/>
      <c r="R53" s="275"/>
      <c r="S53" s="275"/>
      <c r="T53" s="275"/>
      <c r="U53" s="275"/>
      <c r="V53" s="275"/>
      <c r="W53" s="275"/>
      <c r="X53" s="275"/>
      <c r="Y53" s="275"/>
      <c r="Z53" s="275"/>
      <c r="AA53" s="275"/>
      <c r="AB53" s="275"/>
      <c r="AC53" s="275"/>
      <c r="AD53" s="275"/>
      <c r="AE53" s="275"/>
      <c r="AF53" s="275"/>
      <c r="AG53" s="275"/>
      <c r="AH53" s="275"/>
      <c r="AI53" s="275"/>
      <c r="AJ53" s="276"/>
      <c r="AK53" s="8"/>
      <c r="AM53" s="8"/>
      <c r="AN53" s="8"/>
      <c r="AO53" s="8"/>
      <c r="AP53" s="8"/>
      <c r="AQ53" s="8"/>
      <c r="AR53" s="8"/>
    </row>
    <row r="54" spans="1:44" s="12" customFormat="1" ht="30" hidden="1" customHeight="1" x14ac:dyDescent="0.2">
      <c r="A54" s="8"/>
      <c r="B54" s="395"/>
      <c r="C54" s="193"/>
      <c r="D54" s="58" t="s">
        <v>29</v>
      </c>
      <c r="E54" s="40"/>
      <c r="F54" s="58"/>
      <c r="G54" s="229" t="str">
        <f>IF(COUNTBLANK(G51:G53)=$E$51,"",COUNTIF(G51:G53,"S")/$F$51)</f>
        <v/>
      </c>
      <c r="H54" s="229" t="str">
        <f t="shared" ref="H54:AJ54" si="17">IF(COUNTBLANK(H51:H53)=$E$51,"",COUNTIF(H51:H53,"S")/$F$51)</f>
        <v/>
      </c>
      <c r="I54" s="229" t="str">
        <f t="shared" si="17"/>
        <v/>
      </c>
      <c r="J54" s="229" t="str">
        <f t="shared" si="17"/>
        <v/>
      </c>
      <c r="K54" s="229" t="str">
        <f t="shared" si="17"/>
        <v/>
      </c>
      <c r="L54" s="229" t="str">
        <f t="shared" si="17"/>
        <v/>
      </c>
      <c r="M54" s="229" t="str">
        <f t="shared" si="17"/>
        <v/>
      </c>
      <c r="N54" s="229" t="str">
        <f t="shared" si="17"/>
        <v/>
      </c>
      <c r="O54" s="229" t="str">
        <f t="shared" si="17"/>
        <v/>
      </c>
      <c r="P54" s="229" t="str">
        <f t="shared" si="17"/>
        <v/>
      </c>
      <c r="Q54" s="229" t="str">
        <f t="shared" si="17"/>
        <v/>
      </c>
      <c r="R54" s="229" t="str">
        <f t="shared" si="17"/>
        <v/>
      </c>
      <c r="S54" s="229" t="str">
        <f t="shared" si="17"/>
        <v/>
      </c>
      <c r="T54" s="229" t="str">
        <f t="shared" si="17"/>
        <v/>
      </c>
      <c r="U54" s="229" t="str">
        <f t="shared" si="17"/>
        <v/>
      </c>
      <c r="V54" s="229" t="str">
        <f t="shared" si="17"/>
        <v/>
      </c>
      <c r="W54" s="229" t="str">
        <f t="shared" si="17"/>
        <v/>
      </c>
      <c r="X54" s="229" t="str">
        <f t="shared" si="17"/>
        <v/>
      </c>
      <c r="Y54" s="229" t="str">
        <f t="shared" si="17"/>
        <v/>
      </c>
      <c r="Z54" s="229" t="str">
        <f t="shared" si="17"/>
        <v/>
      </c>
      <c r="AA54" s="229" t="str">
        <f t="shared" si="17"/>
        <v/>
      </c>
      <c r="AB54" s="229" t="str">
        <f t="shared" si="17"/>
        <v/>
      </c>
      <c r="AC54" s="229" t="str">
        <f t="shared" si="17"/>
        <v/>
      </c>
      <c r="AD54" s="229" t="str">
        <f t="shared" si="17"/>
        <v/>
      </c>
      <c r="AE54" s="229" t="str">
        <f t="shared" si="17"/>
        <v/>
      </c>
      <c r="AF54" s="229" t="str">
        <f t="shared" si="17"/>
        <v/>
      </c>
      <c r="AG54" s="229" t="str">
        <f t="shared" si="17"/>
        <v/>
      </c>
      <c r="AH54" s="229" t="str">
        <f t="shared" si="17"/>
        <v/>
      </c>
      <c r="AI54" s="229" t="str">
        <f t="shared" si="17"/>
        <v/>
      </c>
      <c r="AJ54" s="262" t="str">
        <f t="shared" si="17"/>
        <v/>
      </c>
      <c r="AK54" s="18"/>
      <c r="AM54" s="8"/>
      <c r="AN54" s="8"/>
      <c r="AO54" s="8"/>
      <c r="AP54" s="8"/>
      <c r="AQ54" s="8"/>
      <c r="AR54" s="8"/>
    </row>
    <row r="55" spans="1:44" s="12" customFormat="1" ht="30" hidden="1" customHeight="1" x14ac:dyDescent="0.2">
      <c r="A55" s="8"/>
      <c r="B55" s="395"/>
      <c r="C55" s="193"/>
      <c r="D55" s="58" t="s">
        <v>30</v>
      </c>
      <c r="E55" s="40"/>
      <c r="F55" s="58"/>
      <c r="G55" s="229" t="str">
        <f>IF(COUNTBLANK(G51:G53)=$E$51,"",COUNTIF(G51:G53,"S")/$F$51)</f>
        <v/>
      </c>
      <c r="H55" s="229" t="str">
        <f t="shared" ref="H55:AJ55" si="18">IF(COUNTBLANK(H51:H53)=$E$51,"",COUNTIF(H51:H53,"S")/$F$51)</f>
        <v/>
      </c>
      <c r="I55" s="229" t="str">
        <f t="shared" si="18"/>
        <v/>
      </c>
      <c r="J55" s="229" t="str">
        <f t="shared" si="18"/>
        <v/>
      </c>
      <c r="K55" s="229" t="str">
        <f t="shared" si="18"/>
        <v/>
      </c>
      <c r="L55" s="229" t="str">
        <f t="shared" si="18"/>
        <v/>
      </c>
      <c r="M55" s="229" t="str">
        <f t="shared" si="18"/>
        <v/>
      </c>
      <c r="N55" s="229" t="str">
        <f t="shared" si="18"/>
        <v/>
      </c>
      <c r="O55" s="229" t="str">
        <f t="shared" si="18"/>
        <v/>
      </c>
      <c r="P55" s="229" t="str">
        <f t="shared" si="18"/>
        <v/>
      </c>
      <c r="Q55" s="229" t="str">
        <f t="shared" si="18"/>
        <v/>
      </c>
      <c r="R55" s="229" t="str">
        <f t="shared" si="18"/>
        <v/>
      </c>
      <c r="S55" s="229" t="str">
        <f t="shared" si="18"/>
        <v/>
      </c>
      <c r="T55" s="229" t="str">
        <f t="shared" si="18"/>
        <v/>
      </c>
      <c r="U55" s="229" t="str">
        <f t="shared" si="18"/>
        <v/>
      </c>
      <c r="V55" s="229" t="str">
        <f t="shared" si="18"/>
        <v/>
      </c>
      <c r="W55" s="229" t="str">
        <f t="shared" si="18"/>
        <v/>
      </c>
      <c r="X55" s="229" t="str">
        <f t="shared" si="18"/>
        <v/>
      </c>
      <c r="Y55" s="229" t="str">
        <f t="shared" si="18"/>
        <v/>
      </c>
      <c r="Z55" s="229" t="str">
        <f t="shared" si="18"/>
        <v/>
      </c>
      <c r="AA55" s="229" t="str">
        <f t="shared" si="18"/>
        <v/>
      </c>
      <c r="AB55" s="229" t="str">
        <f t="shared" si="18"/>
        <v/>
      </c>
      <c r="AC55" s="229" t="str">
        <f t="shared" si="18"/>
        <v/>
      </c>
      <c r="AD55" s="229" t="str">
        <f t="shared" si="18"/>
        <v/>
      </c>
      <c r="AE55" s="229" t="str">
        <f t="shared" si="18"/>
        <v/>
      </c>
      <c r="AF55" s="229" t="str">
        <f t="shared" si="18"/>
        <v/>
      </c>
      <c r="AG55" s="229" t="str">
        <f t="shared" si="18"/>
        <v/>
      </c>
      <c r="AH55" s="229" t="str">
        <f t="shared" si="18"/>
        <v/>
      </c>
      <c r="AI55" s="229" t="str">
        <f t="shared" si="18"/>
        <v/>
      </c>
      <c r="AJ55" s="262" t="str">
        <f t="shared" si="18"/>
        <v/>
      </c>
      <c r="AK55" s="18"/>
      <c r="AM55" s="8"/>
      <c r="AN55" s="8"/>
      <c r="AO55" s="8"/>
      <c r="AP55" s="8"/>
      <c r="AQ55" s="8"/>
      <c r="AR55" s="8"/>
    </row>
    <row r="56" spans="1:44" s="12" customFormat="1" ht="30" hidden="1" customHeight="1" x14ac:dyDescent="0.2">
      <c r="A56" s="8"/>
      <c r="B56" s="395"/>
      <c r="C56" s="193"/>
      <c r="D56" s="58" t="s">
        <v>23</v>
      </c>
      <c r="E56" s="40"/>
      <c r="G56" s="229" t="str">
        <f>IF(COUNTBLANK(G51:G53)=$E$51,"",COUNTIF(G51:G53,"S")/$F$51)</f>
        <v/>
      </c>
      <c r="H56" s="229" t="str">
        <f t="shared" ref="H56:AJ56" si="19">IF(COUNTBLANK(H51:H53)=$E$51,"",COUNTIF(H51:H53,"S")/$F$51)</f>
        <v/>
      </c>
      <c r="I56" s="229" t="str">
        <f t="shared" si="19"/>
        <v/>
      </c>
      <c r="J56" s="229" t="str">
        <f t="shared" si="19"/>
        <v/>
      </c>
      <c r="K56" s="229" t="str">
        <f t="shared" si="19"/>
        <v/>
      </c>
      <c r="L56" s="229" t="str">
        <f t="shared" si="19"/>
        <v/>
      </c>
      <c r="M56" s="229" t="str">
        <f t="shared" si="19"/>
        <v/>
      </c>
      <c r="N56" s="229" t="str">
        <f t="shared" si="19"/>
        <v/>
      </c>
      <c r="O56" s="229" t="str">
        <f t="shared" si="19"/>
        <v/>
      </c>
      <c r="P56" s="229" t="str">
        <f t="shared" si="19"/>
        <v/>
      </c>
      <c r="Q56" s="229" t="str">
        <f t="shared" si="19"/>
        <v/>
      </c>
      <c r="R56" s="229" t="str">
        <f t="shared" si="19"/>
        <v/>
      </c>
      <c r="S56" s="229" t="str">
        <f t="shared" si="19"/>
        <v/>
      </c>
      <c r="T56" s="229" t="str">
        <f t="shared" si="19"/>
        <v/>
      </c>
      <c r="U56" s="229" t="str">
        <f t="shared" si="19"/>
        <v/>
      </c>
      <c r="V56" s="229" t="str">
        <f t="shared" si="19"/>
        <v/>
      </c>
      <c r="W56" s="229" t="str">
        <f t="shared" si="19"/>
        <v/>
      </c>
      <c r="X56" s="229" t="str">
        <f t="shared" si="19"/>
        <v/>
      </c>
      <c r="Y56" s="229" t="str">
        <f t="shared" si="19"/>
        <v/>
      </c>
      <c r="Z56" s="229" t="str">
        <f t="shared" si="19"/>
        <v/>
      </c>
      <c r="AA56" s="229" t="str">
        <f t="shared" si="19"/>
        <v/>
      </c>
      <c r="AB56" s="229" t="str">
        <f t="shared" si="19"/>
        <v/>
      </c>
      <c r="AC56" s="229" t="str">
        <f t="shared" si="19"/>
        <v/>
      </c>
      <c r="AD56" s="229" t="str">
        <f t="shared" si="19"/>
        <v/>
      </c>
      <c r="AE56" s="229" t="str">
        <f t="shared" si="19"/>
        <v/>
      </c>
      <c r="AF56" s="229" t="str">
        <f t="shared" si="19"/>
        <v/>
      </c>
      <c r="AG56" s="229" t="str">
        <f t="shared" si="19"/>
        <v/>
      </c>
      <c r="AH56" s="229" t="str">
        <f t="shared" si="19"/>
        <v/>
      </c>
      <c r="AI56" s="229" t="str">
        <f t="shared" si="19"/>
        <v/>
      </c>
      <c r="AJ56" s="262" t="str">
        <f t="shared" si="19"/>
        <v/>
      </c>
      <c r="AK56" s="18"/>
      <c r="AM56" s="8"/>
      <c r="AN56" s="8"/>
      <c r="AO56" s="8"/>
      <c r="AP56" s="8"/>
      <c r="AQ56" s="8"/>
      <c r="AR56" s="8"/>
    </row>
    <row r="57" spans="1:44" s="12" customFormat="1" ht="30" hidden="1" customHeight="1" x14ac:dyDescent="0.2">
      <c r="A57" s="8"/>
      <c r="B57" s="395"/>
      <c r="C57" s="193"/>
      <c r="D57" s="192" t="s">
        <v>31</v>
      </c>
      <c r="E57" s="40"/>
      <c r="F57" s="58"/>
      <c r="G57" s="229" t="str">
        <f>IF(COUNTBLANK(G51:G53)=$E$51,"",COUNTIF(G51:G53,"S")/$F$51)</f>
        <v/>
      </c>
      <c r="H57" s="229" t="str">
        <f t="shared" ref="H57:AJ57" si="20">IF(COUNTBLANK(H51:H53)=$E$51,"",COUNTIF(H51:H53,"S")/$F$51)</f>
        <v/>
      </c>
      <c r="I57" s="229" t="str">
        <f t="shared" si="20"/>
        <v/>
      </c>
      <c r="J57" s="229" t="str">
        <f t="shared" si="20"/>
        <v/>
      </c>
      <c r="K57" s="229" t="str">
        <f t="shared" si="20"/>
        <v/>
      </c>
      <c r="L57" s="229" t="str">
        <f t="shared" si="20"/>
        <v/>
      </c>
      <c r="M57" s="229" t="str">
        <f t="shared" si="20"/>
        <v/>
      </c>
      <c r="N57" s="229" t="str">
        <f t="shared" si="20"/>
        <v/>
      </c>
      <c r="O57" s="229" t="str">
        <f t="shared" si="20"/>
        <v/>
      </c>
      <c r="P57" s="229" t="str">
        <f t="shared" si="20"/>
        <v/>
      </c>
      <c r="Q57" s="229" t="str">
        <f t="shared" si="20"/>
        <v/>
      </c>
      <c r="R57" s="229" t="str">
        <f t="shared" si="20"/>
        <v/>
      </c>
      <c r="S57" s="229" t="str">
        <f t="shared" si="20"/>
        <v/>
      </c>
      <c r="T57" s="229" t="str">
        <f t="shared" si="20"/>
        <v/>
      </c>
      <c r="U57" s="229" t="str">
        <f t="shared" si="20"/>
        <v/>
      </c>
      <c r="V57" s="229" t="str">
        <f t="shared" si="20"/>
        <v/>
      </c>
      <c r="W57" s="229" t="str">
        <f t="shared" si="20"/>
        <v/>
      </c>
      <c r="X57" s="229" t="str">
        <f t="shared" si="20"/>
        <v/>
      </c>
      <c r="Y57" s="229" t="str">
        <f t="shared" si="20"/>
        <v/>
      </c>
      <c r="Z57" s="229" t="str">
        <f t="shared" si="20"/>
        <v/>
      </c>
      <c r="AA57" s="229" t="str">
        <f t="shared" si="20"/>
        <v/>
      </c>
      <c r="AB57" s="229" t="str">
        <f t="shared" si="20"/>
        <v/>
      </c>
      <c r="AC57" s="229" t="str">
        <f t="shared" si="20"/>
        <v/>
      </c>
      <c r="AD57" s="229" t="str">
        <f t="shared" si="20"/>
        <v/>
      </c>
      <c r="AE57" s="229" t="str">
        <f t="shared" si="20"/>
        <v/>
      </c>
      <c r="AF57" s="229" t="str">
        <f t="shared" si="20"/>
        <v/>
      </c>
      <c r="AG57" s="229" t="str">
        <f t="shared" si="20"/>
        <v/>
      </c>
      <c r="AH57" s="229" t="str">
        <f t="shared" si="20"/>
        <v/>
      </c>
      <c r="AI57" s="229" t="str">
        <f t="shared" si="20"/>
        <v/>
      </c>
      <c r="AJ57" s="262" t="str">
        <f t="shared" si="20"/>
        <v/>
      </c>
      <c r="AK57" s="18"/>
      <c r="AM57" s="8"/>
      <c r="AN57" s="8"/>
      <c r="AO57" s="8"/>
      <c r="AP57" s="8"/>
      <c r="AQ57" s="8"/>
      <c r="AR57" s="8"/>
    </row>
    <row r="58" spans="1:44" s="12" customFormat="1" ht="30" hidden="1" customHeight="1" x14ac:dyDescent="0.2">
      <c r="A58" s="8"/>
      <c r="B58" s="395"/>
      <c r="C58" s="193"/>
      <c r="D58" s="58" t="s">
        <v>25</v>
      </c>
      <c r="E58" s="40"/>
      <c r="F58" s="57">
        <f>COUNTIF(G54:G58,"&lt;&gt;=0")</f>
        <v>5</v>
      </c>
      <c r="G58" s="229" t="str">
        <f>IF(COUNTBLANK(G51:G53)=$E$51,"",COUNTIF(G51:G53,"S")/$F$51)</f>
        <v/>
      </c>
      <c r="H58" s="229" t="str">
        <f t="shared" ref="H58:AJ58" si="21">IF(COUNTBLANK(H51:H53)=$E$51,"",COUNTIF(H51:H53,"S")/$F$51)</f>
        <v/>
      </c>
      <c r="I58" s="229" t="str">
        <f t="shared" si="21"/>
        <v/>
      </c>
      <c r="J58" s="229" t="str">
        <f t="shared" si="21"/>
        <v/>
      </c>
      <c r="K58" s="229" t="str">
        <f t="shared" si="21"/>
        <v/>
      </c>
      <c r="L58" s="229" t="str">
        <f t="shared" si="21"/>
        <v/>
      </c>
      <c r="M58" s="229" t="str">
        <f t="shared" si="21"/>
        <v/>
      </c>
      <c r="N58" s="229" t="str">
        <f t="shared" si="21"/>
        <v/>
      </c>
      <c r="O58" s="229" t="str">
        <f t="shared" si="21"/>
        <v/>
      </c>
      <c r="P58" s="229" t="str">
        <f t="shared" si="21"/>
        <v/>
      </c>
      <c r="Q58" s="229" t="str">
        <f t="shared" si="21"/>
        <v/>
      </c>
      <c r="R58" s="229" t="str">
        <f t="shared" si="21"/>
        <v/>
      </c>
      <c r="S58" s="229" t="str">
        <f t="shared" si="21"/>
        <v/>
      </c>
      <c r="T58" s="229" t="str">
        <f t="shared" si="21"/>
        <v/>
      </c>
      <c r="U58" s="229" t="str">
        <f t="shared" si="21"/>
        <v/>
      </c>
      <c r="V58" s="229" t="str">
        <f t="shared" si="21"/>
        <v/>
      </c>
      <c r="W58" s="229" t="str">
        <f t="shared" si="21"/>
        <v/>
      </c>
      <c r="X58" s="229" t="str">
        <f t="shared" si="21"/>
        <v/>
      </c>
      <c r="Y58" s="229" t="str">
        <f t="shared" si="21"/>
        <v/>
      </c>
      <c r="Z58" s="229" t="str">
        <f t="shared" si="21"/>
        <v/>
      </c>
      <c r="AA58" s="229" t="str">
        <f t="shared" si="21"/>
        <v/>
      </c>
      <c r="AB58" s="229" t="str">
        <f t="shared" si="21"/>
        <v/>
      </c>
      <c r="AC58" s="229" t="str">
        <f t="shared" si="21"/>
        <v/>
      </c>
      <c r="AD58" s="229" t="str">
        <f t="shared" si="21"/>
        <v/>
      </c>
      <c r="AE58" s="229" t="str">
        <f t="shared" si="21"/>
        <v/>
      </c>
      <c r="AF58" s="229" t="str">
        <f t="shared" si="21"/>
        <v/>
      </c>
      <c r="AG58" s="229" t="str">
        <f t="shared" si="21"/>
        <v/>
      </c>
      <c r="AH58" s="229" t="str">
        <f t="shared" si="21"/>
        <v/>
      </c>
      <c r="AI58" s="229" t="str">
        <f t="shared" si="21"/>
        <v/>
      </c>
      <c r="AJ58" s="262" t="str">
        <f t="shared" si="21"/>
        <v/>
      </c>
      <c r="AK58" s="18"/>
      <c r="AM58" s="8"/>
      <c r="AN58" s="8"/>
      <c r="AO58" s="8"/>
      <c r="AP58" s="8"/>
      <c r="AQ58" s="8"/>
      <c r="AR58" s="8"/>
    </row>
    <row r="59" spans="1:44" s="12" customFormat="1" ht="24.95" customHeight="1" x14ac:dyDescent="0.2">
      <c r="A59" s="8"/>
      <c r="B59" s="395"/>
      <c r="C59" s="396" t="s">
        <v>26</v>
      </c>
      <c r="D59" s="396"/>
      <c r="E59" s="396"/>
      <c r="F59" s="396"/>
      <c r="G59" s="230" t="str">
        <f t="shared" ref="G59:AJ59" si="22">IF(COUNTBLANK(G54:G58)=$F$58,"",AVERAGE(G54:G58))</f>
        <v/>
      </c>
      <c r="H59" s="230" t="str">
        <f t="shared" si="22"/>
        <v/>
      </c>
      <c r="I59" s="230" t="str">
        <f t="shared" si="22"/>
        <v/>
      </c>
      <c r="J59" s="230" t="str">
        <f t="shared" si="22"/>
        <v/>
      </c>
      <c r="K59" s="230" t="str">
        <f t="shared" si="22"/>
        <v/>
      </c>
      <c r="L59" s="230" t="str">
        <f t="shared" si="22"/>
        <v/>
      </c>
      <c r="M59" s="231" t="str">
        <f t="shared" si="22"/>
        <v/>
      </c>
      <c r="N59" s="231" t="str">
        <f t="shared" si="22"/>
        <v/>
      </c>
      <c r="O59" s="231" t="str">
        <f t="shared" si="22"/>
        <v/>
      </c>
      <c r="P59" s="231" t="str">
        <f t="shared" si="22"/>
        <v/>
      </c>
      <c r="Q59" s="231" t="str">
        <f t="shared" si="22"/>
        <v/>
      </c>
      <c r="R59" s="231" t="str">
        <f t="shared" si="22"/>
        <v/>
      </c>
      <c r="S59" s="231" t="str">
        <f t="shared" si="22"/>
        <v/>
      </c>
      <c r="T59" s="231" t="str">
        <f t="shared" si="22"/>
        <v/>
      </c>
      <c r="U59" s="231" t="str">
        <f t="shared" si="22"/>
        <v/>
      </c>
      <c r="V59" s="231" t="str">
        <f t="shared" si="22"/>
        <v/>
      </c>
      <c r="W59" s="231" t="str">
        <f t="shared" si="22"/>
        <v/>
      </c>
      <c r="X59" s="231" t="str">
        <f t="shared" si="22"/>
        <v/>
      </c>
      <c r="Y59" s="231" t="str">
        <f t="shared" si="22"/>
        <v/>
      </c>
      <c r="Z59" s="231" t="str">
        <f t="shared" si="22"/>
        <v/>
      </c>
      <c r="AA59" s="231" t="str">
        <f t="shared" si="22"/>
        <v/>
      </c>
      <c r="AB59" s="231" t="str">
        <f t="shared" si="22"/>
        <v/>
      </c>
      <c r="AC59" s="231" t="str">
        <f t="shared" si="22"/>
        <v/>
      </c>
      <c r="AD59" s="231" t="str">
        <f t="shared" si="22"/>
        <v/>
      </c>
      <c r="AE59" s="231" t="str">
        <f t="shared" si="22"/>
        <v/>
      </c>
      <c r="AF59" s="231" t="str">
        <f t="shared" si="22"/>
        <v/>
      </c>
      <c r="AG59" s="231" t="str">
        <f t="shared" si="22"/>
        <v/>
      </c>
      <c r="AH59" s="231" t="str">
        <f t="shared" si="22"/>
        <v/>
      </c>
      <c r="AI59" s="231" t="str">
        <f t="shared" si="22"/>
        <v/>
      </c>
      <c r="AJ59" s="263" t="str">
        <f t="shared" si="22"/>
        <v/>
      </c>
      <c r="AK59" s="20"/>
      <c r="AM59" s="8"/>
      <c r="AN59" s="8"/>
      <c r="AO59" s="8"/>
      <c r="AP59" s="8"/>
      <c r="AQ59" s="8"/>
      <c r="AR59" s="8"/>
    </row>
    <row r="60" spans="1:44" s="12" customFormat="1" ht="30" customHeight="1" x14ac:dyDescent="0.2">
      <c r="A60" s="8"/>
      <c r="B60" s="395" t="s">
        <v>0</v>
      </c>
      <c r="C60" s="403" t="s">
        <v>52</v>
      </c>
      <c r="D60" s="403"/>
      <c r="E60" s="33">
        <f>COUNTIF(G61:G64,"&lt;&gt;=0")</f>
        <v>4</v>
      </c>
      <c r="F60" s="197">
        <f>COUNTIF(G61:G64,"&lt;&gt;=0")</f>
        <v>4</v>
      </c>
      <c r="G60" s="236"/>
      <c r="H60" s="236"/>
      <c r="I60" s="236"/>
      <c r="J60" s="236"/>
      <c r="K60" s="236"/>
      <c r="L60" s="236"/>
      <c r="M60" s="236"/>
      <c r="N60" s="236"/>
      <c r="O60" s="236"/>
      <c r="P60" s="236"/>
      <c r="Q60" s="236"/>
      <c r="R60" s="236"/>
      <c r="S60" s="236"/>
      <c r="T60" s="236"/>
      <c r="U60" s="236"/>
      <c r="V60" s="236"/>
      <c r="W60" s="236"/>
      <c r="X60" s="236"/>
      <c r="Y60" s="236"/>
      <c r="Z60" s="236"/>
      <c r="AA60" s="236"/>
      <c r="AB60" s="236"/>
      <c r="AC60" s="236"/>
      <c r="AD60" s="236"/>
      <c r="AE60" s="236"/>
      <c r="AF60" s="236"/>
      <c r="AG60" s="236"/>
      <c r="AH60" s="236"/>
      <c r="AI60" s="236"/>
      <c r="AJ60" s="264"/>
      <c r="AK60" s="18"/>
      <c r="AM60" s="8"/>
      <c r="AN60" s="8"/>
      <c r="AO60" s="8"/>
      <c r="AP60" s="8"/>
      <c r="AQ60" s="8"/>
      <c r="AR60" s="8"/>
    </row>
    <row r="61" spans="1:44" s="12" customFormat="1" ht="30" customHeight="1" x14ac:dyDescent="0.2">
      <c r="A61" s="8"/>
      <c r="B61" s="395"/>
      <c r="C61" s="251" t="s">
        <v>53</v>
      </c>
      <c r="D61" s="405" t="s">
        <v>50</v>
      </c>
      <c r="E61" s="41"/>
      <c r="F61" s="197"/>
      <c r="G61" s="275"/>
      <c r="H61" s="275"/>
      <c r="I61" s="275"/>
      <c r="J61" s="275"/>
      <c r="K61" s="275"/>
      <c r="L61" s="275"/>
      <c r="M61" s="275"/>
      <c r="N61" s="275"/>
      <c r="O61" s="275"/>
      <c r="P61" s="275"/>
      <c r="Q61" s="275"/>
      <c r="R61" s="275"/>
      <c r="S61" s="275"/>
      <c r="T61" s="275"/>
      <c r="U61" s="275"/>
      <c r="V61" s="275"/>
      <c r="W61" s="275"/>
      <c r="X61" s="275"/>
      <c r="Y61" s="275"/>
      <c r="Z61" s="275"/>
      <c r="AA61" s="275"/>
      <c r="AB61" s="275"/>
      <c r="AC61" s="275"/>
      <c r="AD61" s="275"/>
      <c r="AE61" s="275"/>
      <c r="AF61" s="275"/>
      <c r="AG61" s="275"/>
      <c r="AH61" s="275"/>
      <c r="AI61" s="275"/>
      <c r="AJ61" s="276"/>
      <c r="AK61" s="8"/>
      <c r="AM61" s="8"/>
      <c r="AN61" s="8"/>
      <c r="AO61" s="8"/>
      <c r="AP61" s="8"/>
      <c r="AQ61" s="8"/>
      <c r="AR61" s="8"/>
    </row>
    <row r="62" spans="1:44" s="12" customFormat="1" ht="30" customHeight="1" x14ac:dyDescent="0.2">
      <c r="A62" s="8"/>
      <c r="B62" s="395"/>
      <c r="C62" s="251" t="s">
        <v>54</v>
      </c>
      <c r="D62" s="406"/>
      <c r="E62" s="41"/>
      <c r="F62" s="404"/>
      <c r="G62" s="275"/>
      <c r="H62" s="275"/>
      <c r="I62" s="275"/>
      <c r="J62" s="275"/>
      <c r="K62" s="275"/>
      <c r="L62" s="275"/>
      <c r="M62" s="275"/>
      <c r="N62" s="275"/>
      <c r="O62" s="275"/>
      <c r="P62" s="275"/>
      <c r="Q62" s="275"/>
      <c r="R62" s="275"/>
      <c r="S62" s="275"/>
      <c r="T62" s="275"/>
      <c r="U62" s="275"/>
      <c r="V62" s="275"/>
      <c r="W62" s="275"/>
      <c r="X62" s="275"/>
      <c r="Y62" s="275"/>
      <c r="Z62" s="275"/>
      <c r="AA62" s="275"/>
      <c r="AB62" s="275"/>
      <c r="AC62" s="275"/>
      <c r="AD62" s="275"/>
      <c r="AE62" s="275"/>
      <c r="AF62" s="275"/>
      <c r="AG62" s="275"/>
      <c r="AH62" s="275"/>
      <c r="AI62" s="275"/>
      <c r="AJ62" s="276"/>
      <c r="AK62" s="8"/>
      <c r="AM62" s="8"/>
      <c r="AN62" s="8"/>
      <c r="AO62" s="8"/>
      <c r="AP62" s="8"/>
      <c r="AQ62" s="8"/>
      <c r="AR62" s="8"/>
    </row>
    <row r="63" spans="1:44" s="12" customFormat="1" ht="30" customHeight="1" x14ac:dyDescent="0.2">
      <c r="A63" s="8"/>
      <c r="B63" s="395"/>
      <c r="C63" s="251" t="s">
        <v>55</v>
      </c>
      <c r="D63" s="406"/>
      <c r="E63" s="41"/>
      <c r="F63" s="404"/>
      <c r="G63" s="275"/>
      <c r="H63" s="275"/>
      <c r="I63" s="275"/>
      <c r="J63" s="275"/>
      <c r="K63" s="275"/>
      <c r="L63" s="275"/>
      <c r="M63" s="275"/>
      <c r="N63" s="275"/>
      <c r="O63" s="275"/>
      <c r="P63" s="275"/>
      <c r="Q63" s="275"/>
      <c r="R63" s="275"/>
      <c r="S63" s="275"/>
      <c r="T63" s="275"/>
      <c r="U63" s="275"/>
      <c r="V63" s="275"/>
      <c r="W63" s="275"/>
      <c r="X63" s="275"/>
      <c r="Y63" s="275"/>
      <c r="Z63" s="275"/>
      <c r="AA63" s="275"/>
      <c r="AB63" s="275"/>
      <c r="AC63" s="275"/>
      <c r="AD63" s="275"/>
      <c r="AE63" s="275"/>
      <c r="AF63" s="275"/>
      <c r="AG63" s="275"/>
      <c r="AH63" s="275"/>
      <c r="AI63" s="275"/>
      <c r="AJ63" s="276"/>
      <c r="AK63" s="8"/>
      <c r="AM63" s="8"/>
      <c r="AN63" s="8"/>
      <c r="AO63" s="8"/>
      <c r="AP63" s="8"/>
      <c r="AQ63" s="8"/>
      <c r="AR63" s="8"/>
    </row>
    <row r="64" spans="1:44" s="12" customFormat="1" ht="30" customHeight="1" x14ac:dyDescent="0.2">
      <c r="A64" s="8"/>
      <c r="B64" s="395"/>
      <c r="C64" s="251" t="s">
        <v>56</v>
      </c>
      <c r="D64" s="407"/>
      <c r="E64" s="41"/>
      <c r="F64" s="404"/>
      <c r="G64" s="275"/>
      <c r="H64" s="275"/>
      <c r="I64" s="275"/>
      <c r="J64" s="275"/>
      <c r="K64" s="275"/>
      <c r="L64" s="275"/>
      <c r="M64" s="275"/>
      <c r="N64" s="275"/>
      <c r="O64" s="275"/>
      <c r="P64" s="275"/>
      <c r="Q64" s="275"/>
      <c r="R64" s="275"/>
      <c r="S64" s="275"/>
      <c r="T64" s="275"/>
      <c r="U64" s="275"/>
      <c r="V64" s="275"/>
      <c r="W64" s="275"/>
      <c r="X64" s="275"/>
      <c r="Y64" s="275"/>
      <c r="Z64" s="275"/>
      <c r="AA64" s="275"/>
      <c r="AB64" s="275"/>
      <c r="AC64" s="275"/>
      <c r="AD64" s="275"/>
      <c r="AE64" s="275"/>
      <c r="AF64" s="275"/>
      <c r="AG64" s="275"/>
      <c r="AH64" s="275"/>
      <c r="AI64" s="275"/>
      <c r="AJ64" s="276"/>
      <c r="AK64" s="8"/>
      <c r="AM64" s="8"/>
      <c r="AN64" s="8"/>
      <c r="AO64" s="8"/>
      <c r="AP64" s="8"/>
      <c r="AQ64" s="8"/>
      <c r="AR64" s="8"/>
    </row>
    <row r="65" spans="1:44" s="12" customFormat="1" ht="30" hidden="1" customHeight="1" x14ac:dyDescent="0.2">
      <c r="A65" s="8"/>
      <c r="B65" s="395"/>
      <c r="C65" s="193"/>
      <c r="D65" s="58" t="s">
        <v>32</v>
      </c>
      <c r="E65" s="40"/>
      <c r="F65" s="58"/>
      <c r="G65" s="229" t="str">
        <f>IF(COUNTBLANK(G61:G64)=$E$60,"",COUNTIF(G61:G64,"s")/$F$60)</f>
        <v/>
      </c>
      <c r="H65" s="229" t="str">
        <f t="shared" ref="H65:AJ65" si="23">IF(COUNTBLANK(H61:H64)=$E$60,"",COUNTIF(H61:H64,"s")/$F$60)</f>
        <v/>
      </c>
      <c r="I65" s="229" t="str">
        <f t="shared" si="23"/>
        <v/>
      </c>
      <c r="J65" s="229" t="str">
        <f t="shared" si="23"/>
        <v/>
      </c>
      <c r="K65" s="229" t="str">
        <f t="shared" si="23"/>
        <v/>
      </c>
      <c r="L65" s="229" t="str">
        <f t="shared" si="23"/>
        <v/>
      </c>
      <c r="M65" s="229" t="str">
        <f t="shared" si="23"/>
        <v/>
      </c>
      <c r="N65" s="229" t="str">
        <f t="shared" si="23"/>
        <v/>
      </c>
      <c r="O65" s="229" t="str">
        <f t="shared" si="23"/>
        <v/>
      </c>
      <c r="P65" s="229" t="str">
        <f t="shared" si="23"/>
        <v/>
      </c>
      <c r="Q65" s="229" t="str">
        <f t="shared" si="23"/>
        <v/>
      </c>
      <c r="R65" s="229" t="str">
        <f t="shared" si="23"/>
        <v/>
      </c>
      <c r="S65" s="229" t="str">
        <f t="shared" si="23"/>
        <v/>
      </c>
      <c r="T65" s="229" t="str">
        <f t="shared" si="23"/>
        <v/>
      </c>
      <c r="U65" s="229" t="str">
        <f t="shared" si="23"/>
        <v/>
      </c>
      <c r="V65" s="229" t="str">
        <f t="shared" si="23"/>
        <v/>
      </c>
      <c r="W65" s="229" t="str">
        <f t="shared" si="23"/>
        <v/>
      </c>
      <c r="X65" s="229" t="str">
        <f t="shared" si="23"/>
        <v/>
      </c>
      <c r="Y65" s="229" t="str">
        <f t="shared" si="23"/>
        <v/>
      </c>
      <c r="Z65" s="229" t="str">
        <f t="shared" si="23"/>
        <v/>
      </c>
      <c r="AA65" s="229" t="str">
        <f t="shared" si="23"/>
        <v/>
      </c>
      <c r="AB65" s="229" t="str">
        <f t="shared" si="23"/>
        <v/>
      </c>
      <c r="AC65" s="229" t="str">
        <f t="shared" si="23"/>
        <v/>
      </c>
      <c r="AD65" s="229" t="str">
        <f t="shared" si="23"/>
        <v/>
      </c>
      <c r="AE65" s="229" t="str">
        <f t="shared" si="23"/>
        <v/>
      </c>
      <c r="AF65" s="229" t="str">
        <f t="shared" si="23"/>
        <v/>
      </c>
      <c r="AG65" s="229" t="str">
        <f t="shared" si="23"/>
        <v/>
      </c>
      <c r="AH65" s="229" t="str">
        <f t="shared" si="23"/>
        <v/>
      </c>
      <c r="AI65" s="229" t="str">
        <f t="shared" si="23"/>
        <v/>
      </c>
      <c r="AJ65" s="262" t="str">
        <f t="shared" si="23"/>
        <v/>
      </c>
      <c r="AK65" s="18"/>
      <c r="AM65" s="8"/>
      <c r="AN65" s="8"/>
      <c r="AO65" s="8"/>
      <c r="AP65" s="8"/>
      <c r="AQ65" s="8"/>
      <c r="AR65" s="8"/>
    </row>
    <row r="66" spans="1:44" s="12" customFormat="1" ht="30" hidden="1" customHeight="1" x14ac:dyDescent="0.2">
      <c r="A66" s="8"/>
      <c r="B66" s="395"/>
      <c r="C66" s="193"/>
      <c r="D66" s="58" t="s">
        <v>29</v>
      </c>
      <c r="E66" s="40"/>
      <c r="F66" s="57">
        <f>COUNTIF(G65:G67,"&lt;&gt;=0")</f>
        <v>3</v>
      </c>
      <c r="G66" s="229" t="str">
        <f>IF(COUNTBLANK(G61:G64)=$E$60,"",COUNTIF(G61:G64,"s")/$F$60)</f>
        <v/>
      </c>
      <c r="H66" s="229" t="str">
        <f t="shared" ref="H66:AJ66" si="24">IF(COUNTBLANK(H61:H64)=$E$60,"",COUNTIF(H61:H64,"s")/$F$60)</f>
        <v/>
      </c>
      <c r="I66" s="229" t="str">
        <f t="shared" si="24"/>
        <v/>
      </c>
      <c r="J66" s="229" t="str">
        <f t="shared" si="24"/>
        <v/>
      </c>
      <c r="K66" s="229" t="str">
        <f t="shared" si="24"/>
        <v/>
      </c>
      <c r="L66" s="229" t="str">
        <f t="shared" si="24"/>
        <v/>
      </c>
      <c r="M66" s="229" t="str">
        <f t="shared" si="24"/>
        <v/>
      </c>
      <c r="N66" s="229" t="str">
        <f t="shared" si="24"/>
        <v/>
      </c>
      <c r="O66" s="229" t="str">
        <f t="shared" si="24"/>
        <v/>
      </c>
      <c r="P66" s="229" t="str">
        <f t="shared" si="24"/>
        <v/>
      </c>
      <c r="Q66" s="229" t="str">
        <f t="shared" si="24"/>
        <v/>
      </c>
      <c r="R66" s="229" t="str">
        <f t="shared" si="24"/>
        <v/>
      </c>
      <c r="S66" s="229" t="str">
        <f t="shared" si="24"/>
        <v/>
      </c>
      <c r="T66" s="229" t="str">
        <f t="shared" si="24"/>
        <v/>
      </c>
      <c r="U66" s="229" t="str">
        <f t="shared" si="24"/>
        <v/>
      </c>
      <c r="V66" s="229" t="str">
        <f t="shared" si="24"/>
        <v/>
      </c>
      <c r="W66" s="229" t="str">
        <f t="shared" si="24"/>
        <v/>
      </c>
      <c r="X66" s="229" t="str">
        <f t="shared" si="24"/>
        <v/>
      </c>
      <c r="Y66" s="229" t="str">
        <f t="shared" si="24"/>
        <v/>
      </c>
      <c r="Z66" s="229" t="str">
        <f t="shared" si="24"/>
        <v/>
      </c>
      <c r="AA66" s="229" t="str">
        <f t="shared" si="24"/>
        <v/>
      </c>
      <c r="AB66" s="229" t="str">
        <f t="shared" si="24"/>
        <v/>
      </c>
      <c r="AC66" s="229" t="str">
        <f t="shared" si="24"/>
        <v/>
      </c>
      <c r="AD66" s="229" t="str">
        <f t="shared" si="24"/>
        <v/>
      </c>
      <c r="AE66" s="229" t="str">
        <f t="shared" si="24"/>
        <v/>
      </c>
      <c r="AF66" s="229" t="str">
        <f t="shared" si="24"/>
        <v/>
      </c>
      <c r="AG66" s="229" t="str">
        <f t="shared" si="24"/>
        <v/>
      </c>
      <c r="AH66" s="229" t="str">
        <f t="shared" si="24"/>
        <v/>
      </c>
      <c r="AI66" s="229" t="str">
        <f t="shared" si="24"/>
        <v/>
      </c>
      <c r="AJ66" s="262" t="str">
        <f t="shared" si="24"/>
        <v/>
      </c>
      <c r="AK66" s="18"/>
      <c r="AM66" s="8"/>
      <c r="AN66" s="8"/>
      <c r="AO66" s="8"/>
      <c r="AP66" s="8"/>
      <c r="AQ66" s="8"/>
      <c r="AR66" s="8"/>
    </row>
    <row r="67" spans="1:44" s="12" customFormat="1" ht="30" hidden="1" customHeight="1" x14ac:dyDescent="0.2">
      <c r="A67" s="8"/>
      <c r="B67" s="395"/>
      <c r="C67" s="193"/>
      <c r="D67" s="58" t="s">
        <v>33</v>
      </c>
      <c r="E67" s="57"/>
      <c r="F67" s="58"/>
      <c r="G67" s="229" t="str">
        <f>IF(COUNTBLANK(G61:G64)=$E$60,"",COUNTIF(G61:G64,"s")/$F$60)</f>
        <v/>
      </c>
      <c r="H67" s="229" t="str">
        <f t="shared" ref="H67:AJ67" si="25">IF(COUNTBLANK(H61:H64)=$E$60,"",COUNTIF(H61:H64,"s")/$F$60)</f>
        <v/>
      </c>
      <c r="I67" s="229" t="str">
        <f t="shared" si="25"/>
        <v/>
      </c>
      <c r="J67" s="229" t="str">
        <f t="shared" si="25"/>
        <v/>
      </c>
      <c r="K67" s="229" t="str">
        <f t="shared" si="25"/>
        <v/>
      </c>
      <c r="L67" s="229" t="str">
        <f t="shared" si="25"/>
        <v/>
      </c>
      <c r="M67" s="229" t="str">
        <f t="shared" si="25"/>
        <v/>
      </c>
      <c r="N67" s="229" t="str">
        <f t="shared" si="25"/>
        <v/>
      </c>
      <c r="O67" s="229" t="str">
        <f t="shared" si="25"/>
        <v/>
      </c>
      <c r="P67" s="229" t="str">
        <f t="shared" si="25"/>
        <v/>
      </c>
      <c r="Q67" s="229" t="str">
        <f t="shared" si="25"/>
        <v/>
      </c>
      <c r="R67" s="229" t="str">
        <f t="shared" si="25"/>
        <v/>
      </c>
      <c r="S67" s="229" t="str">
        <f t="shared" si="25"/>
        <v/>
      </c>
      <c r="T67" s="229" t="str">
        <f t="shared" si="25"/>
        <v/>
      </c>
      <c r="U67" s="229" t="str">
        <f t="shared" si="25"/>
        <v/>
      </c>
      <c r="V67" s="229" t="str">
        <f t="shared" si="25"/>
        <v/>
      </c>
      <c r="W67" s="229" t="str">
        <f t="shared" si="25"/>
        <v/>
      </c>
      <c r="X67" s="229" t="str">
        <f t="shared" si="25"/>
        <v/>
      </c>
      <c r="Y67" s="229" t="str">
        <f t="shared" si="25"/>
        <v/>
      </c>
      <c r="Z67" s="229" t="str">
        <f t="shared" si="25"/>
        <v/>
      </c>
      <c r="AA67" s="229" t="str">
        <f t="shared" si="25"/>
        <v/>
      </c>
      <c r="AB67" s="229" t="str">
        <f t="shared" si="25"/>
        <v/>
      </c>
      <c r="AC67" s="229" t="str">
        <f t="shared" si="25"/>
        <v/>
      </c>
      <c r="AD67" s="229" t="str">
        <f t="shared" si="25"/>
        <v/>
      </c>
      <c r="AE67" s="229" t="str">
        <f t="shared" si="25"/>
        <v/>
      </c>
      <c r="AF67" s="229" t="str">
        <f t="shared" si="25"/>
        <v/>
      </c>
      <c r="AG67" s="229" t="str">
        <f t="shared" si="25"/>
        <v/>
      </c>
      <c r="AH67" s="229" t="str">
        <f t="shared" si="25"/>
        <v/>
      </c>
      <c r="AI67" s="229" t="str">
        <f t="shared" si="25"/>
        <v/>
      </c>
      <c r="AJ67" s="262" t="str">
        <f t="shared" si="25"/>
        <v/>
      </c>
      <c r="AK67" s="18"/>
      <c r="AM67" s="8"/>
      <c r="AN67" s="8"/>
      <c r="AO67" s="8"/>
      <c r="AP67" s="8"/>
      <c r="AQ67" s="8"/>
      <c r="AR67" s="8"/>
    </row>
    <row r="68" spans="1:44" s="12" customFormat="1" ht="24.95" customHeight="1" x14ac:dyDescent="0.2">
      <c r="A68" s="8"/>
      <c r="B68" s="395"/>
      <c r="C68" s="396" t="s">
        <v>26</v>
      </c>
      <c r="D68" s="396"/>
      <c r="E68" s="396"/>
      <c r="F68" s="396"/>
      <c r="G68" s="230" t="str">
        <f t="shared" ref="G68:AJ68" si="26">IF(COUNTBLANK(G65:G67)=$F$66,"",AVERAGE(G65:G67))</f>
        <v/>
      </c>
      <c r="H68" s="230" t="str">
        <f t="shared" si="26"/>
        <v/>
      </c>
      <c r="I68" s="230" t="str">
        <f t="shared" si="26"/>
        <v/>
      </c>
      <c r="J68" s="230" t="str">
        <f t="shared" si="26"/>
        <v/>
      </c>
      <c r="K68" s="230" t="str">
        <f t="shared" si="26"/>
        <v/>
      </c>
      <c r="L68" s="230" t="str">
        <f t="shared" si="26"/>
        <v/>
      </c>
      <c r="M68" s="231" t="str">
        <f t="shared" si="26"/>
        <v/>
      </c>
      <c r="N68" s="231" t="str">
        <f t="shared" si="26"/>
        <v/>
      </c>
      <c r="O68" s="231" t="str">
        <f t="shared" si="26"/>
        <v/>
      </c>
      <c r="P68" s="231" t="str">
        <f t="shared" si="26"/>
        <v/>
      </c>
      <c r="Q68" s="231" t="str">
        <f t="shared" si="26"/>
        <v/>
      </c>
      <c r="R68" s="231" t="str">
        <f t="shared" si="26"/>
        <v/>
      </c>
      <c r="S68" s="231" t="str">
        <f t="shared" si="26"/>
        <v/>
      </c>
      <c r="T68" s="231" t="str">
        <f t="shared" si="26"/>
        <v/>
      </c>
      <c r="U68" s="231" t="str">
        <f t="shared" si="26"/>
        <v/>
      </c>
      <c r="V68" s="231" t="str">
        <f t="shared" si="26"/>
        <v/>
      </c>
      <c r="W68" s="231" t="str">
        <f t="shared" si="26"/>
        <v/>
      </c>
      <c r="X68" s="231" t="str">
        <f t="shared" si="26"/>
        <v/>
      </c>
      <c r="Y68" s="231" t="str">
        <f t="shared" si="26"/>
        <v/>
      </c>
      <c r="Z68" s="231" t="str">
        <f t="shared" si="26"/>
        <v/>
      </c>
      <c r="AA68" s="231" t="str">
        <f t="shared" si="26"/>
        <v/>
      </c>
      <c r="AB68" s="231" t="str">
        <f t="shared" si="26"/>
        <v/>
      </c>
      <c r="AC68" s="231" t="str">
        <f t="shared" si="26"/>
        <v/>
      </c>
      <c r="AD68" s="231" t="str">
        <f t="shared" si="26"/>
        <v/>
      </c>
      <c r="AE68" s="231" t="str">
        <f t="shared" si="26"/>
        <v/>
      </c>
      <c r="AF68" s="231" t="str">
        <f t="shared" si="26"/>
        <v/>
      </c>
      <c r="AG68" s="231" t="str">
        <f t="shared" si="26"/>
        <v/>
      </c>
      <c r="AH68" s="231" t="str">
        <f t="shared" si="26"/>
        <v/>
      </c>
      <c r="AI68" s="231" t="str">
        <f t="shared" si="26"/>
        <v/>
      </c>
      <c r="AJ68" s="263" t="str">
        <f t="shared" si="26"/>
        <v/>
      </c>
      <c r="AK68" s="20"/>
      <c r="AM68" s="8"/>
      <c r="AN68" s="8"/>
      <c r="AO68" s="8"/>
      <c r="AP68" s="8"/>
      <c r="AQ68" s="8"/>
      <c r="AR68" s="8"/>
    </row>
    <row r="69" spans="1:44" s="12" customFormat="1" ht="30" customHeight="1" thickBot="1" x14ac:dyDescent="0.25">
      <c r="A69" s="8"/>
      <c r="B69" s="397" t="s">
        <v>48</v>
      </c>
      <c r="C69" s="398"/>
      <c r="D69" s="398"/>
      <c r="E69" s="42"/>
      <c r="F69" s="70">
        <f>COUNTIF(G68:G70,"&lt;&gt;=0")</f>
        <v>3</v>
      </c>
      <c r="G69" s="237">
        <f t="shared" ref="G69:AJ69" si="27">IFERROR(AVERAGE(G20,G35,G50,G59,G68),0)</f>
        <v>0</v>
      </c>
      <c r="H69" s="237">
        <f t="shared" si="27"/>
        <v>0</v>
      </c>
      <c r="I69" s="237">
        <f t="shared" si="27"/>
        <v>0</v>
      </c>
      <c r="J69" s="237">
        <f t="shared" si="27"/>
        <v>0</v>
      </c>
      <c r="K69" s="237">
        <f t="shared" si="27"/>
        <v>0</v>
      </c>
      <c r="L69" s="237">
        <f t="shared" si="27"/>
        <v>0</v>
      </c>
      <c r="M69" s="238">
        <f t="shared" si="27"/>
        <v>0</v>
      </c>
      <c r="N69" s="238">
        <f t="shared" si="27"/>
        <v>0</v>
      </c>
      <c r="O69" s="238">
        <f t="shared" si="27"/>
        <v>0</v>
      </c>
      <c r="P69" s="238">
        <f t="shared" si="27"/>
        <v>0</v>
      </c>
      <c r="Q69" s="238">
        <f t="shared" si="27"/>
        <v>0</v>
      </c>
      <c r="R69" s="238">
        <f t="shared" si="27"/>
        <v>0</v>
      </c>
      <c r="S69" s="238">
        <f t="shared" si="27"/>
        <v>0</v>
      </c>
      <c r="T69" s="238">
        <f t="shared" si="27"/>
        <v>0</v>
      </c>
      <c r="U69" s="238">
        <f t="shared" si="27"/>
        <v>0</v>
      </c>
      <c r="V69" s="238">
        <f t="shared" si="27"/>
        <v>0</v>
      </c>
      <c r="W69" s="238">
        <f t="shared" si="27"/>
        <v>0</v>
      </c>
      <c r="X69" s="238">
        <f t="shared" si="27"/>
        <v>0</v>
      </c>
      <c r="Y69" s="238">
        <f t="shared" si="27"/>
        <v>0</v>
      </c>
      <c r="Z69" s="238">
        <f t="shared" si="27"/>
        <v>0</v>
      </c>
      <c r="AA69" s="238">
        <f t="shared" si="27"/>
        <v>0</v>
      </c>
      <c r="AB69" s="238">
        <f t="shared" si="27"/>
        <v>0</v>
      </c>
      <c r="AC69" s="238">
        <f t="shared" si="27"/>
        <v>0</v>
      </c>
      <c r="AD69" s="238">
        <f t="shared" si="27"/>
        <v>0</v>
      </c>
      <c r="AE69" s="238">
        <f t="shared" si="27"/>
        <v>0</v>
      </c>
      <c r="AF69" s="238">
        <f t="shared" si="27"/>
        <v>0</v>
      </c>
      <c r="AG69" s="238">
        <f t="shared" si="27"/>
        <v>0</v>
      </c>
      <c r="AH69" s="238">
        <f t="shared" si="27"/>
        <v>0</v>
      </c>
      <c r="AI69" s="238">
        <f t="shared" si="27"/>
        <v>0</v>
      </c>
      <c r="AJ69" s="265">
        <f t="shared" si="27"/>
        <v>0</v>
      </c>
      <c r="AK69" s="19"/>
      <c r="AM69" s="8"/>
      <c r="AN69" s="8"/>
      <c r="AO69" s="8"/>
      <c r="AP69" s="8"/>
      <c r="AQ69" s="8"/>
      <c r="AR69" s="8"/>
    </row>
    <row r="70" spans="1:44" s="12" customFormat="1" ht="5.0999999999999996" customHeight="1" thickBot="1" x14ac:dyDescent="0.25">
      <c r="A70" s="8"/>
      <c r="B70" s="8"/>
      <c r="C70" s="14"/>
      <c r="D70" s="14"/>
      <c r="E70" s="43"/>
      <c r="F70" s="14"/>
      <c r="G70" s="239"/>
      <c r="H70" s="239"/>
      <c r="I70" s="239"/>
      <c r="J70" s="239"/>
      <c r="K70" s="239"/>
      <c r="L70" s="239"/>
      <c r="M70" s="239"/>
      <c r="N70" s="239"/>
      <c r="O70" s="239"/>
      <c r="P70" s="239"/>
      <c r="Q70" s="239"/>
      <c r="R70" s="239"/>
      <c r="S70" s="239"/>
      <c r="T70" s="239"/>
      <c r="U70" s="239"/>
      <c r="V70" s="239"/>
      <c r="W70" s="239"/>
      <c r="X70" s="239"/>
      <c r="Y70" s="239"/>
      <c r="Z70" s="239"/>
      <c r="AA70" s="239"/>
      <c r="AB70" s="239"/>
      <c r="AC70" s="239"/>
      <c r="AD70" s="239"/>
      <c r="AE70" s="239"/>
      <c r="AF70" s="239"/>
      <c r="AG70" s="239"/>
      <c r="AH70" s="239"/>
      <c r="AI70" s="239"/>
      <c r="AJ70" s="239"/>
      <c r="AK70" s="19"/>
      <c r="AM70" s="8"/>
      <c r="AN70" s="8"/>
      <c r="AO70" s="8"/>
      <c r="AP70" s="8"/>
      <c r="AQ70" s="8"/>
      <c r="AR70" s="8"/>
    </row>
    <row r="71" spans="1:44" s="12" customFormat="1" ht="24.95" hidden="1" customHeight="1" thickBot="1" x14ac:dyDescent="0.25">
      <c r="A71" s="8"/>
      <c r="C71" s="256"/>
      <c r="D71" s="200"/>
      <c r="E71" s="198"/>
      <c r="F71" s="199"/>
      <c r="G71" s="240">
        <f t="shared" ref="G71:AJ71" si="28">IFERROR(AVERAGE(G57,G34,G16),0)</f>
        <v>0</v>
      </c>
      <c r="H71" s="240">
        <f t="shared" si="28"/>
        <v>0</v>
      </c>
      <c r="I71" s="240">
        <f t="shared" si="28"/>
        <v>0</v>
      </c>
      <c r="J71" s="240">
        <f t="shared" si="28"/>
        <v>0</v>
      </c>
      <c r="K71" s="240">
        <f t="shared" si="28"/>
        <v>0</v>
      </c>
      <c r="L71" s="240">
        <f t="shared" si="28"/>
        <v>0</v>
      </c>
      <c r="M71" s="240">
        <f t="shared" si="28"/>
        <v>0</v>
      </c>
      <c r="N71" s="240">
        <f t="shared" si="28"/>
        <v>0</v>
      </c>
      <c r="O71" s="240">
        <f t="shared" si="28"/>
        <v>0</v>
      </c>
      <c r="P71" s="240">
        <f t="shared" si="28"/>
        <v>0</v>
      </c>
      <c r="Q71" s="240">
        <f t="shared" si="28"/>
        <v>0</v>
      </c>
      <c r="R71" s="240">
        <f t="shared" si="28"/>
        <v>0</v>
      </c>
      <c r="S71" s="240">
        <f t="shared" si="28"/>
        <v>0</v>
      </c>
      <c r="T71" s="240">
        <f t="shared" si="28"/>
        <v>0</v>
      </c>
      <c r="U71" s="240">
        <f t="shared" si="28"/>
        <v>0</v>
      </c>
      <c r="V71" s="240">
        <f t="shared" si="28"/>
        <v>0</v>
      </c>
      <c r="W71" s="240">
        <f t="shared" si="28"/>
        <v>0</v>
      </c>
      <c r="X71" s="240">
        <f t="shared" si="28"/>
        <v>0</v>
      </c>
      <c r="Y71" s="240">
        <f t="shared" si="28"/>
        <v>0</v>
      </c>
      <c r="Z71" s="240">
        <f t="shared" si="28"/>
        <v>0</v>
      </c>
      <c r="AA71" s="240">
        <f t="shared" si="28"/>
        <v>0</v>
      </c>
      <c r="AB71" s="240">
        <f t="shared" si="28"/>
        <v>0</v>
      </c>
      <c r="AC71" s="240">
        <f t="shared" si="28"/>
        <v>0</v>
      </c>
      <c r="AD71" s="240">
        <f t="shared" si="28"/>
        <v>0</v>
      </c>
      <c r="AE71" s="240">
        <f t="shared" si="28"/>
        <v>0</v>
      </c>
      <c r="AF71" s="240">
        <f t="shared" si="28"/>
        <v>0</v>
      </c>
      <c r="AG71" s="240">
        <f t="shared" si="28"/>
        <v>0</v>
      </c>
      <c r="AH71" s="240">
        <f t="shared" si="28"/>
        <v>0</v>
      </c>
      <c r="AI71" s="240">
        <f t="shared" si="28"/>
        <v>0</v>
      </c>
      <c r="AJ71" s="240">
        <f t="shared" si="28"/>
        <v>0</v>
      </c>
      <c r="AK71" s="8"/>
      <c r="AM71" s="8"/>
      <c r="AN71" s="8"/>
      <c r="AO71" s="8"/>
      <c r="AP71" s="8"/>
      <c r="AQ71" s="8"/>
      <c r="AR71" s="8"/>
    </row>
    <row r="72" spans="1:44" s="12" customFormat="1" ht="24.95" hidden="1" customHeight="1" x14ac:dyDescent="0.2">
      <c r="A72" s="8"/>
      <c r="B72" s="223"/>
      <c r="C72" s="257"/>
      <c r="D72" s="224"/>
      <c r="E72" s="225"/>
      <c r="F72" s="226"/>
      <c r="G72" s="241">
        <f t="shared" ref="G72:AJ72" si="29">IF(G71=0%,0,IF(G71&gt;=90%,5,IF(G71&gt;=70%,4,IF(G71&gt;=50%,3,IF(G71&gt;=20%,2,IF(G71=0%,1,IF(G71=0,"")))))))</f>
        <v>0</v>
      </c>
      <c r="H72" s="241">
        <f t="shared" si="29"/>
        <v>0</v>
      </c>
      <c r="I72" s="241">
        <f t="shared" si="29"/>
        <v>0</v>
      </c>
      <c r="J72" s="241">
        <f t="shared" si="29"/>
        <v>0</v>
      </c>
      <c r="K72" s="241">
        <f t="shared" si="29"/>
        <v>0</v>
      </c>
      <c r="L72" s="241">
        <f t="shared" si="29"/>
        <v>0</v>
      </c>
      <c r="M72" s="242">
        <f t="shared" si="29"/>
        <v>0</v>
      </c>
      <c r="N72" s="242">
        <f t="shared" si="29"/>
        <v>0</v>
      </c>
      <c r="O72" s="242">
        <f t="shared" si="29"/>
        <v>0</v>
      </c>
      <c r="P72" s="242">
        <f t="shared" si="29"/>
        <v>0</v>
      </c>
      <c r="Q72" s="242">
        <f t="shared" si="29"/>
        <v>0</v>
      </c>
      <c r="R72" s="242">
        <f t="shared" si="29"/>
        <v>0</v>
      </c>
      <c r="S72" s="242">
        <f t="shared" si="29"/>
        <v>0</v>
      </c>
      <c r="T72" s="242">
        <f t="shared" si="29"/>
        <v>0</v>
      </c>
      <c r="U72" s="242">
        <f t="shared" si="29"/>
        <v>0</v>
      </c>
      <c r="V72" s="242">
        <f t="shared" si="29"/>
        <v>0</v>
      </c>
      <c r="W72" s="242">
        <f t="shared" si="29"/>
        <v>0</v>
      </c>
      <c r="X72" s="242">
        <f t="shared" si="29"/>
        <v>0</v>
      </c>
      <c r="Y72" s="242">
        <f t="shared" si="29"/>
        <v>0</v>
      </c>
      <c r="Z72" s="242">
        <f t="shared" si="29"/>
        <v>0</v>
      </c>
      <c r="AA72" s="242">
        <f t="shared" si="29"/>
        <v>0</v>
      </c>
      <c r="AB72" s="242">
        <f t="shared" si="29"/>
        <v>0</v>
      </c>
      <c r="AC72" s="242">
        <f t="shared" si="29"/>
        <v>0</v>
      </c>
      <c r="AD72" s="242">
        <f t="shared" si="29"/>
        <v>0</v>
      </c>
      <c r="AE72" s="242">
        <f t="shared" si="29"/>
        <v>0</v>
      </c>
      <c r="AF72" s="242">
        <f t="shared" si="29"/>
        <v>0</v>
      </c>
      <c r="AG72" s="242">
        <f t="shared" si="29"/>
        <v>0</v>
      </c>
      <c r="AH72" s="242">
        <f t="shared" si="29"/>
        <v>0</v>
      </c>
      <c r="AI72" s="242">
        <f t="shared" si="29"/>
        <v>0</v>
      </c>
      <c r="AJ72" s="242">
        <f t="shared" si="29"/>
        <v>0</v>
      </c>
      <c r="AK72" s="8"/>
      <c r="AM72" s="8"/>
      <c r="AN72" s="8"/>
      <c r="AO72" s="8"/>
      <c r="AP72" s="8"/>
      <c r="AQ72" s="8"/>
      <c r="AR72" s="8"/>
    </row>
    <row r="73" spans="1:44" s="12" customFormat="1" ht="20.100000000000001" customHeight="1" x14ac:dyDescent="0.2">
      <c r="A73" s="8"/>
      <c r="B73" s="381" t="s">
        <v>34</v>
      </c>
      <c r="C73" s="414" t="s">
        <v>35</v>
      </c>
      <c r="D73" s="415"/>
      <c r="E73" s="288"/>
      <c r="F73" s="289"/>
      <c r="G73" s="290" t="str">
        <f t="shared" ref="G73:AJ73" si="30">IF(G71&gt;=90%,"MB",IF(G71&gt;=70%,"BOM",IF(G71&gt;=50%,"SUF",IF(G71&gt;=20%,"INS",IF(G71&gt;0%,"INS",IF(G71=0%,""))))))</f>
        <v/>
      </c>
      <c r="H73" s="290" t="str">
        <f t="shared" si="30"/>
        <v/>
      </c>
      <c r="I73" s="290" t="str">
        <f t="shared" si="30"/>
        <v/>
      </c>
      <c r="J73" s="290" t="str">
        <f t="shared" si="30"/>
        <v/>
      </c>
      <c r="K73" s="290" t="str">
        <f t="shared" si="30"/>
        <v/>
      </c>
      <c r="L73" s="290" t="str">
        <f t="shared" si="30"/>
        <v/>
      </c>
      <c r="M73" s="291" t="str">
        <f t="shared" si="30"/>
        <v/>
      </c>
      <c r="N73" s="291" t="str">
        <f t="shared" si="30"/>
        <v/>
      </c>
      <c r="O73" s="291" t="str">
        <f t="shared" si="30"/>
        <v/>
      </c>
      <c r="P73" s="291" t="str">
        <f t="shared" si="30"/>
        <v/>
      </c>
      <c r="Q73" s="291" t="str">
        <f t="shared" si="30"/>
        <v/>
      </c>
      <c r="R73" s="291" t="str">
        <f t="shared" si="30"/>
        <v/>
      </c>
      <c r="S73" s="291" t="str">
        <f t="shared" si="30"/>
        <v/>
      </c>
      <c r="T73" s="291" t="str">
        <f t="shared" si="30"/>
        <v/>
      </c>
      <c r="U73" s="291" t="str">
        <f t="shared" si="30"/>
        <v/>
      </c>
      <c r="V73" s="291" t="str">
        <f t="shared" si="30"/>
        <v/>
      </c>
      <c r="W73" s="291" t="str">
        <f t="shared" si="30"/>
        <v/>
      </c>
      <c r="X73" s="291" t="str">
        <f t="shared" si="30"/>
        <v/>
      </c>
      <c r="Y73" s="291" t="str">
        <f t="shared" si="30"/>
        <v/>
      </c>
      <c r="Z73" s="291" t="str">
        <f t="shared" si="30"/>
        <v/>
      </c>
      <c r="AA73" s="291" t="str">
        <f t="shared" si="30"/>
        <v/>
      </c>
      <c r="AB73" s="291" t="str">
        <f t="shared" si="30"/>
        <v/>
      </c>
      <c r="AC73" s="291" t="str">
        <f t="shared" si="30"/>
        <v/>
      </c>
      <c r="AD73" s="291" t="str">
        <f t="shared" si="30"/>
        <v/>
      </c>
      <c r="AE73" s="291" t="str">
        <f t="shared" si="30"/>
        <v/>
      </c>
      <c r="AF73" s="291" t="str">
        <f t="shared" si="30"/>
        <v/>
      </c>
      <c r="AG73" s="291" t="str">
        <f t="shared" si="30"/>
        <v/>
      </c>
      <c r="AH73" s="291" t="str">
        <f t="shared" si="30"/>
        <v/>
      </c>
      <c r="AI73" s="291" t="str">
        <f t="shared" si="30"/>
        <v/>
      </c>
      <c r="AJ73" s="292" t="str">
        <f t="shared" si="30"/>
        <v/>
      </c>
      <c r="AK73" s="8"/>
      <c r="AM73" s="8"/>
      <c r="AN73" s="8"/>
      <c r="AO73" s="8"/>
      <c r="AP73" s="8"/>
      <c r="AQ73" s="8"/>
      <c r="AR73" s="8"/>
    </row>
    <row r="74" spans="1:44" ht="20.100000000000001" hidden="1" customHeight="1" x14ac:dyDescent="0.2">
      <c r="B74" s="382"/>
      <c r="C74" s="293"/>
      <c r="D74" s="294"/>
      <c r="E74" s="295"/>
      <c r="F74" s="294"/>
      <c r="G74" s="296">
        <f t="shared" ref="G74:AJ74" si="31">IFERROR(AVERAGE(G58,G19),0)</f>
        <v>0</v>
      </c>
      <c r="H74" s="296">
        <f t="shared" si="31"/>
        <v>0</v>
      </c>
      <c r="I74" s="296">
        <f t="shared" si="31"/>
        <v>0</v>
      </c>
      <c r="J74" s="296">
        <f t="shared" si="31"/>
        <v>0</v>
      </c>
      <c r="K74" s="296">
        <f t="shared" si="31"/>
        <v>0</v>
      </c>
      <c r="L74" s="296">
        <f t="shared" si="31"/>
        <v>0</v>
      </c>
      <c r="M74" s="296">
        <f t="shared" si="31"/>
        <v>0</v>
      </c>
      <c r="N74" s="296">
        <f t="shared" si="31"/>
        <v>0</v>
      </c>
      <c r="O74" s="296">
        <f t="shared" si="31"/>
        <v>0</v>
      </c>
      <c r="P74" s="296">
        <f t="shared" si="31"/>
        <v>0</v>
      </c>
      <c r="Q74" s="296">
        <f t="shared" si="31"/>
        <v>0</v>
      </c>
      <c r="R74" s="296">
        <f t="shared" si="31"/>
        <v>0</v>
      </c>
      <c r="S74" s="296">
        <f t="shared" si="31"/>
        <v>0</v>
      </c>
      <c r="T74" s="296">
        <f t="shared" si="31"/>
        <v>0</v>
      </c>
      <c r="U74" s="296">
        <f t="shared" si="31"/>
        <v>0</v>
      </c>
      <c r="V74" s="296">
        <f t="shared" si="31"/>
        <v>0</v>
      </c>
      <c r="W74" s="296">
        <f t="shared" si="31"/>
        <v>0</v>
      </c>
      <c r="X74" s="296">
        <f t="shared" si="31"/>
        <v>0</v>
      </c>
      <c r="Y74" s="296">
        <f t="shared" si="31"/>
        <v>0</v>
      </c>
      <c r="Z74" s="296">
        <f t="shared" si="31"/>
        <v>0</v>
      </c>
      <c r="AA74" s="296">
        <f t="shared" si="31"/>
        <v>0</v>
      </c>
      <c r="AB74" s="296">
        <f t="shared" si="31"/>
        <v>0</v>
      </c>
      <c r="AC74" s="296">
        <f t="shared" si="31"/>
        <v>0</v>
      </c>
      <c r="AD74" s="296">
        <f t="shared" si="31"/>
        <v>0</v>
      </c>
      <c r="AE74" s="296">
        <f t="shared" si="31"/>
        <v>0</v>
      </c>
      <c r="AF74" s="296">
        <f t="shared" si="31"/>
        <v>0</v>
      </c>
      <c r="AG74" s="296">
        <f t="shared" si="31"/>
        <v>0</v>
      </c>
      <c r="AH74" s="296">
        <f t="shared" si="31"/>
        <v>0</v>
      </c>
      <c r="AI74" s="296">
        <f t="shared" si="31"/>
        <v>0</v>
      </c>
      <c r="AJ74" s="297">
        <f t="shared" si="31"/>
        <v>0</v>
      </c>
    </row>
    <row r="75" spans="1:44" ht="20.100000000000001" hidden="1" customHeight="1" x14ac:dyDescent="0.2">
      <c r="B75" s="382"/>
      <c r="C75" s="293"/>
      <c r="D75" s="294"/>
      <c r="E75" s="295"/>
      <c r="F75" s="294"/>
      <c r="G75" s="298">
        <f t="shared" ref="G75:AJ75" si="32">IF(G74=0%,0,IF(G74&gt;=90%,5,IF(G74&gt;=70%,4,IF(G74&gt;=50%,3,IF(G74&gt;=20%,2,IF(G74=0%,1,IF(G74=0,"")))))))</f>
        <v>0</v>
      </c>
      <c r="H75" s="298">
        <f t="shared" si="32"/>
        <v>0</v>
      </c>
      <c r="I75" s="298">
        <f t="shared" si="32"/>
        <v>0</v>
      </c>
      <c r="J75" s="298">
        <f t="shared" si="32"/>
        <v>0</v>
      </c>
      <c r="K75" s="298">
        <f t="shared" si="32"/>
        <v>0</v>
      </c>
      <c r="L75" s="298">
        <f t="shared" si="32"/>
        <v>0</v>
      </c>
      <c r="M75" s="299">
        <f t="shared" si="32"/>
        <v>0</v>
      </c>
      <c r="N75" s="299">
        <f t="shared" si="32"/>
        <v>0</v>
      </c>
      <c r="O75" s="299">
        <f t="shared" si="32"/>
        <v>0</v>
      </c>
      <c r="P75" s="299">
        <f t="shared" si="32"/>
        <v>0</v>
      </c>
      <c r="Q75" s="299">
        <f t="shared" si="32"/>
        <v>0</v>
      </c>
      <c r="R75" s="299">
        <f t="shared" si="32"/>
        <v>0</v>
      </c>
      <c r="S75" s="299">
        <f t="shared" si="32"/>
        <v>0</v>
      </c>
      <c r="T75" s="299">
        <f t="shared" si="32"/>
        <v>0</v>
      </c>
      <c r="U75" s="299">
        <f t="shared" si="32"/>
        <v>0</v>
      </c>
      <c r="V75" s="299">
        <f t="shared" si="32"/>
        <v>0</v>
      </c>
      <c r="W75" s="299">
        <f t="shared" si="32"/>
        <v>0</v>
      </c>
      <c r="X75" s="299">
        <f t="shared" si="32"/>
        <v>0</v>
      </c>
      <c r="Y75" s="299">
        <f t="shared" si="32"/>
        <v>0</v>
      </c>
      <c r="Z75" s="299">
        <f t="shared" si="32"/>
        <v>0</v>
      </c>
      <c r="AA75" s="299">
        <f t="shared" si="32"/>
        <v>0</v>
      </c>
      <c r="AB75" s="299">
        <f t="shared" si="32"/>
        <v>0</v>
      </c>
      <c r="AC75" s="299">
        <f t="shared" si="32"/>
        <v>0</v>
      </c>
      <c r="AD75" s="299">
        <f t="shared" si="32"/>
        <v>0</v>
      </c>
      <c r="AE75" s="299">
        <f t="shared" si="32"/>
        <v>0</v>
      </c>
      <c r="AF75" s="299">
        <f t="shared" si="32"/>
        <v>0</v>
      </c>
      <c r="AG75" s="299">
        <f t="shared" si="32"/>
        <v>0</v>
      </c>
      <c r="AH75" s="299">
        <f t="shared" si="32"/>
        <v>0</v>
      </c>
      <c r="AI75" s="299">
        <f t="shared" si="32"/>
        <v>0</v>
      </c>
      <c r="AJ75" s="300">
        <f t="shared" si="32"/>
        <v>0</v>
      </c>
    </row>
    <row r="76" spans="1:44" ht="20.100000000000001" customHeight="1" x14ac:dyDescent="0.2">
      <c r="B76" s="382"/>
      <c r="C76" s="399" t="s">
        <v>36</v>
      </c>
      <c r="D76" s="400"/>
      <c r="E76" s="400"/>
      <c r="F76" s="400"/>
      <c r="G76" s="296" t="str">
        <f t="shared" ref="G76:AJ76" si="33">IF(G74="","",""&amp;IF(G74&gt;=90%,"MB",IF(G74&gt;=70%,"BOM",IF(G74&gt;=50%,"SUF",IF(G74&gt;=20%,"INS",IF(G74&gt;0%,"INS",IF(G74=0%,"")))))&amp;""))</f>
        <v/>
      </c>
      <c r="H76" s="296" t="str">
        <f t="shared" si="33"/>
        <v/>
      </c>
      <c r="I76" s="296" t="str">
        <f t="shared" si="33"/>
        <v/>
      </c>
      <c r="J76" s="296" t="str">
        <f t="shared" si="33"/>
        <v/>
      </c>
      <c r="K76" s="296" t="str">
        <f t="shared" si="33"/>
        <v/>
      </c>
      <c r="L76" s="296" t="str">
        <f t="shared" si="33"/>
        <v/>
      </c>
      <c r="M76" s="296" t="str">
        <f t="shared" si="33"/>
        <v/>
      </c>
      <c r="N76" s="296" t="str">
        <f t="shared" si="33"/>
        <v/>
      </c>
      <c r="O76" s="296" t="str">
        <f t="shared" si="33"/>
        <v/>
      </c>
      <c r="P76" s="296" t="str">
        <f t="shared" si="33"/>
        <v/>
      </c>
      <c r="Q76" s="296" t="str">
        <f t="shared" si="33"/>
        <v/>
      </c>
      <c r="R76" s="296" t="str">
        <f t="shared" si="33"/>
        <v/>
      </c>
      <c r="S76" s="296" t="str">
        <f t="shared" si="33"/>
        <v/>
      </c>
      <c r="T76" s="296" t="str">
        <f t="shared" si="33"/>
        <v/>
      </c>
      <c r="U76" s="296" t="str">
        <f t="shared" si="33"/>
        <v/>
      </c>
      <c r="V76" s="296" t="str">
        <f t="shared" si="33"/>
        <v/>
      </c>
      <c r="W76" s="296" t="str">
        <f t="shared" si="33"/>
        <v/>
      </c>
      <c r="X76" s="296" t="str">
        <f t="shared" si="33"/>
        <v/>
      </c>
      <c r="Y76" s="296" t="str">
        <f t="shared" si="33"/>
        <v/>
      </c>
      <c r="Z76" s="296" t="str">
        <f t="shared" si="33"/>
        <v/>
      </c>
      <c r="AA76" s="296" t="str">
        <f t="shared" si="33"/>
        <v/>
      </c>
      <c r="AB76" s="296" t="str">
        <f t="shared" si="33"/>
        <v/>
      </c>
      <c r="AC76" s="296" t="str">
        <f t="shared" si="33"/>
        <v/>
      </c>
      <c r="AD76" s="296" t="str">
        <f t="shared" si="33"/>
        <v/>
      </c>
      <c r="AE76" s="296" t="str">
        <f t="shared" si="33"/>
        <v/>
      </c>
      <c r="AF76" s="296" t="str">
        <f t="shared" si="33"/>
        <v/>
      </c>
      <c r="AG76" s="296" t="str">
        <f t="shared" si="33"/>
        <v/>
      </c>
      <c r="AH76" s="296" t="str">
        <f t="shared" si="33"/>
        <v/>
      </c>
      <c r="AI76" s="296" t="str">
        <f t="shared" si="33"/>
        <v/>
      </c>
      <c r="AJ76" s="297" t="str">
        <f t="shared" si="33"/>
        <v/>
      </c>
    </row>
    <row r="77" spans="1:44" ht="20.100000000000001" hidden="1" customHeight="1" x14ac:dyDescent="0.2">
      <c r="B77" s="382"/>
      <c r="C77" s="293"/>
      <c r="D77" s="294"/>
      <c r="E77" s="295"/>
      <c r="F77" s="294"/>
      <c r="G77" s="296">
        <f t="shared" ref="G77:AJ77" si="34">IFERROR(AVERAGE(G18),0)</f>
        <v>0</v>
      </c>
      <c r="H77" s="296">
        <f t="shared" si="34"/>
        <v>0</v>
      </c>
      <c r="I77" s="296">
        <f t="shared" si="34"/>
        <v>0</v>
      </c>
      <c r="J77" s="296">
        <f t="shared" si="34"/>
        <v>0</v>
      </c>
      <c r="K77" s="296">
        <f t="shared" si="34"/>
        <v>0</v>
      </c>
      <c r="L77" s="296">
        <f t="shared" si="34"/>
        <v>0</v>
      </c>
      <c r="M77" s="296">
        <f t="shared" si="34"/>
        <v>0</v>
      </c>
      <c r="N77" s="296">
        <f t="shared" si="34"/>
        <v>0</v>
      </c>
      <c r="O77" s="296">
        <f t="shared" si="34"/>
        <v>0</v>
      </c>
      <c r="P77" s="296">
        <f t="shared" si="34"/>
        <v>0</v>
      </c>
      <c r="Q77" s="296">
        <f t="shared" si="34"/>
        <v>0</v>
      </c>
      <c r="R77" s="296">
        <f t="shared" si="34"/>
        <v>0</v>
      </c>
      <c r="S77" s="296">
        <f t="shared" si="34"/>
        <v>0</v>
      </c>
      <c r="T77" s="296">
        <f t="shared" si="34"/>
        <v>0</v>
      </c>
      <c r="U77" s="296">
        <f t="shared" si="34"/>
        <v>0</v>
      </c>
      <c r="V77" s="296">
        <f t="shared" si="34"/>
        <v>0</v>
      </c>
      <c r="W77" s="296">
        <f t="shared" si="34"/>
        <v>0</v>
      </c>
      <c r="X77" s="296">
        <f t="shared" si="34"/>
        <v>0</v>
      </c>
      <c r="Y77" s="296">
        <f t="shared" si="34"/>
        <v>0</v>
      </c>
      <c r="Z77" s="296">
        <f t="shared" si="34"/>
        <v>0</v>
      </c>
      <c r="AA77" s="296">
        <f t="shared" si="34"/>
        <v>0</v>
      </c>
      <c r="AB77" s="296">
        <f t="shared" si="34"/>
        <v>0</v>
      </c>
      <c r="AC77" s="296">
        <f t="shared" si="34"/>
        <v>0</v>
      </c>
      <c r="AD77" s="296">
        <f t="shared" si="34"/>
        <v>0</v>
      </c>
      <c r="AE77" s="296">
        <f t="shared" si="34"/>
        <v>0</v>
      </c>
      <c r="AF77" s="296">
        <f t="shared" si="34"/>
        <v>0</v>
      </c>
      <c r="AG77" s="296">
        <f t="shared" si="34"/>
        <v>0</v>
      </c>
      <c r="AH77" s="296">
        <f t="shared" si="34"/>
        <v>0</v>
      </c>
      <c r="AI77" s="296">
        <f t="shared" si="34"/>
        <v>0</v>
      </c>
      <c r="AJ77" s="297">
        <f t="shared" si="34"/>
        <v>0</v>
      </c>
    </row>
    <row r="78" spans="1:44" ht="20.100000000000001" hidden="1" customHeight="1" x14ac:dyDescent="0.2">
      <c r="B78" s="382"/>
      <c r="C78" s="293"/>
      <c r="D78" s="294"/>
      <c r="E78" s="295"/>
      <c r="F78" s="294"/>
      <c r="G78" s="298">
        <f t="shared" ref="G78:AJ78" si="35">IF(G77=0%,0,IF(G77&gt;=90%,5,IF(G77&gt;=70%,4,IF(G77&gt;=50%,3,IF(G77&gt;=20%,2,IF(G77=0%,1,IF(G77=0,"")))))))</f>
        <v>0</v>
      </c>
      <c r="H78" s="298">
        <f t="shared" si="35"/>
        <v>0</v>
      </c>
      <c r="I78" s="298">
        <f t="shared" si="35"/>
        <v>0</v>
      </c>
      <c r="J78" s="298">
        <f t="shared" si="35"/>
        <v>0</v>
      </c>
      <c r="K78" s="298">
        <f t="shared" si="35"/>
        <v>0</v>
      </c>
      <c r="L78" s="298">
        <f t="shared" si="35"/>
        <v>0</v>
      </c>
      <c r="M78" s="298">
        <f t="shared" si="35"/>
        <v>0</v>
      </c>
      <c r="N78" s="298">
        <f t="shared" si="35"/>
        <v>0</v>
      </c>
      <c r="O78" s="298">
        <f t="shared" si="35"/>
        <v>0</v>
      </c>
      <c r="P78" s="298">
        <f t="shared" si="35"/>
        <v>0</v>
      </c>
      <c r="Q78" s="298">
        <f t="shared" si="35"/>
        <v>0</v>
      </c>
      <c r="R78" s="298">
        <f t="shared" si="35"/>
        <v>0</v>
      </c>
      <c r="S78" s="298">
        <f t="shared" si="35"/>
        <v>0</v>
      </c>
      <c r="T78" s="298">
        <f t="shared" si="35"/>
        <v>0</v>
      </c>
      <c r="U78" s="298">
        <f t="shared" si="35"/>
        <v>0</v>
      </c>
      <c r="V78" s="298">
        <f t="shared" si="35"/>
        <v>0</v>
      </c>
      <c r="W78" s="298">
        <f t="shared" si="35"/>
        <v>0</v>
      </c>
      <c r="X78" s="298">
        <f t="shared" si="35"/>
        <v>0</v>
      </c>
      <c r="Y78" s="298">
        <f t="shared" si="35"/>
        <v>0</v>
      </c>
      <c r="Z78" s="298">
        <f t="shared" si="35"/>
        <v>0</v>
      </c>
      <c r="AA78" s="298">
        <f t="shared" si="35"/>
        <v>0</v>
      </c>
      <c r="AB78" s="298">
        <f t="shared" si="35"/>
        <v>0</v>
      </c>
      <c r="AC78" s="298">
        <f t="shared" si="35"/>
        <v>0</v>
      </c>
      <c r="AD78" s="298">
        <f t="shared" si="35"/>
        <v>0</v>
      </c>
      <c r="AE78" s="298">
        <f t="shared" si="35"/>
        <v>0</v>
      </c>
      <c r="AF78" s="298">
        <f t="shared" si="35"/>
        <v>0</v>
      </c>
      <c r="AG78" s="298">
        <f t="shared" si="35"/>
        <v>0</v>
      </c>
      <c r="AH78" s="298">
        <f t="shared" si="35"/>
        <v>0</v>
      </c>
      <c r="AI78" s="298">
        <f t="shared" si="35"/>
        <v>0</v>
      </c>
      <c r="AJ78" s="301">
        <f t="shared" si="35"/>
        <v>0</v>
      </c>
    </row>
    <row r="79" spans="1:44" ht="20.100000000000001" customHeight="1" x14ac:dyDescent="0.2">
      <c r="B79" s="382"/>
      <c r="C79" s="399" t="s">
        <v>37</v>
      </c>
      <c r="D79" s="400"/>
      <c r="E79" s="400"/>
      <c r="F79" s="400"/>
      <c r="G79" s="296" t="str">
        <f t="shared" ref="G79:AJ79" si="36">IF(G77="","",""&amp;IF(G77&gt;=90%,"MB",IF(G77&gt;=70%,"BOM",IF(G77&gt;=50%,"SUF",IF(G77&gt;=20%,"INS",IF(G77&gt;0%,"INS",IF(G77=0%,"")))))&amp;""))</f>
        <v/>
      </c>
      <c r="H79" s="296" t="str">
        <f t="shared" si="36"/>
        <v/>
      </c>
      <c r="I79" s="296" t="str">
        <f t="shared" si="36"/>
        <v/>
      </c>
      <c r="J79" s="296" t="str">
        <f t="shared" si="36"/>
        <v/>
      </c>
      <c r="K79" s="296" t="str">
        <f t="shared" si="36"/>
        <v/>
      </c>
      <c r="L79" s="296" t="str">
        <f t="shared" si="36"/>
        <v/>
      </c>
      <c r="M79" s="296" t="str">
        <f t="shared" si="36"/>
        <v/>
      </c>
      <c r="N79" s="296" t="str">
        <f t="shared" si="36"/>
        <v/>
      </c>
      <c r="O79" s="296" t="str">
        <f t="shared" si="36"/>
        <v/>
      </c>
      <c r="P79" s="296" t="str">
        <f t="shared" si="36"/>
        <v/>
      </c>
      <c r="Q79" s="296" t="str">
        <f t="shared" si="36"/>
        <v/>
      </c>
      <c r="R79" s="296" t="str">
        <f t="shared" si="36"/>
        <v/>
      </c>
      <c r="S79" s="296" t="str">
        <f t="shared" si="36"/>
        <v/>
      </c>
      <c r="T79" s="296" t="str">
        <f t="shared" si="36"/>
        <v/>
      </c>
      <c r="U79" s="296" t="str">
        <f t="shared" si="36"/>
        <v/>
      </c>
      <c r="V79" s="296" t="str">
        <f t="shared" si="36"/>
        <v/>
      </c>
      <c r="W79" s="296" t="str">
        <f t="shared" si="36"/>
        <v/>
      </c>
      <c r="X79" s="296" t="str">
        <f t="shared" si="36"/>
        <v/>
      </c>
      <c r="Y79" s="296" t="str">
        <f t="shared" si="36"/>
        <v/>
      </c>
      <c r="Z79" s="296" t="str">
        <f t="shared" si="36"/>
        <v/>
      </c>
      <c r="AA79" s="296" t="str">
        <f t="shared" si="36"/>
        <v/>
      </c>
      <c r="AB79" s="296" t="str">
        <f t="shared" si="36"/>
        <v/>
      </c>
      <c r="AC79" s="296" t="str">
        <f t="shared" si="36"/>
        <v/>
      </c>
      <c r="AD79" s="296" t="str">
        <f t="shared" si="36"/>
        <v/>
      </c>
      <c r="AE79" s="296" t="str">
        <f t="shared" si="36"/>
        <v/>
      </c>
      <c r="AF79" s="296" t="str">
        <f t="shared" si="36"/>
        <v/>
      </c>
      <c r="AG79" s="296" t="str">
        <f t="shared" si="36"/>
        <v/>
      </c>
      <c r="AH79" s="296" t="str">
        <f t="shared" si="36"/>
        <v/>
      </c>
      <c r="AI79" s="296" t="str">
        <f t="shared" si="36"/>
        <v/>
      </c>
      <c r="AJ79" s="297" t="str">
        <f t="shared" si="36"/>
        <v/>
      </c>
    </row>
    <row r="80" spans="1:44" ht="20.100000000000001" hidden="1" customHeight="1" x14ac:dyDescent="0.2">
      <c r="B80" s="382"/>
      <c r="C80" s="293"/>
      <c r="D80" s="294"/>
      <c r="E80" s="295"/>
      <c r="F80" s="294"/>
      <c r="G80" s="296">
        <f t="shared" ref="G80:AJ80" si="37">IFERROR(AVERAGE(G17),0)</f>
        <v>0</v>
      </c>
      <c r="H80" s="296">
        <f t="shared" si="37"/>
        <v>0</v>
      </c>
      <c r="I80" s="296">
        <f t="shared" si="37"/>
        <v>0</v>
      </c>
      <c r="J80" s="296">
        <f t="shared" si="37"/>
        <v>0</v>
      </c>
      <c r="K80" s="296">
        <f t="shared" si="37"/>
        <v>0</v>
      </c>
      <c r="L80" s="296">
        <f t="shared" si="37"/>
        <v>0</v>
      </c>
      <c r="M80" s="296">
        <f t="shared" si="37"/>
        <v>0</v>
      </c>
      <c r="N80" s="296">
        <f t="shared" si="37"/>
        <v>0</v>
      </c>
      <c r="O80" s="296">
        <f t="shared" si="37"/>
        <v>0</v>
      </c>
      <c r="P80" s="296">
        <f t="shared" si="37"/>
        <v>0</v>
      </c>
      <c r="Q80" s="296">
        <f t="shared" si="37"/>
        <v>0</v>
      </c>
      <c r="R80" s="296">
        <f t="shared" si="37"/>
        <v>0</v>
      </c>
      <c r="S80" s="296">
        <f t="shared" si="37"/>
        <v>0</v>
      </c>
      <c r="T80" s="296">
        <f t="shared" si="37"/>
        <v>0</v>
      </c>
      <c r="U80" s="296">
        <f t="shared" si="37"/>
        <v>0</v>
      </c>
      <c r="V80" s="296">
        <f t="shared" si="37"/>
        <v>0</v>
      </c>
      <c r="W80" s="296">
        <f t="shared" si="37"/>
        <v>0</v>
      </c>
      <c r="X80" s="296">
        <f t="shared" si="37"/>
        <v>0</v>
      </c>
      <c r="Y80" s="296">
        <f t="shared" si="37"/>
        <v>0</v>
      </c>
      <c r="Z80" s="296">
        <f t="shared" si="37"/>
        <v>0</v>
      </c>
      <c r="AA80" s="296">
        <f t="shared" si="37"/>
        <v>0</v>
      </c>
      <c r="AB80" s="296">
        <f t="shared" si="37"/>
        <v>0</v>
      </c>
      <c r="AC80" s="296">
        <f t="shared" si="37"/>
        <v>0</v>
      </c>
      <c r="AD80" s="296">
        <f t="shared" si="37"/>
        <v>0</v>
      </c>
      <c r="AE80" s="296">
        <f t="shared" si="37"/>
        <v>0</v>
      </c>
      <c r="AF80" s="296">
        <f t="shared" si="37"/>
        <v>0</v>
      </c>
      <c r="AG80" s="296">
        <f t="shared" si="37"/>
        <v>0</v>
      </c>
      <c r="AH80" s="296">
        <f t="shared" si="37"/>
        <v>0</v>
      </c>
      <c r="AI80" s="296">
        <f t="shared" si="37"/>
        <v>0</v>
      </c>
      <c r="AJ80" s="297">
        <f t="shared" si="37"/>
        <v>0</v>
      </c>
    </row>
    <row r="81" spans="2:36" ht="20.100000000000001" hidden="1" customHeight="1" x14ac:dyDescent="0.2">
      <c r="B81" s="382"/>
      <c r="C81" s="302"/>
      <c r="D81" s="303"/>
      <c r="E81" s="304"/>
      <c r="F81" s="294"/>
      <c r="G81" s="298">
        <f t="shared" ref="G81:AJ81" si="38">IF(G80=0%,0,IF(G80&gt;=90%,5,IF(G80&gt;=70%,4,IF(G80&gt;=50%,3,IF(G80&gt;=20%,2,IF(G80=0%,1,IF(G80=0,"")))))))</f>
        <v>0</v>
      </c>
      <c r="H81" s="298">
        <f t="shared" si="38"/>
        <v>0</v>
      </c>
      <c r="I81" s="298">
        <f t="shared" si="38"/>
        <v>0</v>
      </c>
      <c r="J81" s="298">
        <f t="shared" si="38"/>
        <v>0</v>
      </c>
      <c r="K81" s="298">
        <f t="shared" si="38"/>
        <v>0</v>
      </c>
      <c r="L81" s="298">
        <f t="shared" si="38"/>
        <v>0</v>
      </c>
      <c r="M81" s="298">
        <f t="shared" si="38"/>
        <v>0</v>
      </c>
      <c r="N81" s="298">
        <f t="shared" si="38"/>
        <v>0</v>
      </c>
      <c r="O81" s="298">
        <f t="shared" si="38"/>
        <v>0</v>
      </c>
      <c r="P81" s="298">
        <f t="shared" si="38"/>
        <v>0</v>
      </c>
      <c r="Q81" s="298">
        <f t="shared" si="38"/>
        <v>0</v>
      </c>
      <c r="R81" s="298">
        <f t="shared" si="38"/>
        <v>0</v>
      </c>
      <c r="S81" s="298">
        <f t="shared" si="38"/>
        <v>0</v>
      </c>
      <c r="T81" s="298">
        <f t="shared" si="38"/>
        <v>0</v>
      </c>
      <c r="U81" s="298">
        <f t="shared" si="38"/>
        <v>0</v>
      </c>
      <c r="V81" s="298">
        <f t="shared" si="38"/>
        <v>0</v>
      </c>
      <c r="W81" s="298">
        <f t="shared" si="38"/>
        <v>0</v>
      </c>
      <c r="X81" s="298">
        <f t="shared" si="38"/>
        <v>0</v>
      </c>
      <c r="Y81" s="298">
        <f t="shared" si="38"/>
        <v>0</v>
      </c>
      <c r="Z81" s="298">
        <f t="shared" si="38"/>
        <v>0</v>
      </c>
      <c r="AA81" s="298">
        <f t="shared" si="38"/>
        <v>0</v>
      </c>
      <c r="AB81" s="298">
        <f t="shared" si="38"/>
        <v>0</v>
      </c>
      <c r="AC81" s="298">
        <f t="shared" si="38"/>
        <v>0</v>
      </c>
      <c r="AD81" s="298">
        <f t="shared" si="38"/>
        <v>0</v>
      </c>
      <c r="AE81" s="298">
        <f t="shared" si="38"/>
        <v>0</v>
      </c>
      <c r="AF81" s="298">
        <f t="shared" si="38"/>
        <v>0</v>
      </c>
      <c r="AG81" s="298">
        <f t="shared" si="38"/>
        <v>0</v>
      </c>
      <c r="AH81" s="298">
        <f t="shared" si="38"/>
        <v>0</v>
      </c>
      <c r="AI81" s="298">
        <f t="shared" si="38"/>
        <v>0</v>
      </c>
      <c r="AJ81" s="301">
        <f t="shared" si="38"/>
        <v>0</v>
      </c>
    </row>
    <row r="82" spans="2:36" ht="20.100000000000001" customHeight="1" x14ac:dyDescent="0.2">
      <c r="B82" s="382"/>
      <c r="C82" s="416" t="s">
        <v>38</v>
      </c>
      <c r="D82" s="399"/>
      <c r="E82" s="305"/>
      <c r="F82" s="294"/>
      <c r="G82" s="296" t="str">
        <f t="shared" ref="G82:AJ82" si="39">IF(G80="","",""&amp;IF(G80&gt;=90%,"MB",IF(G80&gt;=70%,"BOM",IF(G80&gt;=50%,"SUF",IF(G80&gt;=20%,"INS",IF(G80&gt;0%,"INS",IF(G80=0%,"")))))&amp;""))</f>
        <v/>
      </c>
      <c r="H82" s="296" t="str">
        <f t="shared" si="39"/>
        <v/>
      </c>
      <c r="I82" s="296" t="str">
        <f t="shared" si="39"/>
        <v/>
      </c>
      <c r="J82" s="296" t="str">
        <f t="shared" si="39"/>
        <v/>
      </c>
      <c r="K82" s="296" t="str">
        <f t="shared" si="39"/>
        <v/>
      </c>
      <c r="L82" s="296" t="str">
        <f t="shared" si="39"/>
        <v/>
      </c>
      <c r="M82" s="296" t="str">
        <f t="shared" si="39"/>
        <v/>
      </c>
      <c r="N82" s="296" t="str">
        <f t="shared" si="39"/>
        <v/>
      </c>
      <c r="O82" s="296" t="str">
        <f t="shared" si="39"/>
        <v/>
      </c>
      <c r="P82" s="296" t="str">
        <f t="shared" si="39"/>
        <v/>
      </c>
      <c r="Q82" s="296" t="str">
        <f t="shared" si="39"/>
        <v/>
      </c>
      <c r="R82" s="296" t="str">
        <f t="shared" si="39"/>
        <v/>
      </c>
      <c r="S82" s="296" t="str">
        <f t="shared" si="39"/>
        <v/>
      </c>
      <c r="T82" s="296" t="str">
        <f t="shared" si="39"/>
        <v/>
      </c>
      <c r="U82" s="296" t="str">
        <f t="shared" si="39"/>
        <v/>
      </c>
      <c r="V82" s="296" t="str">
        <f t="shared" si="39"/>
        <v/>
      </c>
      <c r="W82" s="296" t="str">
        <f t="shared" si="39"/>
        <v/>
      </c>
      <c r="X82" s="296" t="str">
        <f t="shared" si="39"/>
        <v/>
      </c>
      <c r="Y82" s="296" t="str">
        <f t="shared" si="39"/>
        <v/>
      </c>
      <c r="Z82" s="296" t="str">
        <f t="shared" si="39"/>
        <v/>
      </c>
      <c r="AA82" s="296" t="str">
        <f t="shared" si="39"/>
        <v/>
      </c>
      <c r="AB82" s="296" t="str">
        <f t="shared" si="39"/>
        <v/>
      </c>
      <c r="AC82" s="296" t="str">
        <f t="shared" si="39"/>
        <v/>
      </c>
      <c r="AD82" s="296" t="str">
        <f t="shared" si="39"/>
        <v/>
      </c>
      <c r="AE82" s="296" t="str">
        <f t="shared" si="39"/>
        <v/>
      </c>
      <c r="AF82" s="296" t="str">
        <f t="shared" si="39"/>
        <v/>
      </c>
      <c r="AG82" s="296" t="str">
        <f t="shared" si="39"/>
        <v/>
      </c>
      <c r="AH82" s="296" t="str">
        <f t="shared" si="39"/>
        <v/>
      </c>
      <c r="AI82" s="296" t="str">
        <f t="shared" si="39"/>
        <v/>
      </c>
      <c r="AJ82" s="297" t="str">
        <f t="shared" si="39"/>
        <v/>
      </c>
    </row>
    <row r="83" spans="2:36" ht="20.100000000000001" hidden="1" customHeight="1" x14ac:dyDescent="0.2">
      <c r="B83" s="382"/>
      <c r="C83" s="293"/>
      <c r="D83" s="294"/>
      <c r="E83" s="295"/>
      <c r="F83" s="294"/>
      <c r="G83" s="296">
        <f t="shared" ref="G83:AJ83" si="40">IFERROR(AVERAGE(G54,G48,G30,G15),0)</f>
        <v>0</v>
      </c>
      <c r="H83" s="296">
        <f t="shared" si="40"/>
        <v>0</v>
      </c>
      <c r="I83" s="296">
        <f t="shared" si="40"/>
        <v>0</v>
      </c>
      <c r="J83" s="296">
        <f t="shared" si="40"/>
        <v>0</v>
      </c>
      <c r="K83" s="296">
        <f t="shared" si="40"/>
        <v>0</v>
      </c>
      <c r="L83" s="296">
        <f t="shared" si="40"/>
        <v>0</v>
      </c>
      <c r="M83" s="296">
        <f t="shared" si="40"/>
        <v>0</v>
      </c>
      <c r="N83" s="296">
        <f t="shared" si="40"/>
        <v>0</v>
      </c>
      <c r="O83" s="296">
        <f t="shared" si="40"/>
        <v>0</v>
      </c>
      <c r="P83" s="296">
        <f t="shared" si="40"/>
        <v>0</v>
      </c>
      <c r="Q83" s="296">
        <f t="shared" si="40"/>
        <v>0</v>
      </c>
      <c r="R83" s="296">
        <f t="shared" si="40"/>
        <v>0</v>
      </c>
      <c r="S83" s="296">
        <f t="shared" si="40"/>
        <v>0</v>
      </c>
      <c r="T83" s="296">
        <f t="shared" si="40"/>
        <v>0</v>
      </c>
      <c r="U83" s="296">
        <f t="shared" si="40"/>
        <v>0</v>
      </c>
      <c r="V83" s="296">
        <f t="shared" si="40"/>
        <v>0</v>
      </c>
      <c r="W83" s="296">
        <f t="shared" si="40"/>
        <v>0</v>
      </c>
      <c r="X83" s="296">
        <f t="shared" si="40"/>
        <v>0</v>
      </c>
      <c r="Y83" s="296">
        <f t="shared" si="40"/>
        <v>0</v>
      </c>
      <c r="Z83" s="296">
        <f t="shared" si="40"/>
        <v>0</v>
      </c>
      <c r="AA83" s="296">
        <f t="shared" si="40"/>
        <v>0</v>
      </c>
      <c r="AB83" s="296">
        <f t="shared" si="40"/>
        <v>0</v>
      </c>
      <c r="AC83" s="296">
        <f t="shared" si="40"/>
        <v>0</v>
      </c>
      <c r="AD83" s="296">
        <f t="shared" si="40"/>
        <v>0</v>
      </c>
      <c r="AE83" s="296">
        <f t="shared" si="40"/>
        <v>0</v>
      </c>
      <c r="AF83" s="296">
        <f t="shared" si="40"/>
        <v>0</v>
      </c>
      <c r="AG83" s="296">
        <f t="shared" si="40"/>
        <v>0</v>
      </c>
      <c r="AH83" s="296">
        <f t="shared" si="40"/>
        <v>0</v>
      </c>
      <c r="AI83" s="296">
        <f t="shared" si="40"/>
        <v>0</v>
      </c>
      <c r="AJ83" s="297">
        <f t="shared" si="40"/>
        <v>0</v>
      </c>
    </row>
    <row r="84" spans="2:36" ht="20.100000000000001" hidden="1" customHeight="1" x14ac:dyDescent="0.2">
      <c r="B84" s="382"/>
      <c r="C84" s="293"/>
      <c r="D84" s="294"/>
      <c r="E84" s="295"/>
      <c r="F84" s="294"/>
      <c r="G84" s="298">
        <f t="shared" ref="G84:AJ84" si="41">IF(G83=0%,0,IF(G83&gt;=90%,5,IF(G83&gt;=70%,4,IF(G83&gt;=50%,3,IF(G83&gt;=20%,2,IF(G83=0%,1,IF(G83=0,"")))))))</f>
        <v>0</v>
      </c>
      <c r="H84" s="298">
        <f t="shared" si="41"/>
        <v>0</v>
      </c>
      <c r="I84" s="298">
        <f t="shared" si="41"/>
        <v>0</v>
      </c>
      <c r="J84" s="298">
        <f t="shared" si="41"/>
        <v>0</v>
      </c>
      <c r="K84" s="298">
        <f t="shared" si="41"/>
        <v>0</v>
      </c>
      <c r="L84" s="298">
        <f t="shared" si="41"/>
        <v>0</v>
      </c>
      <c r="M84" s="298">
        <f t="shared" si="41"/>
        <v>0</v>
      </c>
      <c r="N84" s="298">
        <f t="shared" si="41"/>
        <v>0</v>
      </c>
      <c r="O84" s="298">
        <f t="shared" si="41"/>
        <v>0</v>
      </c>
      <c r="P84" s="298">
        <f t="shared" si="41"/>
        <v>0</v>
      </c>
      <c r="Q84" s="298">
        <f t="shared" si="41"/>
        <v>0</v>
      </c>
      <c r="R84" s="298">
        <f t="shared" si="41"/>
        <v>0</v>
      </c>
      <c r="S84" s="298">
        <f t="shared" si="41"/>
        <v>0</v>
      </c>
      <c r="T84" s="298">
        <f t="shared" si="41"/>
        <v>0</v>
      </c>
      <c r="U84" s="298">
        <f t="shared" si="41"/>
        <v>0</v>
      </c>
      <c r="V84" s="298">
        <f t="shared" si="41"/>
        <v>0</v>
      </c>
      <c r="W84" s="298">
        <f t="shared" si="41"/>
        <v>0</v>
      </c>
      <c r="X84" s="298">
        <f t="shared" si="41"/>
        <v>0</v>
      </c>
      <c r="Y84" s="298">
        <f t="shared" si="41"/>
        <v>0</v>
      </c>
      <c r="Z84" s="298">
        <f t="shared" si="41"/>
        <v>0</v>
      </c>
      <c r="AA84" s="298">
        <f t="shared" si="41"/>
        <v>0</v>
      </c>
      <c r="AB84" s="298">
        <f t="shared" si="41"/>
        <v>0</v>
      </c>
      <c r="AC84" s="298">
        <f t="shared" si="41"/>
        <v>0</v>
      </c>
      <c r="AD84" s="298">
        <f t="shared" si="41"/>
        <v>0</v>
      </c>
      <c r="AE84" s="298">
        <f t="shared" si="41"/>
        <v>0</v>
      </c>
      <c r="AF84" s="298">
        <f t="shared" si="41"/>
        <v>0</v>
      </c>
      <c r="AG84" s="298">
        <f t="shared" si="41"/>
        <v>0</v>
      </c>
      <c r="AH84" s="298">
        <f t="shared" si="41"/>
        <v>0</v>
      </c>
      <c r="AI84" s="298">
        <f t="shared" si="41"/>
        <v>0</v>
      </c>
      <c r="AJ84" s="301">
        <f t="shared" si="41"/>
        <v>0</v>
      </c>
    </row>
    <row r="85" spans="2:36" ht="20.100000000000001" customHeight="1" x14ac:dyDescent="0.2">
      <c r="B85" s="382"/>
      <c r="C85" s="399" t="s">
        <v>39</v>
      </c>
      <c r="D85" s="400"/>
      <c r="E85" s="400"/>
      <c r="F85" s="400"/>
      <c r="G85" s="296" t="str">
        <f t="shared" ref="G85:AJ85" si="42">IF(G83="","",""&amp;IF(G83&gt;=90%,"MB",IF(G83&gt;=70%,"BOM",IF(G83&gt;=50%,"SUF",IF(G83&gt;=20%,"INS",IF(G83&gt;0%,"INS",IF(G83=0%,"")))))&amp;""))</f>
        <v/>
      </c>
      <c r="H85" s="296" t="str">
        <f t="shared" si="42"/>
        <v/>
      </c>
      <c r="I85" s="296" t="str">
        <f t="shared" si="42"/>
        <v/>
      </c>
      <c r="J85" s="296" t="str">
        <f t="shared" si="42"/>
        <v/>
      </c>
      <c r="K85" s="296" t="str">
        <f t="shared" si="42"/>
        <v/>
      </c>
      <c r="L85" s="296" t="str">
        <f t="shared" si="42"/>
        <v/>
      </c>
      <c r="M85" s="296" t="str">
        <f t="shared" si="42"/>
        <v/>
      </c>
      <c r="N85" s="296" t="str">
        <f t="shared" si="42"/>
        <v/>
      </c>
      <c r="O85" s="296" t="str">
        <f t="shared" si="42"/>
        <v/>
      </c>
      <c r="P85" s="296" t="str">
        <f t="shared" si="42"/>
        <v/>
      </c>
      <c r="Q85" s="296" t="str">
        <f t="shared" si="42"/>
        <v/>
      </c>
      <c r="R85" s="296" t="str">
        <f t="shared" si="42"/>
        <v/>
      </c>
      <c r="S85" s="296" t="str">
        <f t="shared" si="42"/>
        <v/>
      </c>
      <c r="T85" s="296" t="str">
        <f t="shared" si="42"/>
        <v/>
      </c>
      <c r="U85" s="296" t="str">
        <f t="shared" si="42"/>
        <v/>
      </c>
      <c r="V85" s="296" t="str">
        <f t="shared" si="42"/>
        <v/>
      </c>
      <c r="W85" s="296" t="str">
        <f t="shared" si="42"/>
        <v/>
      </c>
      <c r="X85" s="296" t="str">
        <f t="shared" si="42"/>
        <v/>
      </c>
      <c r="Y85" s="296" t="str">
        <f t="shared" si="42"/>
        <v/>
      </c>
      <c r="Z85" s="296" t="str">
        <f t="shared" si="42"/>
        <v/>
      </c>
      <c r="AA85" s="296" t="str">
        <f t="shared" si="42"/>
        <v/>
      </c>
      <c r="AB85" s="296" t="str">
        <f t="shared" si="42"/>
        <v/>
      </c>
      <c r="AC85" s="296" t="str">
        <f t="shared" si="42"/>
        <v/>
      </c>
      <c r="AD85" s="296" t="str">
        <f t="shared" si="42"/>
        <v/>
      </c>
      <c r="AE85" s="296" t="str">
        <f t="shared" si="42"/>
        <v/>
      </c>
      <c r="AF85" s="296" t="str">
        <f t="shared" si="42"/>
        <v/>
      </c>
      <c r="AG85" s="296" t="str">
        <f t="shared" si="42"/>
        <v/>
      </c>
      <c r="AH85" s="296" t="str">
        <f t="shared" si="42"/>
        <v/>
      </c>
      <c r="AI85" s="296" t="str">
        <f t="shared" si="42"/>
        <v/>
      </c>
      <c r="AJ85" s="297" t="str">
        <f t="shared" si="42"/>
        <v/>
      </c>
    </row>
    <row r="86" spans="2:36" ht="20.100000000000001" hidden="1" customHeight="1" x14ac:dyDescent="0.2">
      <c r="B86" s="382"/>
      <c r="C86" s="293"/>
      <c r="D86" s="294"/>
      <c r="E86" s="295"/>
      <c r="F86" s="294"/>
      <c r="G86" s="296">
        <f t="shared" ref="G86:AJ86" si="43">IFERROR(AVERAGE(G33),0)</f>
        <v>0</v>
      </c>
      <c r="H86" s="296">
        <f t="shared" si="43"/>
        <v>0</v>
      </c>
      <c r="I86" s="296">
        <f t="shared" si="43"/>
        <v>0</v>
      </c>
      <c r="J86" s="296">
        <f t="shared" si="43"/>
        <v>0</v>
      </c>
      <c r="K86" s="296">
        <f t="shared" si="43"/>
        <v>0</v>
      </c>
      <c r="L86" s="296">
        <f t="shared" si="43"/>
        <v>0</v>
      </c>
      <c r="M86" s="296">
        <f t="shared" si="43"/>
        <v>0</v>
      </c>
      <c r="N86" s="296">
        <f t="shared" si="43"/>
        <v>0</v>
      </c>
      <c r="O86" s="296">
        <f t="shared" si="43"/>
        <v>0</v>
      </c>
      <c r="P86" s="296">
        <f t="shared" si="43"/>
        <v>0</v>
      </c>
      <c r="Q86" s="296">
        <f t="shared" si="43"/>
        <v>0</v>
      </c>
      <c r="R86" s="296">
        <f t="shared" si="43"/>
        <v>0</v>
      </c>
      <c r="S86" s="296">
        <f t="shared" si="43"/>
        <v>0</v>
      </c>
      <c r="T86" s="296">
        <f t="shared" si="43"/>
        <v>0</v>
      </c>
      <c r="U86" s="296">
        <f t="shared" si="43"/>
        <v>0</v>
      </c>
      <c r="V86" s="296">
        <f t="shared" si="43"/>
        <v>0</v>
      </c>
      <c r="W86" s="296">
        <f t="shared" si="43"/>
        <v>0</v>
      </c>
      <c r="X86" s="296">
        <f t="shared" si="43"/>
        <v>0</v>
      </c>
      <c r="Y86" s="296">
        <f t="shared" si="43"/>
        <v>0</v>
      </c>
      <c r="Z86" s="296">
        <f t="shared" si="43"/>
        <v>0</v>
      </c>
      <c r="AA86" s="296">
        <f t="shared" si="43"/>
        <v>0</v>
      </c>
      <c r="AB86" s="296">
        <f t="shared" si="43"/>
        <v>0</v>
      </c>
      <c r="AC86" s="296">
        <f t="shared" si="43"/>
        <v>0</v>
      </c>
      <c r="AD86" s="296">
        <f t="shared" si="43"/>
        <v>0</v>
      </c>
      <c r="AE86" s="296">
        <f t="shared" si="43"/>
        <v>0</v>
      </c>
      <c r="AF86" s="296">
        <f t="shared" si="43"/>
        <v>0</v>
      </c>
      <c r="AG86" s="296">
        <f t="shared" si="43"/>
        <v>0</v>
      </c>
      <c r="AH86" s="296">
        <f t="shared" si="43"/>
        <v>0</v>
      </c>
      <c r="AI86" s="296">
        <f t="shared" si="43"/>
        <v>0</v>
      </c>
      <c r="AJ86" s="297">
        <f t="shared" si="43"/>
        <v>0</v>
      </c>
    </row>
    <row r="87" spans="2:36" ht="20.100000000000001" hidden="1" customHeight="1" x14ac:dyDescent="0.2">
      <c r="B87" s="382"/>
      <c r="C87" s="293"/>
      <c r="D87" s="294"/>
      <c r="E87" s="295"/>
      <c r="F87" s="294"/>
      <c r="G87" s="298">
        <f t="shared" ref="G87:AJ87" si="44">IF(G86=0%,0,IF(G86&gt;=90%,5,IF(G86&gt;=70%,4,IF(G86&gt;=50%,3,IF(G86&gt;=20%,2,IF(G86=0%,1,IF(G86=0,"")))))))</f>
        <v>0</v>
      </c>
      <c r="H87" s="298">
        <f t="shared" si="44"/>
        <v>0</v>
      </c>
      <c r="I87" s="298">
        <f t="shared" si="44"/>
        <v>0</v>
      </c>
      <c r="J87" s="298">
        <f t="shared" si="44"/>
        <v>0</v>
      </c>
      <c r="K87" s="298">
        <f t="shared" si="44"/>
        <v>0</v>
      </c>
      <c r="L87" s="298">
        <f t="shared" si="44"/>
        <v>0</v>
      </c>
      <c r="M87" s="298">
        <f t="shared" si="44"/>
        <v>0</v>
      </c>
      <c r="N87" s="298">
        <f t="shared" si="44"/>
        <v>0</v>
      </c>
      <c r="O87" s="298">
        <f t="shared" si="44"/>
        <v>0</v>
      </c>
      <c r="P87" s="298">
        <f t="shared" si="44"/>
        <v>0</v>
      </c>
      <c r="Q87" s="298">
        <f t="shared" si="44"/>
        <v>0</v>
      </c>
      <c r="R87" s="298">
        <f t="shared" si="44"/>
        <v>0</v>
      </c>
      <c r="S87" s="298">
        <f t="shared" si="44"/>
        <v>0</v>
      </c>
      <c r="T87" s="298">
        <f t="shared" si="44"/>
        <v>0</v>
      </c>
      <c r="U87" s="298">
        <f t="shared" si="44"/>
        <v>0</v>
      </c>
      <c r="V87" s="298">
        <f t="shared" si="44"/>
        <v>0</v>
      </c>
      <c r="W87" s="298">
        <f t="shared" si="44"/>
        <v>0</v>
      </c>
      <c r="X87" s="298">
        <f t="shared" si="44"/>
        <v>0</v>
      </c>
      <c r="Y87" s="298">
        <f t="shared" si="44"/>
        <v>0</v>
      </c>
      <c r="Z87" s="298">
        <f t="shared" si="44"/>
        <v>0</v>
      </c>
      <c r="AA87" s="298">
        <f t="shared" si="44"/>
        <v>0</v>
      </c>
      <c r="AB87" s="298">
        <f t="shared" si="44"/>
        <v>0</v>
      </c>
      <c r="AC87" s="298">
        <f t="shared" si="44"/>
        <v>0</v>
      </c>
      <c r="AD87" s="298">
        <f t="shared" si="44"/>
        <v>0</v>
      </c>
      <c r="AE87" s="298">
        <f t="shared" si="44"/>
        <v>0</v>
      </c>
      <c r="AF87" s="298">
        <f t="shared" si="44"/>
        <v>0</v>
      </c>
      <c r="AG87" s="298">
        <f t="shared" si="44"/>
        <v>0</v>
      </c>
      <c r="AH87" s="298">
        <f t="shared" si="44"/>
        <v>0</v>
      </c>
      <c r="AI87" s="298">
        <f t="shared" si="44"/>
        <v>0</v>
      </c>
      <c r="AJ87" s="301">
        <f t="shared" si="44"/>
        <v>0</v>
      </c>
    </row>
    <row r="88" spans="2:36" ht="20.100000000000001" customHeight="1" x14ac:dyDescent="0.2">
      <c r="B88" s="382"/>
      <c r="C88" s="399" t="s">
        <v>40</v>
      </c>
      <c r="D88" s="400"/>
      <c r="E88" s="400"/>
      <c r="F88" s="400"/>
      <c r="G88" s="296" t="str">
        <f t="shared" ref="G88:AJ88" si="45">IF(G86="","",""&amp;IF(G86&gt;=90%,"MB",IF(G86&gt;=70%,"BOM",IF(G86&gt;=50%,"SUF",IF(G86&gt;=20%,"INS",IF(G86&gt;0%,"INS",IF(G86=0%,"")))))&amp;""))</f>
        <v/>
      </c>
      <c r="H88" s="296" t="str">
        <f t="shared" si="45"/>
        <v/>
      </c>
      <c r="I88" s="296" t="str">
        <f t="shared" si="45"/>
        <v/>
      </c>
      <c r="J88" s="296" t="str">
        <f t="shared" si="45"/>
        <v/>
      </c>
      <c r="K88" s="296" t="str">
        <f t="shared" si="45"/>
        <v/>
      </c>
      <c r="L88" s="296" t="str">
        <f t="shared" si="45"/>
        <v/>
      </c>
      <c r="M88" s="296" t="str">
        <f t="shared" si="45"/>
        <v/>
      </c>
      <c r="N88" s="296" t="str">
        <f t="shared" si="45"/>
        <v/>
      </c>
      <c r="O88" s="296" t="str">
        <f t="shared" si="45"/>
        <v/>
      </c>
      <c r="P88" s="296" t="str">
        <f t="shared" si="45"/>
        <v/>
      </c>
      <c r="Q88" s="296" t="str">
        <f t="shared" si="45"/>
        <v/>
      </c>
      <c r="R88" s="296" t="str">
        <f t="shared" si="45"/>
        <v/>
      </c>
      <c r="S88" s="296" t="str">
        <f t="shared" si="45"/>
        <v/>
      </c>
      <c r="T88" s="296" t="str">
        <f t="shared" si="45"/>
        <v/>
      </c>
      <c r="U88" s="296" t="str">
        <f t="shared" si="45"/>
        <v/>
      </c>
      <c r="V88" s="296" t="str">
        <f t="shared" si="45"/>
        <v/>
      </c>
      <c r="W88" s="296" t="str">
        <f t="shared" si="45"/>
        <v/>
      </c>
      <c r="X88" s="296" t="str">
        <f t="shared" si="45"/>
        <v/>
      </c>
      <c r="Y88" s="296" t="str">
        <f t="shared" si="45"/>
        <v/>
      </c>
      <c r="Z88" s="296" t="str">
        <f t="shared" si="45"/>
        <v/>
      </c>
      <c r="AA88" s="296" t="str">
        <f t="shared" si="45"/>
        <v/>
      </c>
      <c r="AB88" s="296" t="str">
        <f t="shared" si="45"/>
        <v/>
      </c>
      <c r="AC88" s="296" t="str">
        <f t="shared" si="45"/>
        <v/>
      </c>
      <c r="AD88" s="296" t="str">
        <f t="shared" si="45"/>
        <v/>
      </c>
      <c r="AE88" s="296" t="str">
        <f t="shared" si="45"/>
        <v/>
      </c>
      <c r="AF88" s="296" t="str">
        <f t="shared" si="45"/>
        <v/>
      </c>
      <c r="AG88" s="296" t="str">
        <f t="shared" si="45"/>
        <v/>
      </c>
      <c r="AH88" s="296" t="str">
        <f t="shared" si="45"/>
        <v/>
      </c>
      <c r="AI88" s="296" t="str">
        <f t="shared" si="45"/>
        <v/>
      </c>
      <c r="AJ88" s="297" t="str">
        <f t="shared" si="45"/>
        <v/>
      </c>
    </row>
    <row r="89" spans="2:36" ht="20.100000000000001" hidden="1" customHeight="1" x14ac:dyDescent="0.2">
      <c r="B89" s="382"/>
      <c r="C89" s="293"/>
      <c r="D89" s="294"/>
      <c r="E89" s="295"/>
      <c r="F89" s="294"/>
      <c r="G89" s="296">
        <f t="shared" ref="G89:AJ89" si="46">IFERROR(AVERAGE(G55),0)</f>
        <v>0</v>
      </c>
      <c r="H89" s="296">
        <f t="shared" si="46"/>
        <v>0</v>
      </c>
      <c r="I89" s="296">
        <f t="shared" si="46"/>
        <v>0</v>
      </c>
      <c r="J89" s="296">
        <f t="shared" si="46"/>
        <v>0</v>
      </c>
      <c r="K89" s="296">
        <f t="shared" si="46"/>
        <v>0</v>
      </c>
      <c r="L89" s="296">
        <f t="shared" si="46"/>
        <v>0</v>
      </c>
      <c r="M89" s="296">
        <f t="shared" si="46"/>
        <v>0</v>
      </c>
      <c r="N89" s="296">
        <f t="shared" si="46"/>
        <v>0</v>
      </c>
      <c r="O89" s="296">
        <f t="shared" si="46"/>
        <v>0</v>
      </c>
      <c r="P89" s="296">
        <f t="shared" si="46"/>
        <v>0</v>
      </c>
      <c r="Q89" s="296">
        <f t="shared" si="46"/>
        <v>0</v>
      </c>
      <c r="R89" s="296">
        <f t="shared" si="46"/>
        <v>0</v>
      </c>
      <c r="S89" s="296">
        <f t="shared" si="46"/>
        <v>0</v>
      </c>
      <c r="T89" s="296">
        <f t="shared" si="46"/>
        <v>0</v>
      </c>
      <c r="U89" s="296">
        <f t="shared" si="46"/>
        <v>0</v>
      </c>
      <c r="V89" s="296">
        <f t="shared" si="46"/>
        <v>0</v>
      </c>
      <c r="W89" s="296">
        <f t="shared" si="46"/>
        <v>0</v>
      </c>
      <c r="X89" s="296">
        <f t="shared" si="46"/>
        <v>0</v>
      </c>
      <c r="Y89" s="296">
        <f t="shared" si="46"/>
        <v>0</v>
      </c>
      <c r="Z89" s="296">
        <f t="shared" si="46"/>
        <v>0</v>
      </c>
      <c r="AA89" s="296">
        <f t="shared" si="46"/>
        <v>0</v>
      </c>
      <c r="AB89" s="296">
        <f t="shared" si="46"/>
        <v>0</v>
      </c>
      <c r="AC89" s="296">
        <f t="shared" si="46"/>
        <v>0</v>
      </c>
      <c r="AD89" s="296">
        <f t="shared" si="46"/>
        <v>0</v>
      </c>
      <c r="AE89" s="296">
        <f t="shared" si="46"/>
        <v>0</v>
      </c>
      <c r="AF89" s="296">
        <f t="shared" si="46"/>
        <v>0</v>
      </c>
      <c r="AG89" s="296">
        <f t="shared" si="46"/>
        <v>0</v>
      </c>
      <c r="AH89" s="296">
        <f t="shared" si="46"/>
        <v>0</v>
      </c>
      <c r="AI89" s="296">
        <f t="shared" si="46"/>
        <v>0</v>
      </c>
      <c r="AJ89" s="297">
        <f t="shared" si="46"/>
        <v>0</v>
      </c>
    </row>
    <row r="90" spans="2:36" ht="20.100000000000001" hidden="1" customHeight="1" x14ac:dyDescent="0.2">
      <c r="B90" s="382"/>
      <c r="C90" s="293"/>
      <c r="D90" s="294"/>
      <c r="E90" s="295"/>
      <c r="F90" s="294"/>
      <c r="G90" s="298">
        <f t="shared" ref="G90:AJ90" si="47">IF(G89=0%,0,IF(G89&gt;=90%,5,IF(G89&gt;=70%,4,IF(G89&gt;=50%,3,IF(G89&gt;=20%,2,IF(G89=0%,1,IF(G89=0,"")))))))</f>
        <v>0</v>
      </c>
      <c r="H90" s="298">
        <f t="shared" si="47"/>
        <v>0</v>
      </c>
      <c r="I90" s="298">
        <f t="shared" si="47"/>
        <v>0</v>
      </c>
      <c r="J90" s="298">
        <f t="shared" si="47"/>
        <v>0</v>
      </c>
      <c r="K90" s="298">
        <f t="shared" si="47"/>
        <v>0</v>
      </c>
      <c r="L90" s="298">
        <f t="shared" si="47"/>
        <v>0</v>
      </c>
      <c r="M90" s="298">
        <f t="shared" si="47"/>
        <v>0</v>
      </c>
      <c r="N90" s="298">
        <f t="shared" si="47"/>
        <v>0</v>
      </c>
      <c r="O90" s="298">
        <f t="shared" si="47"/>
        <v>0</v>
      </c>
      <c r="P90" s="298">
        <f t="shared" si="47"/>
        <v>0</v>
      </c>
      <c r="Q90" s="298">
        <f t="shared" si="47"/>
        <v>0</v>
      </c>
      <c r="R90" s="298">
        <f t="shared" si="47"/>
        <v>0</v>
      </c>
      <c r="S90" s="298">
        <f t="shared" si="47"/>
        <v>0</v>
      </c>
      <c r="T90" s="298">
        <f t="shared" si="47"/>
        <v>0</v>
      </c>
      <c r="U90" s="298">
        <f t="shared" si="47"/>
        <v>0</v>
      </c>
      <c r="V90" s="298">
        <f t="shared" si="47"/>
        <v>0</v>
      </c>
      <c r="W90" s="298">
        <f t="shared" si="47"/>
        <v>0</v>
      </c>
      <c r="X90" s="298">
        <f t="shared" si="47"/>
        <v>0</v>
      </c>
      <c r="Y90" s="298">
        <f t="shared" si="47"/>
        <v>0</v>
      </c>
      <c r="Z90" s="298">
        <f t="shared" si="47"/>
        <v>0</v>
      </c>
      <c r="AA90" s="298">
        <f t="shared" si="47"/>
        <v>0</v>
      </c>
      <c r="AB90" s="298">
        <f t="shared" si="47"/>
        <v>0</v>
      </c>
      <c r="AC90" s="298">
        <f t="shared" si="47"/>
        <v>0</v>
      </c>
      <c r="AD90" s="298">
        <f t="shared" si="47"/>
        <v>0</v>
      </c>
      <c r="AE90" s="298">
        <f t="shared" si="47"/>
        <v>0</v>
      </c>
      <c r="AF90" s="298">
        <f t="shared" si="47"/>
        <v>0</v>
      </c>
      <c r="AG90" s="298">
        <f t="shared" si="47"/>
        <v>0</v>
      </c>
      <c r="AH90" s="298">
        <f t="shared" si="47"/>
        <v>0</v>
      </c>
      <c r="AI90" s="298">
        <f t="shared" si="47"/>
        <v>0</v>
      </c>
      <c r="AJ90" s="301">
        <f t="shared" si="47"/>
        <v>0</v>
      </c>
    </row>
    <row r="91" spans="2:36" ht="20.100000000000001" customHeight="1" x14ac:dyDescent="0.2">
      <c r="B91" s="382"/>
      <c r="C91" s="416" t="s">
        <v>41</v>
      </c>
      <c r="D91" s="416"/>
      <c r="E91" s="416"/>
      <c r="F91" s="399"/>
      <c r="G91" s="296" t="str">
        <f t="shared" ref="G91:AJ91" si="48">IF(G89="","",""&amp;IF(G89&gt;=90%,"MB",IF(G89&gt;=70%,"BOM",IF(G89&gt;=50%,"SUF",IF(G89&gt;=20%,"INS",IF(G89&gt;0%,"INS",IF(G89=0%,"")))))&amp;""))</f>
        <v/>
      </c>
      <c r="H91" s="296" t="str">
        <f t="shared" si="48"/>
        <v/>
      </c>
      <c r="I91" s="296" t="str">
        <f t="shared" si="48"/>
        <v/>
      </c>
      <c r="J91" s="296" t="str">
        <f t="shared" si="48"/>
        <v/>
      </c>
      <c r="K91" s="296" t="str">
        <f t="shared" si="48"/>
        <v/>
      </c>
      <c r="L91" s="296" t="str">
        <f t="shared" si="48"/>
        <v/>
      </c>
      <c r="M91" s="296" t="str">
        <f t="shared" si="48"/>
        <v/>
      </c>
      <c r="N91" s="296" t="str">
        <f t="shared" si="48"/>
        <v/>
      </c>
      <c r="O91" s="296" t="str">
        <f t="shared" si="48"/>
        <v/>
      </c>
      <c r="P91" s="296" t="str">
        <f t="shared" si="48"/>
        <v/>
      </c>
      <c r="Q91" s="296" t="str">
        <f t="shared" si="48"/>
        <v/>
      </c>
      <c r="R91" s="296" t="str">
        <f t="shared" si="48"/>
        <v/>
      </c>
      <c r="S91" s="296" t="str">
        <f t="shared" si="48"/>
        <v/>
      </c>
      <c r="T91" s="296" t="str">
        <f t="shared" si="48"/>
        <v/>
      </c>
      <c r="U91" s="296" t="str">
        <f t="shared" si="48"/>
        <v/>
      </c>
      <c r="V91" s="296" t="str">
        <f t="shared" si="48"/>
        <v/>
      </c>
      <c r="W91" s="296" t="str">
        <f t="shared" si="48"/>
        <v/>
      </c>
      <c r="X91" s="296" t="str">
        <f t="shared" si="48"/>
        <v/>
      </c>
      <c r="Y91" s="296" t="str">
        <f t="shared" si="48"/>
        <v/>
      </c>
      <c r="Z91" s="296" t="str">
        <f t="shared" si="48"/>
        <v/>
      </c>
      <c r="AA91" s="296" t="str">
        <f t="shared" si="48"/>
        <v/>
      </c>
      <c r="AB91" s="296" t="str">
        <f t="shared" si="48"/>
        <v/>
      </c>
      <c r="AC91" s="296" t="str">
        <f t="shared" si="48"/>
        <v/>
      </c>
      <c r="AD91" s="296" t="str">
        <f t="shared" si="48"/>
        <v/>
      </c>
      <c r="AE91" s="296" t="str">
        <f t="shared" si="48"/>
        <v/>
      </c>
      <c r="AF91" s="296" t="str">
        <f t="shared" si="48"/>
        <v/>
      </c>
      <c r="AG91" s="296" t="str">
        <f t="shared" si="48"/>
        <v/>
      </c>
      <c r="AH91" s="296" t="str">
        <f t="shared" si="48"/>
        <v/>
      </c>
      <c r="AI91" s="296" t="str">
        <f t="shared" si="48"/>
        <v/>
      </c>
      <c r="AJ91" s="297" t="str">
        <f t="shared" si="48"/>
        <v/>
      </c>
    </row>
    <row r="92" spans="2:36" ht="20.100000000000001" hidden="1" customHeight="1" x14ac:dyDescent="0.2">
      <c r="B92" s="382"/>
      <c r="C92" s="293"/>
      <c r="D92" s="294"/>
      <c r="E92" s="295"/>
      <c r="F92" s="294"/>
      <c r="G92" s="296">
        <f t="shared" ref="G92:AJ92" si="49">IFERROR(AVERAGE(G65,G32),0)</f>
        <v>0</v>
      </c>
      <c r="H92" s="296">
        <f t="shared" si="49"/>
        <v>0</v>
      </c>
      <c r="I92" s="296">
        <f t="shared" si="49"/>
        <v>0</v>
      </c>
      <c r="J92" s="296">
        <f t="shared" si="49"/>
        <v>0</v>
      </c>
      <c r="K92" s="296">
        <f t="shared" si="49"/>
        <v>0</v>
      </c>
      <c r="L92" s="296">
        <f t="shared" si="49"/>
        <v>0</v>
      </c>
      <c r="M92" s="296">
        <f t="shared" si="49"/>
        <v>0</v>
      </c>
      <c r="N92" s="296">
        <f t="shared" si="49"/>
        <v>0</v>
      </c>
      <c r="O92" s="296">
        <f t="shared" si="49"/>
        <v>0</v>
      </c>
      <c r="P92" s="296">
        <f t="shared" si="49"/>
        <v>0</v>
      </c>
      <c r="Q92" s="296">
        <f t="shared" si="49"/>
        <v>0</v>
      </c>
      <c r="R92" s="296">
        <f t="shared" si="49"/>
        <v>0</v>
      </c>
      <c r="S92" s="296">
        <f t="shared" si="49"/>
        <v>0</v>
      </c>
      <c r="T92" s="296">
        <f t="shared" si="49"/>
        <v>0</v>
      </c>
      <c r="U92" s="296">
        <f t="shared" si="49"/>
        <v>0</v>
      </c>
      <c r="V92" s="296">
        <f t="shared" si="49"/>
        <v>0</v>
      </c>
      <c r="W92" s="296">
        <f t="shared" si="49"/>
        <v>0</v>
      </c>
      <c r="X92" s="296">
        <f t="shared" si="49"/>
        <v>0</v>
      </c>
      <c r="Y92" s="296">
        <f t="shared" si="49"/>
        <v>0</v>
      </c>
      <c r="Z92" s="296">
        <f t="shared" si="49"/>
        <v>0</v>
      </c>
      <c r="AA92" s="296">
        <f t="shared" si="49"/>
        <v>0</v>
      </c>
      <c r="AB92" s="296">
        <f t="shared" si="49"/>
        <v>0</v>
      </c>
      <c r="AC92" s="296">
        <f t="shared" si="49"/>
        <v>0</v>
      </c>
      <c r="AD92" s="296">
        <f t="shared" si="49"/>
        <v>0</v>
      </c>
      <c r="AE92" s="296">
        <f t="shared" si="49"/>
        <v>0</v>
      </c>
      <c r="AF92" s="296">
        <f t="shared" si="49"/>
        <v>0</v>
      </c>
      <c r="AG92" s="296">
        <f t="shared" si="49"/>
        <v>0</v>
      </c>
      <c r="AH92" s="296">
        <f t="shared" si="49"/>
        <v>0</v>
      </c>
      <c r="AI92" s="296">
        <f t="shared" si="49"/>
        <v>0</v>
      </c>
      <c r="AJ92" s="297">
        <f t="shared" si="49"/>
        <v>0</v>
      </c>
    </row>
    <row r="93" spans="2:36" ht="20.100000000000001" hidden="1" customHeight="1" x14ac:dyDescent="0.2">
      <c r="B93" s="382"/>
      <c r="C93" s="293"/>
      <c r="D93" s="294"/>
      <c r="E93" s="295"/>
      <c r="F93" s="294"/>
      <c r="G93" s="298">
        <f t="shared" ref="G93:AJ93" si="50">IF(G92=0%,0,IF(G92&gt;=90%,5,IF(G92&gt;=70%,4,IF(G92&gt;=50%,3,IF(G92&gt;=20%,2,IF(G92=0%,1,IF(G92=0,"")))))))</f>
        <v>0</v>
      </c>
      <c r="H93" s="298">
        <f t="shared" si="50"/>
        <v>0</v>
      </c>
      <c r="I93" s="298">
        <f t="shared" si="50"/>
        <v>0</v>
      </c>
      <c r="J93" s="298">
        <f t="shared" si="50"/>
        <v>0</v>
      </c>
      <c r="K93" s="298">
        <f t="shared" si="50"/>
        <v>0</v>
      </c>
      <c r="L93" s="298">
        <f t="shared" si="50"/>
        <v>0</v>
      </c>
      <c r="M93" s="298">
        <f t="shared" si="50"/>
        <v>0</v>
      </c>
      <c r="N93" s="298">
        <f t="shared" si="50"/>
        <v>0</v>
      </c>
      <c r="O93" s="298">
        <f t="shared" si="50"/>
        <v>0</v>
      </c>
      <c r="P93" s="298">
        <f t="shared" si="50"/>
        <v>0</v>
      </c>
      <c r="Q93" s="298">
        <f t="shared" si="50"/>
        <v>0</v>
      </c>
      <c r="R93" s="298">
        <f t="shared" si="50"/>
        <v>0</v>
      </c>
      <c r="S93" s="298">
        <f t="shared" si="50"/>
        <v>0</v>
      </c>
      <c r="T93" s="298">
        <f t="shared" si="50"/>
        <v>0</v>
      </c>
      <c r="U93" s="298">
        <f t="shared" si="50"/>
        <v>0</v>
      </c>
      <c r="V93" s="298">
        <f t="shared" si="50"/>
        <v>0</v>
      </c>
      <c r="W93" s="298">
        <f t="shared" si="50"/>
        <v>0</v>
      </c>
      <c r="X93" s="298">
        <f t="shared" si="50"/>
        <v>0</v>
      </c>
      <c r="Y93" s="298">
        <f t="shared" si="50"/>
        <v>0</v>
      </c>
      <c r="Z93" s="298">
        <f t="shared" si="50"/>
        <v>0</v>
      </c>
      <c r="AA93" s="298">
        <f t="shared" si="50"/>
        <v>0</v>
      </c>
      <c r="AB93" s="298">
        <f t="shared" si="50"/>
        <v>0</v>
      </c>
      <c r="AC93" s="298">
        <f t="shared" si="50"/>
        <v>0</v>
      </c>
      <c r="AD93" s="298">
        <f t="shared" si="50"/>
        <v>0</v>
      </c>
      <c r="AE93" s="298">
        <f t="shared" si="50"/>
        <v>0</v>
      </c>
      <c r="AF93" s="298">
        <f t="shared" si="50"/>
        <v>0</v>
      </c>
      <c r="AG93" s="298">
        <f t="shared" si="50"/>
        <v>0</v>
      </c>
      <c r="AH93" s="298">
        <f t="shared" si="50"/>
        <v>0</v>
      </c>
      <c r="AI93" s="298">
        <f t="shared" si="50"/>
        <v>0</v>
      </c>
      <c r="AJ93" s="301">
        <f t="shared" si="50"/>
        <v>0</v>
      </c>
    </row>
    <row r="94" spans="2:36" ht="20.100000000000001" customHeight="1" x14ac:dyDescent="0.2">
      <c r="B94" s="382"/>
      <c r="C94" s="417" t="s">
        <v>83</v>
      </c>
      <c r="D94" s="418"/>
      <c r="E94" s="294"/>
      <c r="F94" s="222"/>
      <c r="G94" s="296" t="str">
        <f t="shared" ref="G94:AJ94" si="51">IF(G92="","",""&amp;IF(G92&gt;=90%,"MB",IF(G92&gt;=70%,"BOM",IF(G92&gt;=50%,"SUF",IF(G92&gt;=20%,"INS",IF(G92&gt;0%,"INS",IF(G92=0%,"")))))&amp;""))</f>
        <v/>
      </c>
      <c r="H94" s="296" t="str">
        <f t="shared" si="51"/>
        <v/>
      </c>
      <c r="I94" s="296" t="str">
        <f t="shared" si="51"/>
        <v/>
      </c>
      <c r="J94" s="296" t="str">
        <f t="shared" si="51"/>
        <v/>
      </c>
      <c r="K94" s="296" t="str">
        <f t="shared" si="51"/>
        <v/>
      </c>
      <c r="L94" s="296" t="str">
        <f t="shared" si="51"/>
        <v/>
      </c>
      <c r="M94" s="296" t="str">
        <f t="shared" si="51"/>
        <v/>
      </c>
      <c r="N94" s="296" t="str">
        <f t="shared" si="51"/>
        <v/>
      </c>
      <c r="O94" s="296" t="str">
        <f t="shared" si="51"/>
        <v/>
      </c>
      <c r="P94" s="296" t="str">
        <f t="shared" si="51"/>
        <v/>
      </c>
      <c r="Q94" s="296" t="str">
        <f t="shared" si="51"/>
        <v/>
      </c>
      <c r="R94" s="296" t="str">
        <f t="shared" si="51"/>
        <v/>
      </c>
      <c r="S94" s="296" t="str">
        <f t="shared" si="51"/>
        <v/>
      </c>
      <c r="T94" s="296" t="str">
        <f t="shared" si="51"/>
        <v/>
      </c>
      <c r="U94" s="296" t="str">
        <f t="shared" si="51"/>
        <v/>
      </c>
      <c r="V94" s="296" t="str">
        <f t="shared" si="51"/>
        <v/>
      </c>
      <c r="W94" s="296" t="str">
        <f t="shared" si="51"/>
        <v/>
      </c>
      <c r="X94" s="296" t="str">
        <f t="shared" si="51"/>
        <v/>
      </c>
      <c r="Y94" s="296" t="str">
        <f t="shared" si="51"/>
        <v/>
      </c>
      <c r="Z94" s="296" t="str">
        <f t="shared" si="51"/>
        <v/>
      </c>
      <c r="AA94" s="296" t="str">
        <f t="shared" si="51"/>
        <v/>
      </c>
      <c r="AB94" s="296" t="str">
        <f t="shared" si="51"/>
        <v/>
      </c>
      <c r="AC94" s="296" t="str">
        <f t="shared" si="51"/>
        <v/>
      </c>
      <c r="AD94" s="296" t="str">
        <f t="shared" si="51"/>
        <v/>
      </c>
      <c r="AE94" s="296" t="str">
        <f t="shared" si="51"/>
        <v/>
      </c>
      <c r="AF94" s="296" t="str">
        <f t="shared" si="51"/>
        <v/>
      </c>
      <c r="AG94" s="296" t="str">
        <f t="shared" si="51"/>
        <v/>
      </c>
      <c r="AH94" s="296" t="str">
        <f t="shared" si="51"/>
        <v/>
      </c>
      <c r="AI94" s="296" t="str">
        <f t="shared" si="51"/>
        <v/>
      </c>
      <c r="AJ94" s="297" t="str">
        <f t="shared" si="51"/>
        <v/>
      </c>
    </row>
    <row r="95" spans="2:36" ht="20.100000000000001" hidden="1" customHeight="1" x14ac:dyDescent="0.2">
      <c r="B95" s="382"/>
      <c r="C95" s="258"/>
      <c r="D95" s="201"/>
      <c r="E95" s="202"/>
      <c r="F95" s="12"/>
      <c r="G95" s="243"/>
      <c r="H95" s="243"/>
      <c r="I95" s="243"/>
      <c r="J95" s="243"/>
      <c r="K95" s="243"/>
      <c r="L95" s="243"/>
      <c r="M95" s="243"/>
      <c r="N95" s="243"/>
      <c r="O95" s="243"/>
      <c r="P95" s="243"/>
      <c r="Q95" s="243"/>
      <c r="R95" s="243"/>
      <c r="S95" s="243"/>
      <c r="T95" s="243"/>
      <c r="U95" s="243"/>
      <c r="V95" s="243"/>
      <c r="W95" s="243"/>
      <c r="X95" s="243"/>
      <c r="Y95" s="243"/>
      <c r="Z95" s="243"/>
      <c r="AA95" s="243"/>
      <c r="AB95" s="243"/>
      <c r="AC95" s="243"/>
      <c r="AD95" s="243"/>
      <c r="AE95" s="243"/>
      <c r="AF95" s="243"/>
      <c r="AG95" s="243"/>
      <c r="AH95" s="243"/>
      <c r="AI95" s="243"/>
      <c r="AJ95" s="266"/>
    </row>
    <row r="96" spans="2:36" ht="30" customHeight="1" thickBot="1" x14ac:dyDescent="0.25">
      <c r="B96" s="383"/>
      <c r="C96" s="411" t="s">
        <v>61</v>
      </c>
      <c r="D96" s="412"/>
      <c r="E96" s="221"/>
      <c r="F96" s="227"/>
      <c r="G96" s="306">
        <f>AVERAGE(G72,G75,G78,G81,G84,G87,G90,G93)</f>
        <v>0</v>
      </c>
      <c r="H96" s="306">
        <f t="shared" ref="H96:AJ96" si="52">AVERAGE(H72,H75,H78,H81,H84,H87,H90,H93)</f>
        <v>0</v>
      </c>
      <c r="I96" s="306">
        <f t="shared" si="52"/>
        <v>0</v>
      </c>
      <c r="J96" s="306">
        <f t="shared" si="52"/>
        <v>0</v>
      </c>
      <c r="K96" s="306">
        <f t="shared" si="52"/>
        <v>0</v>
      </c>
      <c r="L96" s="306">
        <f t="shared" si="52"/>
        <v>0</v>
      </c>
      <c r="M96" s="306">
        <f t="shared" si="52"/>
        <v>0</v>
      </c>
      <c r="N96" s="306">
        <f t="shared" si="52"/>
        <v>0</v>
      </c>
      <c r="O96" s="306">
        <f t="shared" si="52"/>
        <v>0</v>
      </c>
      <c r="P96" s="306">
        <f t="shared" si="52"/>
        <v>0</v>
      </c>
      <c r="Q96" s="306">
        <f t="shared" si="52"/>
        <v>0</v>
      </c>
      <c r="R96" s="306">
        <f t="shared" si="52"/>
        <v>0</v>
      </c>
      <c r="S96" s="306">
        <f t="shared" si="52"/>
        <v>0</v>
      </c>
      <c r="T96" s="306">
        <f t="shared" si="52"/>
        <v>0</v>
      </c>
      <c r="U96" s="306">
        <f t="shared" si="52"/>
        <v>0</v>
      </c>
      <c r="V96" s="306">
        <f t="shared" si="52"/>
        <v>0</v>
      </c>
      <c r="W96" s="306">
        <f t="shared" si="52"/>
        <v>0</v>
      </c>
      <c r="X96" s="306">
        <f t="shared" si="52"/>
        <v>0</v>
      </c>
      <c r="Y96" s="306">
        <f t="shared" si="52"/>
        <v>0</v>
      </c>
      <c r="Z96" s="306">
        <f t="shared" si="52"/>
        <v>0</v>
      </c>
      <c r="AA96" s="306">
        <f t="shared" si="52"/>
        <v>0</v>
      </c>
      <c r="AB96" s="306">
        <f t="shared" si="52"/>
        <v>0</v>
      </c>
      <c r="AC96" s="306">
        <f t="shared" si="52"/>
        <v>0</v>
      </c>
      <c r="AD96" s="306">
        <f t="shared" si="52"/>
        <v>0</v>
      </c>
      <c r="AE96" s="306">
        <f t="shared" si="52"/>
        <v>0</v>
      </c>
      <c r="AF96" s="306">
        <f t="shared" si="52"/>
        <v>0</v>
      </c>
      <c r="AG96" s="306">
        <f t="shared" si="52"/>
        <v>0</v>
      </c>
      <c r="AH96" s="306">
        <f t="shared" si="52"/>
        <v>0</v>
      </c>
      <c r="AI96" s="306">
        <f t="shared" si="52"/>
        <v>0</v>
      </c>
      <c r="AJ96" s="306">
        <f t="shared" si="52"/>
        <v>0</v>
      </c>
    </row>
    <row r="97" spans="1:44" ht="5.0999999999999996" customHeight="1" thickBot="1" x14ac:dyDescent="0.25">
      <c r="B97" s="47"/>
      <c r="C97" s="259"/>
      <c r="D97" s="48"/>
      <c r="E97" s="48"/>
      <c r="F97" s="48"/>
      <c r="G97" s="244"/>
      <c r="H97" s="244"/>
      <c r="I97" s="244"/>
      <c r="J97" s="244"/>
      <c r="K97" s="244"/>
      <c r="L97" s="244"/>
      <c r="M97" s="244"/>
      <c r="N97" s="244"/>
      <c r="O97" s="244"/>
      <c r="P97" s="244"/>
      <c r="Q97" s="244"/>
      <c r="R97" s="244"/>
      <c r="S97" s="244"/>
      <c r="T97" s="244"/>
      <c r="U97" s="244"/>
      <c r="V97" s="244"/>
      <c r="W97" s="244"/>
      <c r="X97" s="244"/>
      <c r="Y97" s="244"/>
      <c r="Z97" s="244"/>
      <c r="AA97" s="244"/>
      <c r="AB97" s="244"/>
      <c r="AC97" s="244"/>
      <c r="AD97" s="244"/>
      <c r="AE97" s="244"/>
      <c r="AF97" s="244"/>
      <c r="AG97" s="244"/>
      <c r="AH97" s="244"/>
      <c r="AI97" s="244"/>
      <c r="AJ97" s="244"/>
    </row>
    <row r="98" spans="1:44" ht="20.100000000000001" customHeight="1" x14ac:dyDescent="0.2">
      <c r="B98" s="376" t="s">
        <v>42</v>
      </c>
      <c r="C98" s="380" t="s">
        <v>43</v>
      </c>
      <c r="D98" s="380"/>
      <c r="E98" s="380"/>
      <c r="F98" s="380"/>
      <c r="G98" s="277" t="s">
        <v>10</v>
      </c>
      <c r="H98" s="277"/>
      <c r="I98" s="277"/>
      <c r="J98" s="277"/>
      <c r="K98" s="277"/>
      <c r="L98" s="277"/>
      <c r="M98" s="278"/>
      <c r="N98" s="278"/>
      <c r="O98" s="278"/>
      <c r="P98" s="278"/>
      <c r="Q98" s="278"/>
      <c r="R98" s="278"/>
      <c r="S98" s="278"/>
      <c r="T98" s="278"/>
      <c r="U98" s="278"/>
      <c r="V98" s="278"/>
      <c r="W98" s="278"/>
      <c r="X98" s="278"/>
      <c r="Y98" s="278"/>
      <c r="Z98" s="278"/>
      <c r="AA98" s="278"/>
      <c r="AB98" s="278"/>
      <c r="AC98" s="278"/>
      <c r="AD98" s="278"/>
      <c r="AE98" s="278"/>
      <c r="AF98" s="278"/>
      <c r="AG98" s="278"/>
      <c r="AH98" s="278"/>
      <c r="AI98" s="278"/>
      <c r="AJ98" s="279"/>
    </row>
    <row r="99" spans="1:44" s="12" customFormat="1" ht="20.100000000000001" customHeight="1" x14ac:dyDescent="0.2">
      <c r="A99" s="8"/>
      <c r="B99" s="377"/>
      <c r="C99" s="379" t="s">
        <v>44</v>
      </c>
      <c r="D99" s="379"/>
      <c r="E99" s="379"/>
      <c r="F99" s="379"/>
      <c r="G99" s="280" t="s">
        <v>63</v>
      </c>
      <c r="H99" s="280"/>
      <c r="I99" s="280"/>
      <c r="J99" s="280"/>
      <c r="K99" s="280"/>
      <c r="L99" s="280"/>
      <c r="M99" s="281"/>
      <c r="N99" s="281"/>
      <c r="O99" s="281"/>
      <c r="P99" s="281"/>
      <c r="Q99" s="281"/>
      <c r="R99" s="281"/>
      <c r="S99" s="281"/>
      <c r="T99" s="281"/>
      <c r="U99" s="281"/>
      <c r="V99" s="281"/>
      <c r="W99" s="281"/>
      <c r="X99" s="281"/>
      <c r="Y99" s="281"/>
      <c r="Z99" s="281"/>
      <c r="AA99" s="281"/>
      <c r="AB99" s="281"/>
      <c r="AC99" s="281"/>
      <c r="AD99" s="281"/>
      <c r="AE99" s="281"/>
      <c r="AF99" s="281"/>
      <c r="AG99" s="281"/>
      <c r="AH99" s="281"/>
      <c r="AI99" s="281"/>
      <c r="AJ99" s="273"/>
      <c r="AK99" s="8"/>
      <c r="AM99" s="8"/>
      <c r="AN99" s="8"/>
      <c r="AO99" s="8"/>
      <c r="AP99" s="8"/>
      <c r="AQ99" s="8"/>
      <c r="AR99" s="8"/>
    </row>
    <row r="100" spans="1:44" s="12" customFormat="1" ht="20.100000000000001" customHeight="1" thickBot="1" x14ac:dyDescent="0.25">
      <c r="A100" s="8"/>
      <c r="B100" s="378"/>
      <c r="C100" s="413" t="s">
        <v>45</v>
      </c>
      <c r="D100" s="413"/>
      <c r="E100" s="413"/>
      <c r="F100" s="413"/>
      <c r="G100" s="282" t="s">
        <v>64</v>
      </c>
      <c r="H100" s="282"/>
      <c r="I100" s="282"/>
      <c r="J100" s="282"/>
      <c r="K100" s="282"/>
      <c r="L100" s="282"/>
      <c r="M100" s="283"/>
      <c r="N100" s="283"/>
      <c r="O100" s="283"/>
      <c r="P100" s="283"/>
      <c r="Q100" s="283"/>
      <c r="R100" s="283"/>
      <c r="S100" s="283"/>
      <c r="T100" s="283"/>
      <c r="U100" s="283"/>
      <c r="V100" s="283"/>
      <c r="W100" s="283"/>
      <c r="X100" s="283"/>
      <c r="Y100" s="283"/>
      <c r="Z100" s="283"/>
      <c r="AA100" s="283"/>
      <c r="AB100" s="283"/>
      <c r="AC100" s="283"/>
      <c r="AD100" s="283"/>
      <c r="AE100" s="283"/>
      <c r="AF100" s="283"/>
      <c r="AG100" s="283"/>
      <c r="AH100" s="283"/>
      <c r="AI100" s="283"/>
      <c r="AJ100" s="284"/>
      <c r="AK100" s="13"/>
      <c r="AM100" s="8"/>
      <c r="AN100" s="8"/>
      <c r="AO100" s="8"/>
      <c r="AP100" s="8"/>
      <c r="AQ100" s="8"/>
      <c r="AR100" s="8"/>
    </row>
    <row r="101" spans="1:44" s="12" customFormat="1" ht="18" x14ac:dyDescent="0.2">
      <c r="A101" s="8"/>
      <c r="B101" s="8"/>
      <c r="C101" s="16"/>
      <c r="D101" s="16"/>
      <c r="E101" s="44"/>
      <c r="F101" s="16"/>
      <c r="G101" s="245"/>
      <c r="H101" s="245"/>
      <c r="I101" s="245"/>
      <c r="J101" s="245"/>
      <c r="K101" s="245"/>
      <c r="L101" s="245"/>
      <c r="M101" s="245"/>
      <c r="N101" s="245"/>
      <c r="O101" s="245"/>
      <c r="P101" s="245"/>
      <c r="Q101" s="245"/>
      <c r="R101" s="245"/>
      <c r="S101" s="245"/>
      <c r="T101" s="245"/>
      <c r="U101" s="245"/>
      <c r="V101" s="245"/>
      <c r="W101" s="245"/>
      <c r="X101" s="245"/>
      <c r="Y101" s="245"/>
      <c r="Z101" s="245"/>
      <c r="AA101" s="245"/>
      <c r="AB101" s="245"/>
      <c r="AC101" s="245"/>
      <c r="AD101" s="245"/>
      <c r="AE101" s="245"/>
      <c r="AF101" s="245"/>
      <c r="AG101" s="245"/>
      <c r="AH101" s="245"/>
      <c r="AI101" s="245"/>
      <c r="AJ101" s="245"/>
      <c r="AK101" s="15"/>
      <c r="AM101" s="8"/>
      <c r="AN101" s="8"/>
      <c r="AO101" s="8"/>
      <c r="AP101" s="8"/>
      <c r="AQ101" s="8"/>
      <c r="AR101" s="8"/>
    </row>
    <row r="102" spans="1:44" s="12" customFormat="1" ht="18" x14ac:dyDescent="0.2">
      <c r="A102" s="8"/>
      <c r="B102" s="8"/>
      <c r="C102" s="17"/>
      <c r="D102" s="17"/>
      <c r="E102" s="45"/>
      <c r="F102" s="17"/>
      <c r="G102" s="246"/>
      <c r="H102" s="246"/>
      <c r="I102" s="246"/>
      <c r="J102" s="246"/>
      <c r="K102" s="246"/>
      <c r="L102" s="246"/>
      <c r="M102" s="246"/>
      <c r="N102" s="246"/>
      <c r="O102" s="246"/>
      <c r="P102" s="246"/>
      <c r="Q102" s="246"/>
      <c r="R102" s="246"/>
      <c r="S102" s="246"/>
      <c r="T102" s="246"/>
      <c r="U102" s="246"/>
      <c r="V102" s="246"/>
      <c r="W102" s="246"/>
      <c r="X102" s="246"/>
      <c r="Y102" s="246"/>
      <c r="Z102" s="246"/>
      <c r="AA102" s="246"/>
      <c r="AB102" s="246"/>
      <c r="AC102" s="246"/>
      <c r="AD102" s="246"/>
      <c r="AE102" s="246"/>
      <c r="AF102" s="246"/>
      <c r="AG102" s="246"/>
      <c r="AH102" s="246"/>
      <c r="AI102" s="246"/>
      <c r="AJ102" s="246"/>
      <c r="AK102" s="8"/>
      <c r="AM102" s="8"/>
      <c r="AN102" s="8"/>
      <c r="AO102" s="8"/>
      <c r="AP102" s="8"/>
      <c r="AQ102" s="8"/>
      <c r="AR102" s="8"/>
    </row>
    <row r="103" spans="1:44" x14ac:dyDescent="0.2"/>
    <row r="104" spans="1:44" x14ac:dyDescent="0.2"/>
    <row r="105" spans="1:44" x14ac:dyDescent="0.2"/>
    <row r="106" spans="1:44" x14ac:dyDescent="0.2"/>
    <row r="107" spans="1:44" x14ac:dyDescent="0.2"/>
    <row r="108" spans="1:44" x14ac:dyDescent="0.2"/>
    <row r="109" spans="1:44" x14ac:dyDescent="0.2"/>
    <row r="110" spans="1:44" x14ac:dyDescent="0.2"/>
    <row r="111" spans="1:44" x14ac:dyDescent="0.2"/>
    <row r="112" spans="1:44" x14ac:dyDescent="0.2"/>
    <row r="113" x14ac:dyDescent="0.2"/>
    <row r="114" x14ac:dyDescent="0.2"/>
    <row r="115" x14ac:dyDescent="0.2"/>
    <row r="116" x14ac:dyDescent="0.2"/>
    <row r="117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t="0" hidden="1" customHeight="1" x14ac:dyDescent="0.2"/>
    <row r="156" ht="0" hidden="1" customHeight="1" x14ac:dyDescent="0.2"/>
    <row r="157" ht="0" hidden="1" customHeight="1" x14ac:dyDescent="0.2"/>
    <row r="158" ht="0" hidden="1" customHeight="1" x14ac:dyDescent="0.2"/>
    <row r="159" ht="0" hidden="1" customHeight="1" x14ac:dyDescent="0.2"/>
    <row r="160" ht="0" hidden="1" customHeight="1" x14ac:dyDescent="0.2"/>
    <row r="161" ht="0" hidden="1" customHeight="1" x14ac:dyDescent="0.2"/>
    <row r="162" ht="0" hidden="1" customHeight="1" x14ac:dyDescent="0.2"/>
    <row r="163" ht="0" hidden="1" customHeight="1" x14ac:dyDescent="0.2"/>
    <row r="164" ht="0" hidden="1" customHeight="1" x14ac:dyDescent="0.2"/>
    <row r="165" ht="0" hidden="1" customHeight="1" x14ac:dyDescent="0.2"/>
    <row r="166" ht="0" hidden="1" customHeight="1" x14ac:dyDescent="0.2"/>
    <row r="167" ht="0" hidden="1" customHeight="1" x14ac:dyDescent="0.2"/>
    <row r="168" ht="0" hidden="1" customHeight="1" x14ac:dyDescent="0.2"/>
    <row r="169" ht="0" hidden="1" customHeight="1" x14ac:dyDescent="0.2"/>
    <row r="170" x14ac:dyDescent="0.2"/>
    <row r="171" x14ac:dyDescent="0.2"/>
  </sheetData>
  <sheetProtection selectLockedCells="1"/>
  <mergeCells count="37">
    <mergeCell ref="C96:D96"/>
    <mergeCell ref="C100:F100"/>
    <mergeCell ref="C73:D73"/>
    <mergeCell ref="C59:F59"/>
    <mergeCell ref="C88:F88"/>
    <mergeCell ref="C82:D82"/>
    <mergeCell ref="C85:F85"/>
    <mergeCell ref="C79:F79"/>
    <mergeCell ref="C91:F91"/>
    <mergeCell ref="C94:D94"/>
    <mergeCell ref="D23:D29"/>
    <mergeCell ref="C35:F35"/>
    <mergeCell ref="B36:B50"/>
    <mergeCell ref="C60:D60"/>
    <mergeCell ref="F62:F64"/>
    <mergeCell ref="C50:F50"/>
    <mergeCell ref="B51:B59"/>
    <mergeCell ref="F51:F53"/>
    <mergeCell ref="D61:D64"/>
    <mergeCell ref="D36:D43"/>
    <mergeCell ref="D51:D53"/>
    <mergeCell ref="B98:B100"/>
    <mergeCell ref="C99:F99"/>
    <mergeCell ref="C98:F98"/>
    <mergeCell ref="B73:B96"/>
    <mergeCell ref="B4:C5"/>
    <mergeCell ref="D7:D8"/>
    <mergeCell ref="D9:D10"/>
    <mergeCell ref="D11:D14"/>
    <mergeCell ref="D4:D5"/>
    <mergeCell ref="B7:B20"/>
    <mergeCell ref="B60:B68"/>
    <mergeCell ref="C68:F68"/>
    <mergeCell ref="B69:D69"/>
    <mergeCell ref="C76:F76"/>
    <mergeCell ref="C20:F20"/>
    <mergeCell ref="B21:B35"/>
  </mergeCells>
  <conditionalFormatting sqref="E6">
    <cfRule type="cellIs" dxfId="4" priority="7" operator="equal">
      <formula>"S"</formula>
    </cfRule>
  </conditionalFormatting>
  <conditionalFormatting sqref="G7:AJ95 H6:AJ6 G97:AJ1048576 G1:AJ3">
    <cfRule type="cellIs" dxfId="3" priority="4" operator="equal">
      <formula>"s"</formula>
    </cfRule>
  </conditionalFormatting>
  <conditionalFormatting sqref="G96:AJ96">
    <cfRule type="cellIs" dxfId="2" priority="3" operator="equal">
      <formula>0</formula>
    </cfRule>
  </conditionalFormatting>
  <conditionalFormatting sqref="G5:AJ5">
    <cfRule type="cellIs" dxfId="1" priority="2" operator="equal">
      <formula>0</formula>
    </cfRule>
  </conditionalFormatting>
  <conditionalFormatting sqref="G4:AJ4">
    <cfRule type="cellIs" dxfId="0" priority="1" operator="equal">
      <formula>0</formula>
    </cfRule>
  </conditionalFormatting>
  <printOptions horizontalCentered="1"/>
  <pageMargins left="0.23622047244094491" right="0.23622047244094491" top="0.94488188976377963" bottom="0.35433070866141736" header="0.11811023622047245" footer="0.31496062992125984"/>
  <pageSetup paperSize="9" scale="39" orientation="portrait" r:id="rId1"/>
  <headerFooter>
    <oddHeader>&amp;L&amp;G&amp;C&amp;"Arial,Normal"&amp;24
Área Disciplinar de Português&amp;R&amp;"Arial,Normal"&amp;24
&amp;D</oddHeader>
  </headerFooter>
  <ignoredErrors>
    <ignoredError sqref="F8" formulaRange="1"/>
  </ignoredErrors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2</vt:i4>
      </vt:variant>
    </vt:vector>
  </HeadingPairs>
  <TitlesOfParts>
    <vt:vector size="4" baseType="lpstr">
      <vt:lpstr>SINTESE</vt:lpstr>
      <vt:lpstr>COMPETENCIAS</vt:lpstr>
      <vt:lpstr>COMPETENCIAS!Área_de_Impressão</vt:lpstr>
      <vt:lpstr>SINTESE!Área_de_Impressão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AGOSTINHO SANTOS</dc:creator>
  <cp:lastModifiedBy>Florinda Maria Ferreira Pereira</cp:lastModifiedBy>
  <cp:lastPrinted>2019-12-03T17:47:42Z</cp:lastPrinted>
  <dcterms:created xsi:type="dcterms:W3CDTF">2019-10-06T19:10:41Z</dcterms:created>
  <dcterms:modified xsi:type="dcterms:W3CDTF">2019-12-04T19:13:22Z</dcterms:modified>
</cp:coreProperties>
</file>