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"/>
    </mc:Choice>
  </mc:AlternateContent>
  <xr:revisionPtr revIDLastSave="0" documentId="13_ncr:1_{A6554BED-A0DF-4C49-8A11-08858EB872BC}" xr6:coauthVersionLast="46" xr6:coauthVersionMax="47" xr10:uidLastSave="{00000000-0000-0000-0000-000000000000}"/>
  <workbookProtection workbookAlgorithmName="SHA-512" workbookHashValue="AxuosHKF+cSVpitg1uMQc5B6oKCfKGFCjoTGbBJIc2Bb3AwM5NqYs/p/0aheEdt9eaL2QBNDVftgrOxPn5g45g==" workbookSaltValue="S3Uhgl3oV6imtNzt7eQd9A==" workbookSpinCount="100000" lockStructure="1"/>
  <bookViews>
    <workbookView xWindow="-38520" yWindow="-5625" windowWidth="38640" windowHeight="21240" xr2:uid="{00000000-000D-0000-FFFF-FFFF00000000}"/>
  </bookViews>
  <sheets>
    <sheet name="Avaliação Períodos" sheetId="2" r:id="rId1"/>
    <sheet name="Leitura" sheetId="8" r:id="rId2"/>
    <sheet name="Oralidade" sheetId="4" r:id="rId3"/>
    <sheet name="Ed. Literária" sheetId="5" r:id="rId4"/>
    <sheet name="Gramática" sheetId="6" r:id="rId5"/>
    <sheet name="Escrita" sheetId="7" r:id="rId6"/>
  </sheets>
  <functionGroups builtInGroupCount="19"/>
  <definedNames>
    <definedName name="_xlnm.Print_Area" localSheetId="0">'Avaliação Períodos'!$A$4:$AJ$48</definedName>
    <definedName name="_xlnm.Print_Area" localSheetId="5">Escrita!$A$4:$P$40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9" i="2" l="1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C9" i="2"/>
  <c r="AK8" i="5"/>
  <c r="AC29" i="8"/>
  <c r="R7" i="8"/>
  <c r="AC7" i="8"/>
  <c r="A8" i="8"/>
  <c r="B8" i="8"/>
  <c r="R8" i="8"/>
  <c r="AC8" i="8"/>
  <c r="A9" i="8"/>
  <c r="B9" i="8"/>
  <c r="R9" i="8"/>
  <c r="AC9" i="8"/>
  <c r="A10" i="8"/>
  <c r="B10" i="8"/>
  <c r="R10" i="8"/>
  <c r="AC10" i="8"/>
  <c r="A11" i="8"/>
  <c r="B11" i="8"/>
  <c r="R11" i="8"/>
  <c r="AC11" i="8"/>
  <c r="A12" i="8"/>
  <c r="B12" i="8"/>
  <c r="R12" i="8"/>
  <c r="AC12" i="8"/>
  <c r="A13" i="8"/>
  <c r="B13" i="8"/>
  <c r="R13" i="8"/>
  <c r="AC13" i="8"/>
  <c r="A14" i="8"/>
  <c r="B14" i="8"/>
  <c r="R14" i="8"/>
  <c r="AC14" i="8"/>
  <c r="A15" i="8"/>
  <c r="B15" i="8"/>
  <c r="R15" i="8"/>
  <c r="AC15" i="8"/>
  <c r="A16" i="8"/>
  <c r="B16" i="8"/>
  <c r="R16" i="8"/>
  <c r="AC16" i="8"/>
  <c r="A17" i="8"/>
  <c r="B17" i="8"/>
  <c r="R17" i="8"/>
  <c r="AC17" i="8"/>
  <c r="A18" i="8"/>
  <c r="B18" i="8"/>
  <c r="R18" i="8"/>
  <c r="AC18" i="8"/>
  <c r="A19" i="8"/>
  <c r="B19" i="8"/>
  <c r="R19" i="8"/>
  <c r="AC19" i="8"/>
  <c r="A20" i="8"/>
  <c r="B20" i="8"/>
  <c r="R20" i="8"/>
  <c r="AC20" i="8"/>
  <c r="A21" i="8"/>
  <c r="B21" i="8"/>
  <c r="R21" i="8"/>
  <c r="AC21" i="8"/>
  <c r="B22" i="8"/>
  <c r="R22" i="8"/>
  <c r="AC22" i="8"/>
  <c r="A23" i="8"/>
  <c r="B23" i="8"/>
  <c r="R23" i="8"/>
  <c r="AC23" i="8"/>
  <c r="A24" i="8"/>
  <c r="B24" i="8"/>
  <c r="R24" i="8"/>
  <c r="AC24" i="8"/>
  <c r="A25" i="8"/>
  <c r="B25" i="8"/>
  <c r="R25" i="8"/>
  <c r="AC25" i="8"/>
  <c r="A26" i="8"/>
  <c r="B26" i="8"/>
  <c r="R26" i="8"/>
  <c r="AC26" i="8"/>
  <c r="A27" i="8"/>
  <c r="B27" i="8"/>
  <c r="R27" i="8"/>
  <c r="AC27" i="8"/>
  <c r="A28" i="8"/>
  <c r="B28" i="8"/>
  <c r="R28" i="8"/>
  <c r="AC28" i="8"/>
  <c r="A29" i="8"/>
  <c r="B29" i="8"/>
  <c r="A30" i="8"/>
  <c r="B30" i="8"/>
  <c r="R30" i="8"/>
  <c r="AC30" i="8"/>
  <c r="A31" i="8"/>
  <c r="B31" i="8"/>
  <c r="R31" i="8"/>
  <c r="AC31" i="8"/>
  <c r="A32" i="8"/>
  <c r="B32" i="8"/>
  <c r="R32" i="8"/>
  <c r="AC32" i="8"/>
  <c r="A33" i="8"/>
  <c r="B33" i="8"/>
  <c r="R33" i="8"/>
  <c r="AC33" i="8"/>
  <c r="A34" i="8"/>
  <c r="B34" i="8"/>
  <c r="R34" i="8"/>
  <c r="AC34" i="8"/>
  <c r="A35" i="8"/>
  <c r="B35" i="8"/>
  <c r="R35" i="8"/>
  <c r="AC35" i="8"/>
  <c r="A36" i="8"/>
  <c r="B36" i="8"/>
  <c r="R36" i="8"/>
  <c r="AC36" i="8"/>
  <c r="A37" i="8"/>
  <c r="B37" i="8"/>
  <c r="R37" i="8"/>
  <c r="AC37" i="8"/>
  <c r="AC39" i="8"/>
  <c r="V8" i="4"/>
  <c r="P8" i="7" a="1"/>
  <c r="P8" i="7" l="1"/>
  <c r="AC38" i="8"/>
  <c r="R38" i="8"/>
  <c r="AC40" i="8"/>
  <c r="R39" i="8"/>
  <c r="R40" i="8" s="1"/>
  <c r="M9" i="2"/>
  <c r="D9" i="2"/>
  <c r="G9" i="2"/>
  <c r="J9" i="2"/>
  <c r="W8" i="6"/>
  <c r="P9" i="2" s="1"/>
  <c r="N8" i="4"/>
  <c r="F9" i="2" s="1"/>
  <c r="I9" i="2"/>
  <c r="V8" i="5"/>
  <c r="L9" i="2" s="1"/>
  <c r="O8" i="6"/>
  <c r="O9" i="2" s="1"/>
  <c r="V9" i="4"/>
  <c r="G10" i="2" s="1"/>
  <c r="J10" i="2"/>
  <c r="AK9" i="5"/>
  <c r="M10" i="2" s="1"/>
  <c r="W9" i="6"/>
  <c r="P10" i="2" s="1"/>
  <c r="V10" i="4"/>
  <c r="G11" i="2" s="1"/>
  <c r="J11" i="2"/>
  <c r="AK10" i="5"/>
  <c r="M11" i="2" s="1"/>
  <c r="W10" i="6"/>
  <c r="P11" i="2" s="1"/>
  <c r="V11" i="4"/>
  <c r="G12" i="2" s="1"/>
  <c r="J12" i="2"/>
  <c r="AK11" i="5"/>
  <c r="M12" i="2" s="1"/>
  <c r="W11" i="6"/>
  <c r="P12" i="2" s="1"/>
  <c r="V12" i="4"/>
  <c r="G13" i="2" s="1"/>
  <c r="J13" i="2"/>
  <c r="AK12" i="5"/>
  <c r="M13" i="2" s="1"/>
  <c r="W12" i="6"/>
  <c r="P13" i="2" s="1"/>
  <c r="V13" i="4"/>
  <c r="G14" i="2" s="1"/>
  <c r="J14" i="2"/>
  <c r="AK13" i="5"/>
  <c r="M14" i="2" s="1"/>
  <c r="W13" i="6"/>
  <c r="V14" i="4"/>
  <c r="G15" i="2" s="1"/>
  <c r="J15" i="2"/>
  <c r="AK14" i="5"/>
  <c r="M15" i="2" s="1"/>
  <c r="W14" i="6"/>
  <c r="P15" i="2" s="1"/>
  <c r="V15" i="4"/>
  <c r="G16" i="2" s="1"/>
  <c r="J16" i="2"/>
  <c r="AK15" i="5"/>
  <c r="M16" i="2" s="1"/>
  <c r="W15" i="6"/>
  <c r="P16" i="2" s="1"/>
  <c r="V16" i="4"/>
  <c r="G17" i="2" s="1"/>
  <c r="J17" i="2"/>
  <c r="AK16" i="5"/>
  <c r="M17" i="2" s="1"/>
  <c r="W16" i="6"/>
  <c r="P17" i="2" s="1"/>
  <c r="V17" i="4"/>
  <c r="G18" i="2" s="1"/>
  <c r="J18" i="2"/>
  <c r="AK17" i="5"/>
  <c r="M18" i="2" s="1"/>
  <c r="W17" i="6"/>
  <c r="P18" i="2" s="1"/>
  <c r="V18" i="4"/>
  <c r="G19" i="2" s="1"/>
  <c r="J19" i="2"/>
  <c r="AK18" i="5"/>
  <c r="M19" i="2" s="1"/>
  <c r="W18" i="6"/>
  <c r="P19" i="2" s="1"/>
  <c r="V19" i="4"/>
  <c r="G20" i="2" s="1"/>
  <c r="J20" i="2"/>
  <c r="AK19" i="5"/>
  <c r="M20" i="2" s="1"/>
  <c r="W19" i="6"/>
  <c r="P20" i="2" s="1"/>
  <c r="V20" i="4"/>
  <c r="G21" i="2" s="1"/>
  <c r="J21" i="2"/>
  <c r="AK20" i="5"/>
  <c r="M21" i="2" s="1"/>
  <c r="W20" i="6"/>
  <c r="P21" i="2" s="1"/>
  <c r="V21" i="4"/>
  <c r="G22" i="2" s="1"/>
  <c r="J22" i="2"/>
  <c r="AK21" i="5"/>
  <c r="M22" i="2" s="1"/>
  <c r="W21" i="6"/>
  <c r="P22" i="2" s="1"/>
  <c r="V22" i="4"/>
  <c r="G23" i="2" s="1"/>
  <c r="J23" i="2"/>
  <c r="AK22" i="5"/>
  <c r="M23" i="2" s="1"/>
  <c r="W22" i="6"/>
  <c r="P23" i="2" s="1"/>
  <c r="V23" i="4"/>
  <c r="G24" i="2" s="1"/>
  <c r="J24" i="2"/>
  <c r="AK23" i="5"/>
  <c r="M24" i="2" s="1"/>
  <c r="W23" i="6"/>
  <c r="P24" i="2" s="1"/>
  <c r="AK24" i="5"/>
  <c r="M25" i="2" s="1"/>
  <c r="V24" i="4"/>
  <c r="G25" i="2" s="1"/>
  <c r="J25" i="2"/>
  <c r="W24" i="6"/>
  <c r="P25" i="2" s="1"/>
  <c r="V25" i="4"/>
  <c r="G26" i="2" s="1"/>
  <c r="J26" i="2"/>
  <c r="AK25" i="5"/>
  <c r="M26" i="2" s="1"/>
  <c r="W25" i="6"/>
  <c r="P26" i="2" s="1"/>
  <c r="V26" i="4"/>
  <c r="G27" i="2" s="1"/>
  <c r="J27" i="2"/>
  <c r="AK26" i="5"/>
  <c r="M27" i="2" s="1"/>
  <c r="W26" i="6"/>
  <c r="P27" i="2" s="1"/>
  <c r="V27" i="4"/>
  <c r="G28" i="2" s="1"/>
  <c r="J28" i="2"/>
  <c r="AK27" i="5"/>
  <c r="M28" i="2" s="1"/>
  <c r="W27" i="6"/>
  <c r="P28" i="2" s="1"/>
  <c r="V28" i="4"/>
  <c r="G29" i="2" s="1"/>
  <c r="J29" i="2"/>
  <c r="AK28" i="5"/>
  <c r="M29" i="2" s="1"/>
  <c r="W28" i="6"/>
  <c r="P29" i="2" s="1"/>
  <c r="V29" i="4"/>
  <c r="G30" i="2" s="1"/>
  <c r="J30" i="2"/>
  <c r="AK29" i="5"/>
  <c r="M30" i="2" s="1"/>
  <c r="W29" i="6"/>
  <c r="P30" i="2" s="1"/>
  <c r="V30" i="4"/>
  <c r="G31" i="2" s="1"/>
  <c r="J31" i="2"/>
  <c r="AK30" i="5"/>
  <c r="M31" i="2" s="1"/>
  <c r="W30" i="6"/>
  <c r="P31" i="2" s="1"/>
  <c r="V31" i="4"/>
  <c r="G32" i="2" s="1"/>
  <c r="J32" i="2"/>
  <c r="AK31" i="5"/>
  <c r="M32" i="2" s="1"/>
  <c r="W31" i="6"/>
  <c r="P32" i="2" s="1"/>
  <c r="V32" i="4"/>
  <c r="G33" i="2" s="1"/>
  <c r="J33" i="2"/>
  <c r="AK32" i="5"/>
  <c r="M33" i="2" s="1"/>
  <c r="W32" i="6"/>
  <c r="P33" i="2" s="1"/>
  <c r="V33" i="4"/>
  <c r="G34" i="2" s="1"/>
  <c r="J34" i="2"/>
  <c r="AK33" i="5"/>
  <c r="M34" i="2" s="1"/>
  <c r="W33" i="6"/>
  <c r="P34" i="2" s="1"/>
  <c r="V34" i="4"/>
  <c r="G35" i="2" s="1"/>
  <c r="J35" i="2"/>
  <c r="AK34" i="5"/>
  <c r="M35" i="2" s="1"/>
  <c r="W34" i="6"/>
  <c r="P35" i="2" s="1"/>
  <c r="V35" i="4"/>
  <c r="G36" i="2" s="1"/>
  <c r="J36" i="2"/>
  <c r="AK35" i="5"/>
  <c r="M36" i="2" s="1"/>
  <c r="W35" i="6"/>
  <c r="P36" i="2" s="1"/>
  <c r="V36" i="4"/>
  <c r="G37" i="2" s="1"/>
  <c r="J37" i="2"/>
  <c r="AK36" i="5"/>
  <c r="M37" i="2" s="1"/>
  <c r="W36" i="6"/>
  <c r="P37" i="2" s="1"/>
  <c r="V37" i="4"/>
  <c r="G38" i="2" s="1"/>
  <c r="J38" i="2"/>
  <c r="AK37" i="5"/>
  <c r="M38" i="2" s="1"/>
  <c r="W37" i="6"/>
  <c r="P38" i="2" s="1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8" i="7"/>
  <c r="W7" i="7"/>
  <c r="Y7" i="7"/>
  <c r="P7" i="7"/>
  <c r="N7" i="7"/>
  <c r="AK7" i="5"/>
  <c r="C11" i="2"/>
  <c r="N10" i="4"/>
  <c r="F11" i="2" s="1"/>
  <c r="I11" i="2"/>
  <c r="V10" i="5"/>
  <c r="L11" i="2" s="1"/>
  <c r="O10" i="6"/>
  <c r="O11" i="2" s="1"/>
  <c r="N9" i="4"/>
  <c r="F10" i="2" s="1"/>
  <c r="I10" i="2"/>
  <c r="V9" i="5"/>
  <c r="L10" i="2" s="1"/>
  <c r="O9" i="6"/>
  <c r="O10" i="2" s="1"/>
  <c r="C12" i="2"/>
  <c r="N11" i="4"/>
  <c r="F12" i="2" s="1"/>
  <c r="I12" i="2"/>
  <c r="V11" i="5"/>
  <c r="L12" i="2" s="1"/>
  <c r="O11" i="6"/>
  <c r="C13" i="2"/>
  <c r="N12" i="4"/>
  <c r="F13" i="2" s="1"/>
  <c r="I13" i="2"/>
  <c r="V12" i="5"/>
  <c r="L13" i="2" s="1"/>
  <c r="O12" i="6"/>
  <c r="O13" i="2" s="1"/>
  <c r="C14" i="2"/>
  <c r="N13" i="4"/>
  <c r="F14" i="2" s="1"/>
  <c r="I14" i="2"/>
  <c r="V13" i="5"/>
  <c r="L14" i="2" s="1"/>
  <c r="O13" i="6"/>
  <c r="O14" i="2" s="1"/>
  <c r="C15" i="2"/>
  <c r="N14" i="4"/>
  <c r="F15" i="2" s="1"/>
  <c r="I15" i="2"/>
  <c r="V14" i="5"/>
  <c r="L15" i="2" s="1"/>
  <c r="O14" i="6"/>
  <c r="O15" i="2" s="1"/>
  <c r="C16" i="2"/>
  <c r="N15" i="4"/>
  <c r="F16" i="2" s="1"/>
  <c r="I16" i="2"/>
  <c r="V15" i="5"/>
  <c r="L16" i="2" s="1"/>
  <c r="O15" i="6"/>
  <c r="O16" i="2" s="1"/>
  <c r="C17" i="2"/>
  <c r="N16" i="4"/>
  <c r="F17" i="2" s="1"/>
  <c r="I17" i="2"/>
  <c r="V16" i="5"/>
  <c r="L17" i="2" s="1"/>
  <c r="O16" i="6"/>
  <c r="O17" i="2" s="1"/>
  <c r="C18" i="2"/>
  <c r="N17" i="4"/>
  <c r="F18" i="2" s="1"/>
  <c r="I18" i="2"/>
  <c r="V17" i="5"/>
  <c r="L18" i="2" s="1"/>
  <c r="O17" i="6"/>
  <c r="O18" i="2" s="1"/>
  <c r="C19" i="2"/>
  <c r="N18" i="4"/>
  <c r="F19" i="2" s="1"/>
  <c r="I19" i="2"/>
  <c r="V18" i="5"/>
  <c r="L19" i="2" s="1"/>
  <c r="O18" i="6"/>
  <c r="O19" i="2" s="1"/>
  <c r="C20" i="2"/>
  <c r="N19" i="4"/>
  <c r="F20" i="2" s="1"/>
  <c r="I20" i="2"/>
  <c r="V19" i="5"/>
  <c r="L20" i="2" s="1"/>
  <c r="O19" i="6"/>
  <c r="O20" i="2" s="1"/>
  <c r="C21" i="2"/>
  <c r="N20" i="4"/>
  <c r="F21" i="2" s="1"/>
  <c r="I21" i="2"/>
  <c r="V20" i="5"/>
  <c r="L21" i="2" s="1"/>
  <c r="O20" i="6"/>
  <c r="O21" i="2" s="1"/>
  <c r="C22" i="2"/>
  <c r="N21" i="4"/>
  <c r="F22" i="2" s="1"/>
  <c r="I22" i="2"/>
  <c r="V21" i="5"/>
  <c r="L22" i="2" s="1"/>
  <c r="O21" i="6"/>
  <c r="O22" i="2" s="1"/>
  <c r="C23" i="2"/>
  <c r="N22" i="4"/>
  <c r="F23" i="2" s="1"/>
  <c r="I23" i="2"/>
  <c r="V22" i="5"/>
  <c r="L23" i="2" s="1"/>
  <c r="O22" i="6"/>
  <c r="O23" i="2" s="1"/>
  <c r="C24" i="2"/>
  <c r="N23" i="4"/>
  <c r="F24" i="2" s="1"/>
  <c r="I24" i="2"/>
  <c r="V23" i="5"/>
  <c r="L24" i="2" s="1"/>
  <c r="O23" i="6"/>
  <c r="O24" i="2" s="1"/>
  <c r="C25" i="2"/>
  <c r="N24" i="4"/>
  <c r="F25" i="2" s="1"/>
  <c r="I25" i="2"/>
  <c r="V24" i="5"/>
  <c r="L25" i="2" s="1"/>
  <c r="O24" i="6"/>
  <c r="O25" i="2" s="1"/>
  <c r="C26" i="2"/>
  <c r="N25" i="4"/>
  <c r="F26" i="2" s="1"/>
  <c r="I26" i="2"/>
  <c r="V25" i="5"/>
  <c r="L26" i="2" s="1"/>
  <c r="O25" i="6"/>
  <c r="O26" i="2" s="1"/>
  <c r="C27" i="2"/>
  <c r="N26" i="4"/>
  <c r="F27" i="2" s="1"/>
  <c r="I27" i="2"/>
  <c r="V26" i="5"/>
  <c r="L27" i="2" s="1"/>
  <c r="O26" i="6"/>
  <c r="O27" i="2" s="1"/>
  <c r="C28" i="2"/>
  <c r="N27" i="4"/>
  <c r="F28" i="2" s="1"/>
  <c r="I28" i="2"/>
  <c r="V27" i="5"/>
  <c r="L28" i="2" s="1"/>
  <c r="O27" i="6"/>
  <c r="O28" i="2" s="1"/>
  <c r="C29" i="2"/>
  <c r="N28" i="4"/>
  <c r="F29" i="2"/>
  <c r="I29" i="2"/>
  <c r="V28" i="5"/>
  <c r="L29" i="2" s="1"/>
  <c r="O28" i="6"/>
  <c r="O29" i="2" s="1"/>
  <c r="C30" i="2"/>
  <c r="N29" i="4"/>
  <c r="F30" i="2" s="1"/>
  <c r="I30" i="2"/>
  <c r="V29" i="5"/>
  <c r="L30" i="2" s="1"/>
  <c r="O29" i="6"/>
  <c r="O30" i="2" s="1"/>
  <c r="C31" i="2"/>
  <c r="N30" i="4"/>
  <c r="F31" i="2" s="1"/>
  <c r="I31" i="2"/>
  <c r="V30" i="5"/>
  <c r="L31" i="2" s="1"/>
  <c r="O30" i="6"/>
  <c r="O31" i="2" s="1"/>
  <c r="C32" i="2"/>
  <c r="N31" i="4"/>
  <c r="F32" i="2" s="1"/>
  <c r="I32" i="2"/>
  <c r="V31" i="5"/>
  <c r="L32" i="2" s="1"/>
  <c r="O31" i="6"/>
  <c r="O32" i="2" s="1"/>
  <c r="C33" i="2"/>
  <c r="N32" i="4"/>
  <c r="F33" i="2" s="1"/>
  <c r="I33" i="2"/>
  <c r="V32" i="5"/>
  <c r="L33" i="2" s="1"/>
  <c r="O32" i="6"/>
  <c r="O33" i="2" s="1"/>
  <c r="C34" i="2"/>
  <c r="N33" i="4"/>
  <c r="F34" i="2" s="1"/>
  <c r="I34" i="2"/>
  <c r="V33" i="5"/>
  <c r="L34" i="2" s="1"/>
  <c r="O33" i="6"/>
  <c r="O34" i="2" s="1"/>
  <c r="O34" i="6"/>
  <c r="O35" i="2" s="1"/>
  <c r="O35" i="6"/>
  <c r="O36" i="2" s="1"/>
  <c r="O36" i="6"/>
  <c r="O37" i="2" s="1"/>
  <c r="O37" i="6"/>
  <c r="O38" i="2" s="1"/>
  <c r="C35" i="2"/>
  <c r="C36" i="2"/>
  <c r="C37" i="2"/>
  <c r="C38" i="2"/>
  <c r="N34" i="4"/>
  <c r="F35" i="2" s="1"/>
  <c r="I35" i="2"/>
  <c r="V34" i="5"/>
  <c r="L35" i="2" s="1"/>
  <c r="N35" i="4"/>
  <c r="F36" i="2" s="1"/>
  <c r="I36" i="2"/>
  <c r="V35" i="5"/>
  <c r="L36" i="2" s="1"/>
  <c r="N36" i="4"/>
  <c r="F37" i="2" s="1"/>
  <c r="I37" i="2"/>
  <c r="V36" i="5"/>
  <c r="L37" i="2" s="1"/>
  <c r="N37" i="4"/>
  <c r="F38" i="2" s="1"/>
  <c r="I38" i="2"/>
  <c r="V37" i="5"/>
  <c r="L38" i="2" s="1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W7" i="6"/>
  <c r="O7" i="6"/>
  <c r="V7" i="5"/>
  <c r="V7" i="4"/>
  <c r="N7" i="4"/>
  <c r="A9" i="6"/>
  <c r="A10" i="6"/>
  <c r="A11" i="6"/>
  <c r="A8" i="6"/>
  <c r="B8" i="6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W38" i="4"/>
  <c r="W39" i="4"/>
  <c r="W40" i="4" s="1"/>
  <c r="O38" i="4"/>
  <c r="O39" i="4"/>
  <c r="O40" i="4" s="1"/>
  <c r="S51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8" i="5"/>
  <c r="A8" i="5"/>
  <c r="O39" i="6"/>
  <c r="O40" i="6" s="1"/>
  <c r="V39" i="5"/>
  <c r="V40" i="5" s="1"/>
  <c r="Y21" i="7" a="1"/>
  <c r="P24" i="7" a="1"/>
  <c r="Y24" i="7" a="1"/>
  <c r="Y20" i="7" a="1"/>
  <c r="Y31" i="7" a="1"/>
  <c r="Y26" i="7" a="1"/>
  <c r="Y19" i="7" a="1"/>
  <c r="P20" i="7" a="1"/>
  <c r="Y10" i="7" a="1"/>
  <c r="Y22" i="7" a="1"/>
  <c r="P16" i="7" a="1"/>
  <c r="Y16" i="7" a="1"/>
  <c r="Y27" i="7" a="1"/>
  <c r="P14" i="7" a="1"/>
  <c r="P21" i="7" a="1"/>
  <c r="P19" i="7" a="1"/>
  <c r="Y33" i="7" a="1"/>
  <c r="Y35" i="7" a="1"/>
  <c r="Y28" i="7" a="1"/>
  <c r="Y15" i="7" a="1"/>
  <c r="Y9" i="7" a="1"/>
  <c r="Y18" i="7" a="1"/>
  <c r="P12" i="7" a="1"/>
  <c r="P18" i="7" a="1"/>
  <c r="P28" i="7" a="1"/>
  <c r="Y23" i="7" a="1"/>
  <c r="P29" i="7" a="1"/>
  <c r="P26" i="7" a="1"/>
  <c r="P25" i="7" a="1"/>
  <c r="P35" i="7" a="1"/>
  <c r="Y37" i="7" a="1"/>
  <c r="P9" i="7" a="1"/>
  <c r="P23" i="7" a="1"/>
  <c r="P33" i="7" a="1"/>
  <c r="Y34" i="7" a="1"/>
  <c r="P31" i="7" a="1"/>
  <c r="P36" i="7" a="1"/>
  <c r="Y12" i="7" a="1"/>
  <c r="P17" i="7" a="1"/>
  <c r="P13" i="7" a="1"/>
  <c r="Y25" i="7" a="1"/>
  <c r="Y32" i="7" a="1"/>
  <c r="P30" i="7" a="1"/>
  <c r="P37" i="7" a="1"/>
  <c r="P34" i="7" a="1"/>
  <c r="P27" i="7" a="1"/>
  <c r="P11" i="7" a="1"/>
  <c r="Y11" i="7" a="1"/>
  <c r="Y36" i="7" a="1"/>
  <c r="Y13" i="7" a="1"/>
  <c r="Y17" i="7" a="1"/>
  <c r="P22" i="7" a="1"/>
  <c r="P32" i="7" a="1"/>
  <c r="Y8" i="7" a="1"/>
  <c r="P10" i="7" a="1"/>
  <c r="Y14" i="7" a="1"/>
  <c r="Y29" i="7" a="1"/>
  <c r="P15" i="7" a="1"/>
  <c r="Y30" i="7" a="1"/>
  <c r="N38" i="4" l="1"/>
  <c r="V38" i="5"/>
  <c r="W39" i="6"/>
  <c r="W40" i="6" s="1"/>
  <c r="AK39" i="5"/>
  <c r="AK40" i="5" s="1"/>
  <c r="AK38" i="5"/>
  <c r="V39" i="4"/>
  <c r="V40" i="4" s="1"/>
  <c r="V38" i="4"/>
  <c r="P33" i="7"/>
  <c r="R34" i="2" s="1"/>
  <c r="X34" i="2" s="1"/>
  <c r="P32" i="7"/>
  <c r="R33" i="2" s="1"/>
  <c r="X33" i="2" s="1"/>
  <c r="Y12" i="7"/>
  <c r="T13" i="2" s="1"/>
  <c r="AB13" i="2" s="1"/>
  <c r="Y17" i="7"/>
  <c r="T18" i="2" s="1"/>
  <c r="AB18" i="2" s="1"/>
  <c r="P37" i="7"/>
  <c r="R38" i="2" s="1"/>
  <c r="X38" i="2" s="1"/>
  <c r="Y38" i="2" s="1"/>
  <c r="Y35" i="7"/>
  <c r="T36" i="2" s="1"/>
  <c r="AB36" i="2" s="1"/>
  <c r="Y16" i="7"/>
  <c r="T17" i="2" s="1"/>
  <c r="P36" i="7"/>
  <c r="R37" i="2" s="1"/>
  <c r="X37" i="2" s="1"/>
  <c r="Y37" i="2" s="1"/>
  <c r="P31" i="7"/>
  <c r="R32" i="2" s="1"/>
  <c r="X32" i="2" s="1"/>
  <c r="Y36" i="7"/>
  <c r="T37" i="2" s="1"/>
  <c r="AB37" i="2" s="1"/>
  <c r="Y34" i="7"/>
  <c r="T35" i="2" s="1"/>
  <c r="AB35" i="2" s="1"/>
  <c r="Y27" i="7"/>
  <c r="T28" i="2" s="1"/>
  <c r="AB28" i="2" s="1"/>
  <c r="Y13" i="7"/>
  <c r="T14" i="2" s="1"/>
  <c r="P30" i="7"/>
  <c r="R31" i="2" s="1"/>
  <c r="X31" i="2" s="1"/>
  <c r="Y37" i="7"/>
  <c r="T38" i="2" s="1"/>
  <c r="AB38" i="2" s="1"/>
  <c r="Y28" i="7"/>
  <c r="T29" i="2" s="1"/>
  <c r="AB29" i="2" s="1"/>
  <c r="Y26" i="7"/>
  <c r="T27" i="2" s="1"/>
  <c r="AB27" i="2" s="1"/>
  <c r="AC27" i="2" s="1"/>
  <c r="Y19" i="7"/>
  <c r="T20" i="2" s="1"/>
  <c r="AB20" i="2" s="1"/>
  <c r="Y14" i="7"/>
  <c r="T15" i="2" s="1"/>
  <c r="AB15" i="2" s="1"/>
  <c r="Y8" i="7"/>
  <c r="Y11" i="7"/>
  <c r="T12" i="2" s="1"/>
  <c r="AB12" i="2" s="1"/>
  <c r="P35" i="7"/>
  <c r="R36" i="2" s="1"/>
  <c r="X36" i="2" s="1"/>
  <c r="Y36" i="2" s="1"/>
  <c r="Y33" i="7"/>
  <c r="T34" i="2" s="1"/>
  <c r="AB34" i="2" s="1"/>
  <c r="Y32" i="7"/>
  <c r="T33" i="2" s="1"/>
  <c r="AB33" i="2" s="1"/>
  <c r="Y31" i="7"/>
  <c r="T32" i="2" s="1"/>
  <c r="AB32" i="2" s="1"/>
  <c r="Y30" i="7"/>
  <c r="T31" i="2" s="1"/>
  <c r="AB31" i="2" s="1"/>
  <c r="Y29" i="7"/>
  <c r="T30" i="2" s="1"/>
  <c r="AB30" i="2" s="1"/>
  <c r="Y20" i="7"/>
  <c r="T21" i="2" s="1"/>
  <c r="AB21" i="2" s="1"/>
  <c r="AC21" i="2" s="1"/>
  <c r="Y18" i="7"/>
  <c r="T19" i="2" s="1"/>
  <c r="AB19" i="2" s="1"/>
  <c r="P34" i="7"/>
  <c r="R35" i="2" s="1"/>
  <c r="X35" i="2" s="1"/>
  <c r="Y35" i="2" s="1"/>
  <c r="P29" i="7"/>
  <c r="R30" i="2" s="1"/>
  <c r="X30" i="2" s="1"/>
  <c r="Y25" i="7"/>
  <c r="T26" i="2" s="1"/>
  <c r="AB26" i="2" s="1"/>
  <c r="Y24" i="7"/>
  <c r="T25" i="2" s="1"/>
  <c r="AB25" i="2" s="1"/>
  <c r="Y23" i="7"/>
  <c r="T24" i="2" s="1"/>
  <c r="AB24" i="2" s="1"/>
  <c r="Y22" i="7"/>
  <c r="T23" i="2" s="1"/>
  <c r="AB23" i="2" s="1"/>
  <c r="Y21" i="7"/>
  <c r="T22" i="2" s="1"/>
  <c r="AB22" i="2" s="1"/>
  <c r="Y15" i="7"/>
  <c r="T16" i="2" s="1"/>
  <c r="AB16" i="2" s="1"/>
  <c r="Y10" i="7"/>
  <c r="T11" i="2" s="1"/>
  <c r="AB11" i="2" s="1"/>
  <c r="Y9" i="7"/>
  <c r="T10" i="2" s="1"/>
  <c r="AB10" i="2" s="1"/>
  <c r="N39" i="4"/>
  <c r="N40" i="4" s="1"/>
  <c r="C10" i="2"/>
  <c r="O38" i="6"/>
  <c r="O12" i="2"/>
  <c r="P14" i="2"/>
  <c r="W38" i="6"/>
  <c r="R9" i="2"/>
  <c r="X9" i="2" s="1"/>
  <c r="Y9" i="2" s="1"/>
  <c r="AA9" i="2" s="1"/>
  <c r="P25" i="7"/>
  <c r="R26" i="2" s="1"/>
  <c r="X26" i="2" s="1"/>
  <c r="P21" i="7"/>
  <c r="R22" i="2" s="1"/>
  <c r="X22" i="2" s="1"/>
  <c r="P17" i="7"/>
  <c r="R18" i="2" s="1"/>
  <c r="X18" i="2" s="1"/>
  <c r="P12" i="7"/>
  <c r="R13" i="2" s="1"/>
  <c r="X13" i="2" s="1"/>
  <c r="P28" i="7"/>
  <c r="R29" i="2" s="1"/>
  <c r="X29" i="2" s="1"/>
  <c r="P24" i="7"/>
  <c r="R25" i="2" s="1"/>
  <c r="X25" i="2" s="1"/>
  <c r="Y25" i="2" s="1"/>
  <c r="P20" i="7"/>
  <c r="R21" i="2" s="1"/>
  <c r="X21" i="2" s="1"/>
  <c r="P16" i="7"/>
  <c r="R17" i="2" s="1"/>
  <c r="X17" i="2" s="1"/>
  <c r="P11" i="7"/>
  <c r="R12" i="2" s="1"/>
  <c r="P27" i="7"/>
  <c r="R28" i="2" s="1"/>
  <c r="X28" i="2" s="1"/>
  <c r="P23" i="7"/>
  <c r="R24" i="2" s="1"/>
  <c r="X24" i="2" s="1"/>
  <c r="P19" i="7"/>
  <c r="R20" i="2" s="1"/>
  <c r="X20" i="2" s="1"/>
  <c r="P15" i="7"/>
  <c r="R16" i="2" s="1"/>
  <c r="X16" i="2" s="1"/>
  <c r="P10" i="7"/>
  <c r="R11" i="2" s="1"/>
  <c r="X11" i="2" s="1"/>
  <c r="P26" i="7"/>
  <c r="R27" i="2" s="1"/>
  <c r="X27" i="2" s="1"/>
  <c r="P22" i="7"/>
  <c r="R23" i="2" s="1"/>
  <c r="X23" i="2" s="1"/>
  <c r="P18" i="7"/>
  <c r="R19" i="2" s="1"/>
  <c r="X19" i="2" s="1"/>
  <c r="P13" i="7"/>
  <c r="R14" i="2" s="1"/>
  <c r="X14" i="2" s="1"/>
  <c r="P9" i="7"/>
  <c r="R10" i="2" s="1"/>
  <c r="P14" i="7"/>
  <c r="Y34" i="2" l="1"/>
  <c r="AA34" i="2" s="1"/>
  <c r="Y13" i="2"/>
  <c r="AA13" i="2" s="1"/>
  <c r="Y14" i="2"/>
  <c r="AA14" i="2" s="1"/>
  <c r="AC25" i="2"/>
  <c r="AE25" i="2" s="1"/>
  <c r="Y32" i="2"/>
  <c r="AA32" i="2" s="1"/>
  <c r="AC33" i="2"/>
  <c r="AE33" i="2" s="1"/>
  <c r="Y23" i="2"/>
  <c r="AA23" i="2" s="1"/>
  <c r="Y17" i="2"/>
  <c r="AA17" i="2" s="1"/>
  <c r="AC10" i="2"/>
  <c r="AE10" i="2" s="1"/>
  <c r="Y30" i="2"/>
  <c r="AA30" i="2" s="1"/>
  <c r="AC34" i="2"/>
  <c r="AE34" i="2" s="1"/>
  <c r="AC38" i="2"/>
  <c r="AE38" i="2" s="1"/>
  <c r="Y20" i="2"/>
  <c r="AA20" i="2" s="1"/>
  <c r="AC24" i="2"/>
  <c r="AE24" i="2" s="1"/>
  <c r="Y22" i="2"/>
  <c r="AA22" i="2" s="1"/>
  <c r="AC32" i="2"/>
  <c r="AE32" i="2" s="1"/>
  <c r="Y19" i="2"/>
  <c r="AA19" i="2" s="1"/>
  <c r="AC26" i="2"/>
  <c r="AE26" i="2" s="1"/>
  <c r="Y27" i="2"/>
  <c r="AA27" i="2" s="1"/>
  <c r="Y21" i="2"/>
  <c r="AA21" i="2" s="1"/>
  <c r="AC11" i="2"/>
  <c r="AE11" i="2" s="1"/>
  <c r="Y31" i="2"/>
  <c r="AA31" i="2" s="1"/>
  <c r="AC36" i="2"/>
  <c r="AE36" i="2" s="1"/>
  <c r="AC16" i="2"/>
  <c r="AE16" i="2" s="1"/>
  <c r="AC19" i="2"/>
  <c r="AE19" i="2" s="1"/>
  <c r="AC12" i="2"/>
  <c r="AE12" i="2" s="1"/>
  <c r="Y11" i="2"/>
  <c r="AA11" i="2" s="1"/>
  <c r="Y16" i="2"/>
  <c r="AA16" i="2" s="1"/>
  <c r="Y29" i="2"/>
  <c r="AA29" i="2" s="1"/>
  <c r="AC22" i="2"/>
  <c r="AE22" i="2" s="1"/>
  <c r="AC28" i="2"/>
  <c r="AE28" i="2" s="1"/>
  <c r="AC18" i="2"/>
  <c r="AE18" i="2" s="1"/>
  <c r="AC30" i="2"/>
  <c r="AE30" i="2" s="1"/>
  <c r="AC15" i="2"/>
  <c r="AE15" i="2" s="1"/>
  <c r="AC35" i="2"/>
  <c r="AE35" i="2" s="1"/>
  <c r="AC13" i="2"/>
  <c r="AE13" i="2" s="1"/>
  <c r="Y24" i="2"/>
  <c r="AA24" i="2" s="1"/>
  <c r="AC20" i="2"/>
  <c r="AE20" i="2" s="1"/>
  <c r="AC37" i="2"/>
  <c r="AE37" i="2" s="1"/>
  <c r="Y33" i="2"/>
  <c r="AA33" i="2" s="1"/>
  <c r="Y18" i="2"/>
  <c r="AA18" i="2" s="1"/>
  <c r="Y28" i="2"/>
  <c r="AA28" i="2" s="1"/>
  <c r="AC23" i="2"/>
  <c r="AE23" i="2" s="1"/>
  <c r="AC31" i="2"/>
  <c r="AE31" i="2" s="1"/>
  <c r="Y26" i="2"/>
  <c r="AA26" i="2" s="1"/>
  <c r="AC29" i="2"/>
  <c r="AE29" i="2" s="1"/>
  <c r="X10" i="2"/>
  <c r="X12" i="2"/>
  <c r="AB14" i="2"/>
  <c r="AC14" i="2" s="1"/>
  <c r="AB17" i="2"/>
  <c r="T9" i="2"/>
  <c r="AC9" i="2" s="1"/>
  <c r="AE9" i="2" s="1"/>
  <c r="Y39" i="7"/>
  <c r="Y40" i="7" s="1"/>
  <c r="Y38" i="7"/>
  <c r="R15" i="2"/>
  <c r="X15" i="2" s="1"/>
  <c r="Y15" i="2" s="1"/>
  <c r="P39" i="7"/>
  <c r="P40" i="7" s="1"/>
  <c r="P38" i="7"/>
  <c r="Y12" i="2" l="1"/>
  <c r="AA12" i="2" s="1"/>
  <c r="AC17" i="2"/>
  <c r="AE17" i="2" s="1"/>
  <c r="Y10" i="2"/>
  <c r="AA10" i="2" s="1"/>
  <c r="AA15" i="2"/>
  <c r="R46" i="2" l="1"/>
  <c r="R44" i="2"/>
  <c r="R45" i="2"/>
  <c r="X46" i="2"/>
  <c r="X45" i="2"/>
  <c r="X47" i="2"/>
  <c r="X44" i="2"/>
  <c r="X48" i="2"/>
  <c r="R47" i="2"/>
  <c r="R48" i="2"/>
  <c r="R43" i="2" l="1"/>
  <c r="X4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<sst xmlns="http://schemas.openxmlformats.org/spreadsheetml/2006/main" count="225" uniqueCount="128">
  <si>
    <t xml:space="preserve">AVALIAÇÃO GLOBAL </t>
  </si>
  <si>
    <t>Turma:</t>
  </si>
  <si>
    <t>ORALIDADE</t>
  </si>
  <si>
    <t>LEITURA</t>
  </si>
  <si>
    <t>ED. LITERÁRIA</t>
  </si>
  <si>
    <t>GRAMÁTICA</t>
  </si>
  <si>
    <t>ESCRITA</t>
  </si>
  <si>
    <t>FINAL</t>
  </si>
  <si>
    <t>Nº</t>
  </si>
  <si>
    <t>NOME</t>
  </si>
  <si>
    <t>1º P</t>
  </si>
  <si>
    <t>2º P</t>
  </si>
  <si>
    <t>dadas</t>
  </si>
  <si>
    <t>previstas</t>
  </si>
  <si>
    <t>sucesso</t>
  </si>
  <si>
    <t>nível 2</t>
  </si>
  <si>
    <t>nível 3</t>
  </si>
  <si>
    <t>nível 4</t>
  </si>
  <si>
    <t>nível 5</t>
  </si>
  <si>
    <t>PORTUGUÊS</t>
  </si>
  <si>
    <t>Ano: 7.º</t>
  </si>
  <si>
    <t>A</t>
  </si>
  <si>
    <t>GRELHA DE CORREÇÃO</t>
  </si>
  <si>
    <t>SUBTOTAL</t>
  </si>
  <si>
    <t>EDUCAÇÃO LITERÁRIA</t>
  </si>
  <si>
    <t>TOTAL</t>
  </si>
  <si>
    <t>Questão</t>
  </si>
  <si>
    <t>5.1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</si>
  <si>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</si>
  <si>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</si>
  <si>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</si>
  <si>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</si>
  <si>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</si>
  <si>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</si>
  <si>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</si>
  <si>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</si>
  <si>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</si>
  <si>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</si>
  <si>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</si>
  <si>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</si>
  <si>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</si>
  <si>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Factores de desvalororização no domínio da organização e correção da expressão escrita</t>
  </si>
  <si>
    <t>N.º OC</t>
  </si>
  <si>
    <t>DESV</t>
  </si>
  <si>
    <t>erro de ortografia (incluindo erro de acentuação, erro de translineação e uso indevido de letra minúscula ou de letra maiúscula inicial)</t>
  </si>
  <si>
    <t>erro de morfologia</t>
  </si>
  <si>
    <t>3 ou +</t>
  </si>
  <si>
    <t>erro inequívoco de pontuação, incumprimento de regra de citação ou de referência a título de obra</t>
  </si>
  <si>
    <t>B</t>
  </si>
  <si>
    <t>erro de sintaxe</t>
  </si>
  <si>
    <t>2 ou 3</t>
  </si>
  <si>
    <t>impropriedade lexical</t>
  </si>
  <si>
    <t>4 ou +</t>
  </si>
  <si>
    <t>Média dos testes</t>
  </si>
  <si>
    <t>N.º de negativas</t>
  </si>
  <si>
    <t>% de negativas</t>
  </si>
  <si>
    <t xml:space="preserve"> </t>
  </si>
  <si>
    <t xml:space="preserve">                   Cotação
Nome
</t>
  </si>
  <si>
    <r>
      <rPr>
        <b/>
        <sz val="11"/>
        <color theme="1"/>
        <rFont val="Arial"/>
        <family val="2"/>
      </rPr>
      <t xml:space="preserve"> </t>
    </r>
    <r>
      <rPr>
        <b/>
        <sz val="14"/>
        <color theme="1"/>
        <rFont val="Arial"/>
        <family val="2"/>
      </rPr>
      <t>EDUCAÇÃO LITERÁRIA</t>
    </r>
  </si>
  <si>
    <r>
      <t xml:space="preserve"> </t>
    </r>
    <r>
      <rPr>
        <sz val="14"/>
        <color theme="1"/>
        <rFont val="Arial"/>
        <family val="2"/>
      </rPr>
      <t>ESCRITA</t>
    </r>
  </si>
  <si>
    <t xml:space="preserve"> GRAMÁTICA 1</t>
  </si>
  <si>
    <t>7.º B</t>
  </si>
  <si>
    <t>7.º C</t>
  </si>
  <si>
    <t>nível 1</t>
  </si>
  <si>
    <t>Desc.</t>
  </si>
  <si>
    <t>C</t>
  </si>
  <si>
    <t>D</t>
  </si>
  <si>
    <t>E</t>
  </si>
  <si>
    <t>AV ajuste</t>
  </si>
  <si>
    <t>Ano Letivo 2020/21</t>
  </si>
  <si>
    <t>1º P Auto Av.</t>
  </si>
  <si>
    <t>2º P Auto Av.</t>
  </si>
  <si>
    <t>DAC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</si>
  <si>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</si>
  <si>
    <r>
      <rPr>
        <b/>
        <sz val="9"/>
        <color rgb="FFFF0000"/>
        <rFont val="Arial"/>
        <family val="2"/>
      </rPr>
      <t>Desc</t>
    </r>
    <r>
      <rPr>
        <b/>
        <sz val="9"/>
        <color theme="1"/>
        <rFont val="Arial"/>
        <family val="2"/>
      </rPr>
      <t>.</t>
    </r>
  </si>
  <si>
    <t>Total Comp.</t>
  </si>
  <si>
    <t>C. Oral</t>
  </si>
  <si>
    <t>Expr. Oral</t>
  </si>
  <si>
    <t>SUBTOTAL C. Oral</t>
  </si>
  <si>
    <t>SUBTOTAL Expr. Oral</t>
  </si>
  <si>
    <t>Teste Leitura</t>
  </si>
  <si>
    <r>
      <t xml:space="preserve"> </t>
    </r>
    <r>
      <rPr>
        <sz val="14"/>
        <color theme="1"/>
        <rFont val="Arial"/>
        <family val="2"/>
      </rPr>
      <t>COMPREENSÃO ORAL + EXPRESSÃO ORAL</t>
    </r>
  </si>
  <si>
    <t>Ademar Monforte</t>
  </si>
  <si>
    <t>Alexandre Simões</t>
  </si>
  <si>
    <t>Ana Inácio</t>
  </si>
  <si>
    <t>Ana Gomes</t>
  </si>
  <si>
    <t>Bruna Lemos</t>
  </si>
  <si>
    <t>Constança Abreu</t>
  </si>
  <si>
    <t>Cristiano Emídio</t>
  </si>
  <si>
    <t>Edgar Gonçalves</t>
  </si>
  <si>
    <t>Fábio Trino</t>
  </si>
  <si>
    <t>Francisco Pedrosa</t>
  </si>
  <si>
    <t>Francisco Miranda</t>
  </si>
  <si>
    <t>Francisco Mota</t>
  </si>
  <si>
    <t>Francisco Marques</t>
  </si>
  <si>
    <t>Jamila Portilha</t>
  </si>
  <si>
    <t>Joelma Emídio</t>
  </si>
  <si>
    <t>José Garcia</t>
  </si>
  <si>
    <t>Leonor Gomes</t>
  </si>
  <si>
    <t>Martim Santos</t>
  </si>
  <si>
    <t>Nikole Lage</t>
  </si>
  <si>
    <t>Tatiana Gomes</t>
  </si>
  <si>
    <t>Manuel Ascenso</t>
  </si>
  <si>
    <t>7.º</t>
  </si>
  <si>
    <t>G</t>
  </si>
  <si>
    <t>7.º G</t>
  </si>
  <si>
    <t>7G</t>
  </si>
  <si>
    <t>1.1</t>
  </si>
  <si>
    <t>1.2</t>
  </si>
  <si>
    <t>1.3</t>
  </si>
  <si>
    <t>1.4</t>
  </si>
  <si>
    <t>1.5</t>
  </si>
  <si>
    <t>1.6</t>
  </si>
  <si>
    <t>1.7</t>
  </si>
  <si>
    <t>1.8</t>
  </si>
  <si>
    <t>4.1</t>
  </si>
  <si>
    <t>5.2</t>
  </si>
  <si>
    <t>6.</t>
  </si>
  <si>
    <t>2.</t>
  </si>
  <si>
    <t>Ana Ramos</t>
  </si>
  <si>
    <t>2º Semestre</t>
  </si>
  <si>
    <t>1º Semestre</t>
  </si>
  <si>
    <t>1ºS</t>
  </si>
  <si>
    <t>2ºS</t>
  </si>
  <si>
    <t>1º S</t>
  </si>
  <si>
    <t>2º S</t>
  </si>
  <si>
    <t>1.º S</t>
  </si>
  <si>
    <t>2.º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</si>
</sst>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5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sz val="10"/>
      <name val="Comic Sans MS"/>
      <family val="4"/>
    </font>
    <font>
      <sz val="18"/>
      <name val="Arial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27"/>
      </patternFill>
    </fill>
  </fills>
  <borders count="1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/>
      <bottom style="hair">
        <color theme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7" fillId="0" borderId="0"/>
  </cellStyleXfs>
  <cellXfs count="527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0" fillId="3" borderId="0" xfId="0" applyFont="1" applyFill="1" applyAlignment="1" applyProtection="1">
      <alignment vertical="center"/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" fillId="4" borderId="39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1" xfId="0" applyFont="1" applyFill="1" applyBorder="1" applyAlignment="1" applyProtection="1">
      <alignment horizontal="left" vertical="top"/>
      <protection locked="0"/>
    </xf>
    <xf numFmtId="1" fontId="27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27" fillId="6" borderId="0" xfId="0" applyNumberFormat="1" applyFont="1" applyFill="1" applyAlignment="1" applyProtection="1">
      <alignment horizontal="center" vertical="center"/>
      <protection locked="0"/>
    </xf>
    <xf numFmtId="1" fontId="14" fillId="9" borderId="67" xfId="0" applyNumberFormat="1" applyFont="1" applyFill="1" applyBorder="1" applyAlignment="1" applyProtection="1">
      <alignment horizontal="center" vertical="center"/>
      <protection hidden="1"/>
    </xf>
    <xf numFmtId="2" fontId="23" fillId="10" borderId="0" xfId="0" applyNumberFormat="1" applyFont="1" applyFill="1" applyAlignment="1" applyProtection="1">
      <alignment horizontal="center" vertical="center" wrapText="1"/>
      <protection locked="0"/>
    </xf>
    <xf numFmtId="1" fontId="23" fillId="10" borderId="0" xfId="0" applyNumberFormat="1" applyFont="1" applyFill="1" applyAlignment="1" applyProtection="1">
      <alignment horizontal="left" vertical="center"/>
      <protection locked="0"/>
    </xf>
    <xf numFmtId="0" fontId="23" fillId="10" borderId="0" xfId="0" applyFont="1" applyFill="1" applyAlignment="1" applyProtection="1">
      <alignment horizontal="center" vertical="center"/>
      <protection locked="0"/>
    </xf>
    <xf numFmtId="16" fontId="23" fillId="10" borderId="0" xfId="0" applyNumberFormat="1" applyFont="1" applyFill="1" applyAlignment="1" applyProtection="1">
      <alignment horizontal="center" vertical="center"/>
      <protection locked="0"/>
    </xf>
    <xf numFmtId="0" fontId="23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0" fontId="23" fillId="11" borderId="0" xfId="0" applyFont="1" applyFill="1" applyAlignment="1" applyProtection="1">
      <alignment vertical="center" wrapText="1"/>
      <protection locked="0"/>
    </xf>
    <xf numFmtId="0" fontId="23" fillId="11" borderId="72" xfId="0" applyFont="1" applyFill="1" applyBorder="1" applyAlignment="1" applyProtection="1">
      <alignment vertical="center" wrapText="1"/>
      <protection locked="0"/>
    </xf>
    <xf numFmtId="0" fontId="23" fillId="0" borderId="0" xfId="0" applyFont="1" applyAlignment="1" applyProtection="1">
      <alignment wrapText="1"/>
      <protection locked="0"/>
    </xf>
    <xf numFmtId="0" fontId="23" fillId="11" borderId="71" xfId="0" applyFont="1" applyFill="1" applyBorder="1" applyAlignment="1" applyProtection="1">
      <alignment wrapText="1"/>
      <protection locked="0"/>
    </xf>
    <xf numFmtId="0" fontId="23" fillId="11" borderId="71" xfId="0" applyFont="1" applyFill="1" applyBorder="1" applyProtection="1">
      <protection locked="0"/>
    </xf>
    <xf numFmtId="0" fontId="23" fillId="0" borderId="0" xfId="0" applyFont="1" applyProtection="1">
      <protection locked="0"/>
    </xf>
    <xf numFmtId="0" fontId="21" fillId="4" borderId="38" xfId="0" applyFont="1" applyFill="1" applyBorder="1" applyAlignment="1" applyProtection="1">
      <alignment vertical="top"/>
      <protection locked="0"/>
    </xf>
    <xf numFmtId="1" fontId="23" fillId="5" borderId="61" xfId="0" applyNumberFormat="1" applyFont="1" applyFill="1" applyBorder="1" applyAlignment="1" applyProtection="1">
      <alignment horizontal="center" vertical="center"/>
      <protection locked="0"/>
    </xf>
    <xf numFmtId="1" fontId="23" fillId="5" borderId="78" xfId="0" applyNumberFormat="1" applyFont="1" applyFill="1" applyBorder="1" applyAlignment="1" applyProtection="1">
      <alignment horizontal="center" vertical="center"/>
      <protection locked="0"/>
    </xf>
    <xf numFmtId="1" fontId="23" fillId="5" borderId="9" xfId="0" applyNumberFormat="1" applyFont="1" applyFill="1" applyBorder="1" applyAlignment="1" applyProtection="1">
      <alignment horizontal="center" vertical="center"/>
      <protection locked="0"/>
    </xf>
    <xf numFmtId="1" fontId="14" fillId="9" borderId="6" xfId="0" applyNumberFormat="1" applyFont="1" applyFill="1" applyBorder="1" applyAlignment="1" applyProtection="1">
      <alignment horizontal="center" vertical="center"/>
      <protection hidden="1"/>
    </xf>
    <xf numFmtId="0" fontId="21" fillId="4" borderId="15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6" fillId="5" borderId="61" xfId="0" applyNumberFormat="1" applyFont="1" applyFill="1" applyBorder="1" applyAlignment="1" applyProtection="1">
      <alignment horizontal="center" vertical="center"/>
      <protection locked="0"/>
    </xf>
    <xf numFmtId="1" fontId="26" fillId="5" borderId="78" xfId="0" applyNumberFormat="1" applyFont="1" applyFill="1" applyBorder="1" applyAlignment="1" applyProtection="1">
      <alignment horizontal="center" vertical="center"/>
      <protection locked="0"/>
    </xf>
    <xf numFmtId="1" fontId="26" fillId="4" borderId="81" xfId="0" applyNumberFormat="1" applyFont="1" applyFill="1" applyBorder="1" applyAlignment="1" applyProtection="1">
      <alignment horizontal="center" vertical="center"/>
      <protection locked="0"/>
    </xf>
    <xf numFmtId="1" fontId="26" fillId="5" borderId="62" xfId="0" applyNumberFormat="1" applyFont="1" applyFill="1" applyBorder="1" applyAlignment="1" applyProtection="1">
      <alignment horizontal="center" vertical="center"/>
      <protection locked="0"/>
    </xf>
    <xf numFmtId="1" fontId="26" fillId="3" borderId="76" xfId="0" applyNumberFormat="1" applyFont="1" applyFill="1" applyBorder="1" applyAlignment="1" applyProtection="1">
      <alignment horizontal="center" vertical="center"/>
      <protection locked="0"/>
    </xf>
    <xf numFmtId="1" fontId="26" fillId="5" borderId="47" xfId="0" applyNumberFormat="1" applyFont="1" applyFill="1" applyBorder="1" applyAlignment="1" applyProtection="1">
      <alignment horizontal="center" vertical="center"/>
      <protection locked="0"/>
    </xf>
    <xf numFmtId="1" fontId="14" fillId="9" borderId="64" xfId="0" applyNumberFormat="1" applyFont="1" applyFill="1" applyBorder="1" applyAlignment="1" applyProtection="1">
      <alignment horizontal="center" vertical="center"/>
      <protection hidden="1"/>
    </xf>
    <xf numFmtId="1" fontId="26" fillId="4" borderId="6" xfId="0" applyNumberFormat="1" applyFont="1" applyFill="1" applyBorder="1" applyAlignment="1" applyProtection="1">
      <alignment horizontal="center" vertical="center"/>
      <protection locked="0"/>
    </xf>
    <xf numFmtId="0" fontId="21" fillId="4" borderId="35" xfId="0" applyFont="1" applyFill="1" applyBorder="1" applyAlignment="1" applyProtection="1">
      <alignment vertical="top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61" xfId="0" applyFont="1" applyFill="1" applyBorder="1" applyAlignment="1" applyProtection="1">
      <alignment horizontal="center" vertical="center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23" fillId="3" borderId="9" xfId="0" applyFont="1" applyFill="1" applyBorder="1" applyAlignment="1" applyProtection="1">
      <alignment horizontal="center" vertical="center" shrinkToFit="1"/>
      <protection locked="0"/>
    </xf>
    <xf numFmtId="1" fontId="14" fillId="9" borderId="54" xfId="0" applyNumberFormat="1" applyFont="1" applyFill="1" applyBorder="1" applyAlignment="1" applyProtection="1">
      <alignment horizontal="center" vertical="center"/>
      <protection hidden="1"/>
    </xf>
    <xf numFmtId="1" fontId="28" fillId="0" borderId="0" xfId="0" applyNumberFormat="1" applyFont="1" applyBorder="1" applyAlignment="1" applyProtection="1">
      <alignment horizontal="center" vertical="center"/>
      <protection locked="0"/>
    </xf>
    <xf numFmtId="164" fontId="27" fillId="0" borderId="0" xfId="0" applyNumberFormat="1" applyFont="1" applyBorder="1" applyAlignment="1" applyProtection="1">
      <alignment horizontal="center" vertical="center"/>
      <protection locked="0"/>
    </xf>
    <xf numFmtId="165" fontId="28" fillId="0" borderId="0" xfId="0" applyNumberFormat="1" applyFont="1" applyBorder="1" applyAlignment="1" applyProtection="1">
      <alignment horizontal="center" vertical="center"/>
      <protection locked="0"/>
    </xf>
    <xf numFmtId="1" fontId="26" fillId="5" borderId="38" xfId="0" applyNumberFormat="1" applyFont="1" applyFill="1" applyBorder="1" applyAlignment="1" applyProtection="1">
      <alignment horizontal="center" vertical="center"/>
      <protection locked="0"/>
    </xf>
    <xf numFmtId="1" fontId="26" fillId="5" borderId="15" xfId="0" applyNumberFormat="1" applyFont="1" applyFill="1" applyBorder="1" applyAlignment="1" applyProtection="1">
      <alignment horizontal="center" vertical="center"/>
      <protection locked="0"/>
    </xf>
    <xf numFmtId="1" fontId="26" fillId="5" borderId="35" xfId="0" applyNumberFormat="1" applyFont="1" applyFill="1" applyBorder="1" applyAlignment="1" applyProtection="1">
      <alignment horizontal="center" vertical="center"/>
      <protection locked="0"/>
    </xf>
    <xf numFmtId="0" fontId="24" fillId="6" borderId="80" xfId="0" applyFont="1" applyFill="1" applyBorder="1" applyAlignment="1" applyProtection="1">
      <alignment horizontal="center" vertical="center"/>
      <protection locked="0"/>
    </xf>
    <xf numFmtId="0" fontId="24" fillId="6" borderId="9" xfId="0" applyFont="1" applyFill="1" applyBorder="1" applyAlignment="1" applyProtection="1">
      <alignment horizontal="center"/>
      <protection locked="0"/>
    </xf>
    <xf numFmtId="0" fontId="24" fillId="6" borderId="14" xfId="0" applyFont="1" applyFill="1" applyBorder="1" applyAlignment="1" applyProtection="1">
      <alignment horizontal="center"/>
      <protection locked="0"/>
    </xf>
    <xf numFmtId="1" fontId="34" fillId="0" borderId="0" xfId="0" applyNumberFormat="1" applyFont="1" applyBorder="1" applyAlignment="1" applyProtection="1">
      <alignment horizontal="center" vertical="center"/>
      <protection locked="0"/>
    </xf>
    <xf numFmtId="0" fontId="20" fillId="3" borderId="24" xfId="0" applyFont="1" applyFill="1" applyBorder="1" applyAlignment="1" applyProtection="1">
      <alignment vertical="center"/>
      <protection locked="0"/>
    </xf>
    <xf numFmtId="0" fontId="20" fillId="3" borderId="0" xfId="0" applyFont="1" applyFill="1" applyBorder="1" applyAlignment="1" applyProtection="1">
      <alignment vertical="center"/>
      <protection locked="0"/>
    </xf>
    <xf numFmtId="0" fontId="20" fillId="3" borderId="69" xfId="0" applyFont="1" applyFill="1" applyBorder="1" applyAlignment="1" applyProtection="1">
      <alignment vertical="center"/>
      <protection locked="0"/>
    </xf>
    <xf numFmtId="0" fontId="18" fillId="0" borderId="69" xfId="0" applyFont="1" applyBorder="1" applyAlignment="1" applyProtection="1">
      <alignment vertical="center"/>
      <protection locked="0"/>
    </xf>
    <xf numFmtId="1" fontId="26" fillId="5" borderId="48" xfId="0" applyNumberFormat="1" applyFont="1" applyFill="1" applyBorder="1" applyAlignment="1" applyProtection="1">
      <alignment horizontal="center" vertical="center"/>
      <protection locked="0"/>
    </xf>
    <xf numFmtId="0" fontId="24" fillId="6" borderId="7" xfId="0" applyFont="1" applyFill="1" applyBorder="1" applyAlignment="1" applyProtection="1">
      <alignment horizontal="center" vertical="center"/>
      <protection locked="0"/>
    </xf>
    <xf numFmtId="0" fontId="24" fillId="6" borderId="9" xfId="0" applyFont="1" applyFill="1" applyBorder="1" applyAlignment="1" applyProtection="1">
      <alignment horizontal="center" vertical="center"/>
      <protection locked="0"/>
    </xf>
    <xf numFmtId="0" fontId="24" fillId="6" borderId="6" xfId="0" applyFont="1" applyFill="1" applyBorder="1" applyAlignment="1" applyProtection="1">
      <alignment horizontal="center" vertical="center"/>
      <protection locked="0"/>
    </xf>
    <xf numFmtId="1" fontId="36" fillId="5" borderId="46" xfId="0" applyNumberFormat="1" applyFont="1" applyFill="1" applyBorder="1" applyAlignment="1" applyProtection="1">
      <alignment horizontal="center" vertical="center"/>
      <protection locked="0"/>
    </xf>
    <xf numFmtId="1" fontId="36" fillId="5" borderId="47" xfId="0" applyNumberFormat="1" applyFont="1" applyFill="1" applyBorder="1" applyAlignment="1" applyProtection="1">
      <alignment horizontal="center" vertical="center"/>
      <protection locked="0"/>
    </xf>
    <xf numFmtId="1" fontId="14" fillId="9" borderId="39" xfId="0" applyNumberFormat="1" applyFont="1" applyFill="1" applyBorder="1" applyAlignment="1" applyProtection="1">
      <alignment horizontal="center" vertical="center"/>
      <protection hidden="1"/>
    </xf>
    <xf numFmtId="1" fontId="26" fillId="5" borderId="80" xfId="0" applyNumberFormat="1" applyFont="1" applyFill="1" applyBorder="1" applyAlignment="1" applyProtection="1">
      <alignment horizontal="center" vertical="center"/>
      <protection locked="0"/>
    </xf>
    <xf numFmtId="1" fontId="26" fillId="5" borderId="101" xfId="0" applyNumberFormat="1" applyFont="1" applyFill="1" applyBorder="1" applyAlignment="1" applyProtection="1">
      <alignment horizontal="center" vertical="center"/>
      <protection locked="0"/>
    </xf>
    <xf numFmtId="1" fontId="38" fillId="4" borderId="83" xfId="0" applyNumberFormat="1" applyFont="1" applyFill="1" applyBorder="1" applyAlignment="1" applyProtection="1">
      <alignment horizontal="center" vertical="center" wrapText="1"/>
      <protection locked="0"/>
    </xf>
    <xf numFmtId="1" fontId="26" fillId="5" borderId="104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4" fillId="6" borderId="41" xfId="0" applyFont="1" applyFill="1" applyBorder="1" applyAlignment="1" applyProtection="1">
      <alignment horizontal="center" vertical="center"/>
      <protection locked="0"/>
    </xf>
    <xf numFmtId="0" fontId="24" fillId="6" borderId="100" xfId="0" applyFont="1" applyFill="1" applyBorder="1" applyAlignment="1" applyProtection="1">
      <alignment horizontal="center" vertical="center"/>
      <protection locked="0"/>
    </xf>
    <xf numFmtId="0" fontId="24" fillId="6" borderId="24" xfId="0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23" fillId="11" borderId="72" xfId="0" applyFont="1" applyFill="1" applyBorder="1" applyAlignment="1" applyProtection="1">
      <alignment horizontal="center" vertical="center"/>
      <protection locked="0"/>
    </xf>
    <xf numFmtId="0" fontId="23" fillId="11" borderId="71" xfId="0" applyFont="1" applyFill="1" applyBorder="1" applyAlignment="1" applyProtection="1">
      <alignment horizontal="center" vertical="center"/>
      <protection locked="0"/>
    </xf>
    <xf numFmtId="0" fontId="23" fillId="11" borderId="71" xfId="0" applyFont="1" applyFill="1" applyBorder="1" applyAlignment="1" applyProtection="1">
      <alignment vertical="center" wrapText="1"/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0" borderId="87" xfId="0" applyNumberFormat="1" applyFont="1" applyFill="1" applyBorder="1" applyAlignment="1" applyProtection="1">
      <alignment horizontal="center" vertical="center" wrapText="1"/>
    </xf>
    <xf numFmtId="1" fontId="14" fillId="10" borderId="87" xfId="0" applyNumberFormat="1" applyFont="1" applyFill="1" applyBorder="1" applyAlignment="1" applyProtection="1">
      <alignment horizontal="center" vertical="center" wrapText="1"/>
    </xf>
    <xf numFmtId="1" fontId="24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4" fillId="6" borderId="9" xfId="0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Protection="1">
      <protection locked="0"/>
    </xf>
    <xf numFmtId="1" fontId="24" fillId="6" borderId="83" xfId="0" applyNumberFormat="1" applyFont="1" applyFill="1" applyBorder="1" applyAlignment="1" applyProtection="1">
      <alignment horizontal="center" vertical="center"/>
      <protection locked="0" hidden="1"/>
    </xf>
    <xf numFmtId="1" fontId="33" fillId="6" borderId="1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/>
    </xf>
    <xf numFmtId="1" fontId="14" fillId="9" borderId="99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7" xfId="0" applyNumberFormat="1" applyFont="1" applyFill="1" applyBorder="1" applyAlignment="1" applyProtection="1">
      <alignment horizontal="center" vertical="center"/>
      <protection locked="0" hidden="1"/>
    </xf>
    <xf numFmtId="1" fontId="24" fillId="6" borderId="14" xfId="0" applyNumberFormat="1" applyFont="1" applyFill="1" applyBorder="1" applyAlignment="1" applyProtection="1">
      <alignment horizontal="center" vertical="center"/>
      <protection hidden="1"/>
    </xf>
    <xf numFmtId="0" fontId="24" fillId="6" borderId="6" xfId="0" applyFont="1" applyFill="1" applyBorder="1" applyAlignment="1" applyProtection="1">
      <alignment horizontal="center" vertical="center"/>
    </xf>
    <xf numFmtId="1" fontId="24" fillId="6" borderId="6" xfId="0" applyNumberFormat="1" applyFont="1" applyFill="1" applyBorder="1" applyAlignment="1" applyProtection="1">
      <alignment horizontal="center" vertical="center"/>
      <protection hidden="1"/>
    </xf>
    <xf numFmtId="0" fontId="24" fillId="6" borderId="14" xfId="0" applyFont="1" applyFill="1" applyBorder="1" applyAlignment="1" applyProtection="1">
      <alignment horizontal="center" vertical="center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85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39" fillId="0" borderId="0" xfId="0" applyNumberFormat="1" applyFont="1" applyProtection="1">
      <protection locked="0"/>
    </xf>
    <xf numFmtId="0" fontId="39" fillId="0" borderId="0" xfId="0" applyFont="1" applyProtection="1">
      <protection locked="0"/>
    </xf>
    <xf numFmtId="1" fontId="7" fillId="10" borderId="124" xfId="0" applyNumberFormat="1" applyFont="1" applyFill="1" applyBorder="1" applyAlignment="1" applyProtection="1">
      <alignment horizontal="center"/>
      <protection locked="0"/>
    </xf>
    <xf numFmtId="1" fontId="14" fillId="10" borderId="128" xfId="0" applyNumberFormat="1" applyFont="1" applyFill="1" applyBorder="1" applyAlignment="1" applyProtection="1">
      <alignment horizontal="center" vertical="center" wrapText="1"/>
    </xf>
    <xf numFmtId="1" fontId="7" fillId="10" borderId="109" xfId="0" applyNumberFormat="1" applyFont="1" applyFill="1" applyBorder="1" applyAlignment="1" applyProtection="1">
      <alignment horizontal="center"/>
      <protection locked="0"/>
    </xf>
    <xf numFmtId="1" fontId="14" fillId="10" borderId="133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37" xfId="0" applyNumberFormat="1" applyFont="1" applyFill="1" applyBorder="1" applyAlignment="1" applyProtection="1">
      <alignment horizontal="center" vertical="center" wrapText="1"/>
    </xf>
    <xf numFmtId="0" fontId="29" fillId="7" borderId="51" xfId="0" applyFont="1" applyFill="1" applyBorder="1" applyAlignment="1" applyProtection="1">
      <alignment horizontal="center" vertical="center"/>
      <protection hidden="1"/>
    </xf>
    <xf numFmtId="0" fontId="29" fillId="3" borderId="51" xfId="0" applyFont="1" applyFill="1" applyBorder="1" applyAlignment="1" applyProtection="1">
      <alignment horizontal="center" vertical="center"/>
      <protection hidden="1"/>
    </xf>
    <xf numFmtId="0" fontId="29" fillId="7" borderId="77" xfId="0" applyFont="1" applyFill="1" applyBorder="1" applyAlignment="1" applyProtection="1">
      <alignment horizontal="center" vertical="center"/>
      <protection hidden="1"/>
    </xf>
    <xf numFmtId="0" fontId="29" fillId="3" borderId="61" xfId="0" applyFont="1" applyFill="1" applyBorder="1" applyAlignment="1" applyProtection="1">
      <alignment horizontal="center" vertical="center"/>
      <protection hidden="1"/>
    </xf>
    <xf numFmtId="1" fontId="1" fillId="8" borderId="52" xfId="0" applyNumberFormat="1" applyFont="1" applyFill="1" applyBorder="1" applyAlignment="1" applyProtection="1">
      <alignment horizontal="center" vertical="center"/>
      <protection locked="0"/>
    </xf>
    <xf numFmtId="1" fontId="1" fillId="8" borderId="53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5" borderId="69" xfId="0" applyNumberFormat="1" applyFont="1" applyFill="1" applyBorder="1" applyAlignment="1" applyProtection="1">
      <alignment horizontal="center" vertical="center"/>
      <protection locked="0"/>
    </xf>
    <xf numFmtId="1" fontId="1" fillId="5" borderId="70" xfId="0" applyNumberFormat="1" applyFont="1" applyFill="1" applyBorder="1" applyAlignment="1" applyProtection="1">
      <alignment horizontal="center" vertical="center"/>
      <protection locked="0"/>
    </xf>
    <xf numFmtId="1" fontId="1" fillId="5" borderId="84" xfId="0" applyNumberFormat="1" applyFont="1" applyFill="1" applyBorder="1" applyAlignment="1" applyProtection="1">
      <alignment horizontal="center" vertical="center"/>
      <protection locked="0"/>
    </xf>
    <xf numFmtId="1" fontId="1" fillId="8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57" xfId="0" applyNumberFormat="1" applyFont="1" applyFill="1" applyBorder="1" applyAlignment="1" applyProtection="1">
      <alignment horizontal="center" vertical="center"/>
      <protection locked="0"/>
    </xf>
    <xf numFmtId="1" fontId="1" fillId="10" borderId="49" xfId="0" applyNumberFormat="1" applyFont="1" applyFill="1" applyBorder="1" applyAlignment="1" applyProtection="1">
      <alignment horizontal="center" vertical="center"/>
      <protection locked="0"/>
    </xf>
    <xf numFmtId="1" fontId="1" fillId="5" borderId="56" xfId="0" applyNumberFormat="1" applyFont="1" applyFill="1" applyBorder="1" applyAlignment="1" applyProtection="1">
      <alignment horizontal="center" vertical="center"/>
      <protection locked="0"/>
    </xf>
    <xf numFmtId="1" fontId="1" fillId="5" borderId="57" xfId="0" applyNumberFormat="1" applyFont="1" applyFill="1" applyBorder="1" applyAlignment="1" applyProtection="1">
      <alignment horizontal="center" vertical="center"/>
      <protection locked="0"/>
    </xf>
    <xf numFmtId="1" fontId="1" fillId="5" borderId="49" xfId="0" applyNumberFormat="1" applyFont="1" applyFill="1" applyBorder="1" applyAlignment="1" applyProtection="1">
      <alignment horizontal="center" vertical="center"/>
      <protection locked="0"/>
    </xf>
    <xf numFmtId="1" fontId="1" fillId="0" borderId="57" xfId="0" applyNumberFormat="1" applyFont="1" applyBorder="1" applyAlignment="1" applyProtection="1">
      <alignment horizontal="center" vertical="center"/>
      <protection locked="0"/>
    </xf>
    <xf numFmtId="1" fontId="1" fillId="10" borderId="56" xfId="0" applyNumberFormat="1" applyFont="1" applyFill="1" applyBorder="1" applyAlignment="1" applyProtection="1">
      <alignment horizontal="center" vertical="center"/>
      <protection locked="0"/>
    </xf>
    <xf numFmtId="1" fontId="1" fillId="3" borderId="56" xfId="0" applyNumberFormat="1" applyFont="1" applyFill="1" applyBorder="1" applyAlignment="1" applyProtection="1">
      <alignment horizontal="center" vertical="center"/>
      <protection locked="0"/>
    </xf>
    <xf numFmtId="1" fontId="1" fillId="3" borderId="57" xfId="0" applyNumberFormat="1" applyFont="1" applyFill="1" applyBorder="1" applyAlignment="1" applyProtection="1">
      <alignment horizontal="center" vertical="center"/>
      <protection locked="0"/>
    </xf>
    <xf numFmtId="1" fontId="1" fillId="3" borderId="49" xfId="0" applyNumberFormat="1" applyFont="1" applyFill="1" applyBorder="1" applyAlignment="1" applyProtection="1">
      <alignment horizontal="center" vertical="center"/>
      <protection locked="0"/>
    </xf>
    <xf numFmtId="1" fontId="1" fillId="10" borderId="68" xfId="0" applyNumberFormat="1" applyFont="1" applyFill="1" applyBorder="1" applyAlignment="1" applyProtection="1">
      <alignment horizontal="center" vertical="center"/>
      <protection locked="0"/>
    </xf>
    <xf numFmtId="1" fontId="1" fillId="10" borderId="69" xfId="0" applyNumberFormat="1" applyFont="1" applyFill="1" applyBorder="1" applyAlignment="1" applyProtection="1">
      <alignment horizontal="center" vertical="center"/>
      <protection locked="0"/>
    </xf>
    <xf numFmtId="1" fontId="1" fillId="8" borderId="84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  <protection locked="0"/>
    </xf>
    <xf numFmtId="1" fontId="1" fillId="8" borderId="66" xfId="0" applyNumberFormat="1" applyFont="1" applyFill="1" applyBorder="1" applyAlignment="1" applyProtection="1">
      <alignment horizontal="center" vertical="center"/>
      <protection locked="0"/>
    </xf>
    <xf numFmtId="1" fontId="1" fillId="5" borderId="78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10" borderId="84" xfId="0" applyNumberFormat="1" applyFont="1" applyFill="1" applyBorder="1" applyAlignment="1" applyProtection="1">
      <alignment horizontal="center" vertical="center"/>
      <protection locked="0"/>
    </xf>
    <xf numFmtId="1" fontId="1" fillId="5" borderId="61" xfId="0" applyNumberFormat="1" applyFont="1" applyFill="1" applyBorder="1" applyAlignment="1" applyProtection="1">
      <alignment horizontal="center" vertical="center"/>
      <protection locked="0"/>
    </xf>
    <xf numFmtId="1" fontId="1" fillId="5" borderId="62" xfId="0" applyNumberFormat="1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 shrinkToFit="1"/>
      <protection locked="0"/>
    </xf>
    <xf numFmtId="0" fontId="1" fillId="3" borderId="9" xfId="0" applyFont="1" applyFill="1" applyBorder="1" applyAlignment="1" applyProtection="1">
      <alignment horizontal="center" vertical="center" shrinkToFit="1"/>
      <protection locked="0"/>
    </xf>
    <xf numFmtId="1" fontId="1" fillId="5" borderId="9" xfId="0" applyNumberFormat="1" applyFont="1" applyFill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1" fontId="1" fillId="8" borderId="138" xfId="0" applyNumberFormat="1" applyFont="1" applyFill="1" applyBorder="1" applyAlignment="1" applyProtection="1">
      <alignment horizontal="center" vertical="center"/>
      <protection locked="0"/>
    </xf>
    <xf numFmtId="1" fontId="1" fillId="5" borderId="82" xfId="0" applyNumberFormat="1" applyFont="1" applyFill="1" applyBorder="1" applyAlignment="1" applyProtection="1">
      <alignment horizontal="center" vertical="center"/>
      <protection locked="0"/>
    </xf>
    <xf numFmtId="1" fontId="1" fillId="8" borderId="57" xfId="0" applyNumberFormat="1" applyFont="1" applyFill="1" applyBorder="1" applyAlignment="1" applyProtection="1">
      <alignment horizontal="center" vertical="center"/>
      <protection locked="0"/>
    </xf>
    <xf numFmtId="1" fontId="1" fillId="10" borderId="82" xfId="0" applyNumberFormat="1" applyFont="1" applyFill="1" applyBorder="1" applyAlignment="1" applyProtection="1">
      <alignment horizontal="center" vertical="center"/>
      <protection locked="0"/>
    </xf>
    <xf numFmtId="1" fontId="1" fillId="3" borderId="82" xfId="0" applyNumberFormat="1" applyFont="1" applyFill="1" applyBorder="1" applyAlignment="1" applyProtection="1">
      <alignment horizontal="center" vertical="center"/>
      <protection locked="0"/>
    </xf>
    <xf numFmtId="1" fontId="1" fillId="8" borderId="82" xfId="0" applyNumberFormat="1" applyFont="1" applyFill="1" applyBorder="1" applyAlignment="1" applyProtection="1">
      <alignment horizontal="center" vertical="center"/>
      <protection locked="0"/>
    </xf>
    <xf numFmtId="1" fontId="1" fillId="5" borderId="60" xfId="0" applyNumberFormat="1" applyFont="1" applyFill="1" applyBorder="1" applyAlignment="1" applyProtection="1">
      <alignment horizontal="center" vertical="center"/>
      <protection locked="0"/>
    </xf>
    <xf numFmtId="1" fontId="1" fillId="5" borderId="97" xfId="0" applyNumberFormat="1" applyFont="1" applyFill="1" applyBorder="1" applyAlignment="1" applyProtection="1">
      <alignment horizontal="center" vertical="center"/>
      <protection locked="0"/>
    </xf>
    <xf numFmtId="1" fontId="1" fillId="5" borderId="59" xfId="0" applyNumberFormat="1" applyFont="1" applyFill="1" applyBorder="1" applyAlignment="1" applyProtection="1">
      <alignment horizontal="center" vertical="center"/>
      <protection locked="0"/>
    </xf>
    <xf numFmtId="1" fontId="1" fillId="8" borderId="51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56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57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57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59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0" xfId="0" applyNumberFormat="1" applyFont="1" applyFill="1" applyBorder="1" applyAlignment="1" applyProtection="1">
      <alignment horizontal="center" vertical="center" shrinkToFit="1"/>
      <protection locked="0" hidden="1"/>
    </xf>
    <xf numFmtId="1" fontId="36" fillId="5" borderId="77" xfId="0" applyNumberFormat="1" applyFont="1" applyFill="1" applyBorder="1" applyAlignment="1" applyProtection="1">
      <alignment horizontal="center" vertical="center"/>
      <protection locked="0"/>
    </xf>
    <xf numFmtId="1" fontId="36" fillId="5" borderId="102" xfId="0" applyNumberFormat="1" applyFont="1" applyFill="1" applyBorder="1" applyAlignment="1" applyProtection="1">
      <alignment horizontal="center" vertical="center"/>
      <protection locked="0"/>
    </xf>
    <xf numFmtId="1" fontId="36" fillId="3" borderId="103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" fontId="1" fillId="8" borderId="51" xfId="0" applyNumberFormat="1" applyFont="1" applyFill="1" applyBorder="1" applyAlignment="1" applyProtection="1">
      <alignment horizontal="center" vertical="center"/>
      <protection locked="0"/>
    </xf>
    <xf numFmtId="1" fontId="1" fillId="8" borderId="52" xfId="0" applyNumberFormat="1" applyFont="1" applyFill="1" applyBorder="1" applyAlignment="1" applyProtection="1">
      <alignment horizontal="center" vertical="center" shrinkToFit="1"/>
      <protection locked="0" hidden="1"/>
    </xf>
    <xf numFmtId="0" fontId="41" fillId="10" borderId="86" xfId="0" applyFont="1" applyFill="1" applyBorder="1" applyAlignment="1" applyProtection="1">
      <alignment horizontal="left" wrapText="1"/>
      <protection locked="0"/>
    </xf>
    <xf numFmtId="0" fontId="41" fillId="0" borderId="45" xfId="0" applyFont="1" applyBorder="1" applyAlignment="1" applyProtection="1">
      <alignment horizontal="left" wrapText="1"/>
      <protection locked="0"/>
    </xf>
    <xf numFmtId="0" fontId="41" fillId="10" borderId="45" xfId="0" applyFont="1" applyFill="1" applyBorder="1" applyAlignment="1" applyProtection="1">
      <alignment horizontal="left" wrapText="1"/>
      <protection locked="0"/>
    </xf>
    <xf numFmtId="2" fontId="41" fillId="0" borderId="45" xfId="0" applyNumberFormat="1" applyFont="1" applyBorder="1" applyAlignment="1" applyProtection="1">
      <alignment horizontal="left" wrapText="1"/>
      <protection locked="0"/>
    </xf>
    <xf numFmtId="2" fontId="41" fillId="10" borderId="130" xfId="0" applyNumberFormat="1" applyFont="1" applyFill="1" applyBorder="1" applyAlignment="1" applyProtection="1">
      <alignment horizontal="left" wrapText="1"/>
      <protection locked="0"/>
    </xf>
    <xf numFmtId="2" fontId="42" fillId="0" borderId="0" xfId="0" applyNumberFormat="1" applyFont="1" applyProtection="1">
      <protection locked="0"/>
    </xf>
    <xf numFmtId="2" fontId="44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33" xfId="0" applyNumberFormat="1" applyFont="1" applyFill="1" applyBorder="1" applyAlignment="1" applyProtection="1">
      <alignment horizontal="center" vertical="center" wrapText="1"/>
      <protection locked="0"/>
    </xf>
    <xf numFmtId="1" fontId="45" fillId="10" borderId="85" xfId="0" applyNumberFormat="1" applyFont="1" applyFill="1" applyBorder="1" applyAlignment="1" applyProtection="1">
      <alignment horizontal="center" vertical="center" wrapText="1"/>
    </xf>
    <xf numFmtId="1" fontId="45" fillId="0" borderId="11" xfId="0" applyNumberFormat="1" applyFont="1" applyBorder="1" applyAlignment="1" applyProtection="1">
      <alignment horizontal="center" vertical="center"/>
    </xf>
    <xf numFmtId="1" fontId="45" fillId="10" borderId="11" xfId="0" applyNumberFormat="1" applyFont="1" applyFill="1" applyBorder="1" applyAlignment="1" applyProtection="1">
      <alignment horizontal="center" vertical="center"/>
    </xf>
    <xf numFmtId="1" fontId="45" fillId="10" borderId="124" xfId="0" applyNumberFormat="1" applyFont="1" applyFill="1" applyBorder="1" applyAlignment="1" applyProtection="1">
      <alignment horizontal="center" vertical="center"/>
    </xf>
    <xf numFmtId="1" fontId="45" fillId="10" borderId="109" xfId="0" applyNumberFormat="1" applyFont="1" applyFill="1" applyBorder="1" applyAlignment="1" applyProtection="1">
      <alignment horizontal="center" vertical="center"/>
    </xf>
    <xf numFmtId="2" fontId="45" fillId="2" borderId="42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44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37" xfId="0" applyNumberFormat="1" applyFont="1" applyFill="1" applyBorder="1" applyAlignment="1" applyProtection="1">
      <alignment horizontal="center" vertical="center" wrapText="1"/>
      <protection locked="0"/>
    </xf>
    <xf numFmtId="1" fontId="45" fillId="0" borderId="11" xfId="0" applyNumberFormat="1" applyFont="1" applyBorder="1" applyAlignment="1" applyProtection="1">
      <alignment horizontal="center" vertical="center" wrapText="1"/>
    </xf>
    <xf numFmtId="1" fontId="45" fillId="10" borderId="11" xfId="0" applyNumberFormat="1" applyFont="1" applyFill="1" applyBorder="1" applyAlignment="1" applyProtection="1">
      <alignment horizontal="center" vertical="center" wrapText="1"/>
    </xf>
    <xf numFmtId="1" fontId="45" fillId="10" borderId="124" xfId="0" applyNumberFormat="1" applyFont="1" applyFill="1" applyBorder="1" applyAlignment="1" applyProtection="1">
      <alignment horizontal="center" vertical="center" wrapText="1"/>
    </xf>
    <xf numFmtId="1" fontId="45" fillId="10" borderId="109" xfId="0" applyNumberFormat="1" applyFont="1" applyFill="1" applyBorder="1" applyAlignment="1" applyProtection="1">
      <alignment horizontal="center" vertical="center" wrapText="1"/>
    </xf>
    <xf numFmtId="2" fontId="44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44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44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0" xfId="0" applyNumberFormat="1" applyFont="1" applyFill="1" applyBorder="1" applyProtection="1">
      <protection locked="0"/>
    </xf>
    <xf numFmtId="2" fontId="48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32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Border="1" applyAlignment="1" applyProtection="1">
      <alignment horizontal="center" vertical="center" wrapText="1"/>
      <protection locked="0"/>
    </xf>
    <xf numFmtId="1" fontId="1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29" xfId="0" applyNumberFormat="1" applyFont="1" applyBorder="1" applyAlignment="1" applyProtection="1">
      <alignment horizontal="center" vertical="center" wrapText="1"/>
      <protection locked="0"/>
    </xf>
    <xf numFmtId="1" fontId="50" fillId="0" borderId="29" xfId="0" applyNumberFormat="1" applyFont="1" applyBorder="1" applyAlignment="1" applyProtection="1">
      <alignment horizontal="center" vertical="center" wrapText="1"/>
      <protection locked="0"/>
    </xf>
    <xf numFmtId="1" fontId="2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43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43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92" xfId="0" applyNumberFormat="1" applyFont="1" applyFill="1" applyBorder="1" applyAlignment="1" applyProtection="1">
      <alignment horizontal="center" vertical="center" wrapText="1"/>
    </xf>
    <xf numFmtId="1" fontId="14" fillId="0" borderId="93" xfId="0" applyNumberFormat="1" applyFont="1" applyFill="1" applyBorder="1" applyAlignment="1" applyProtection="1">
      <alignment horizontal="center" vertical="center" wrapText="1"/>
    </xf>
    <xf numFmtId="1" fontId="14" fillId="10" borderId="93" xfId="0" applyNumberFormat="1" applyFont="1" applyFill="1" applyBorder="1" applyAlignment="1" applyProtection="1">
      <alignment horizontal="center" vertical="center" wrapText="1"/>
    </xf>
    <xf numFmtId="1" fontId="14" fillId="10" borderId="127" xfId="0" applyNumberFormat="1" applyFont="1" applyFill="1" applyBorder="1" applyAlignment="1" applyProtection="1">
      <alignment horizontal="center" vertical="center" wrapText="1"/>
    </xf>
    <xf numFmtId="1" fontId="14" fillId="0" borderId="30" xfId="0" applyNumberFormat="1" applyFont="1" applyFill="1" applyBorder="1" applyAlignment="1" applyProtection="1">
      <alignment horizontal="center" vertical="center" wrapText="1"/>
    </xf>
    <xf numFmtId="1" fontId="14" fillId="10" borderId="132" xfId="0" applyNumberFormat="1" applyFont="1" applyFill="1" applyBorder="1" applyAlignment="1" applyProtection="1">
      <alignment horizontal="center" vertical="center" wrapText="1"/>
    </xf>
    <xf numFmtId="1" fontId="51" fillId="10" borderId="139" xfId="0" applyNumberFormat="1" applyFont="1" applyFill="1" applyBorder="1" applyAlignment="1" applyProtection="1">
      <alignment horizontal="center" vertical="center" wrapText="1"/>
      <protection locked="0"/>
    </xf>
    <xf numFmtId="1" fontId="51" fillId="0" borderId="10" xfId="0" applyNumberFormat="1" applyFont="1" applyBorder="1" applyAlignment="1" applyProtection="1">
      <alignment horizontal="center" vertical="center" wrapText="1"/>
      <protection locked="0"/>
    </xf>
    <xf numFmtId="1" fontId="51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91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9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9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29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34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6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" fontId="36" fillId="5" borderId="61" xfId="0" applyNumberFormat="1" applyFont="1" applyFill="1" applyBorder="1" applyAlignment="1" applyProtection="1">
      <alignment horizontal="center" vertical="center"/>
      <protection locked="0"/>
    </xf>
    <xf numFmtId="1" fontId="36" fillId="5" borderId="78" xfId="0" applyNumberFormat="1" applyFont="1" applyFill="1" applyBorder="1" applyAlignment="1" applyProtection="1">
      <alignment horizontal="center" vertical="center"/>
      <protection locked="0"/>
    </xf>
    <xf numFmtId="0" fontId="0" fillId="0" borderId="40" xfId="0" applyBorder="1" applyProtection="1">
      <protection locked="0"/>
    </xf>
    <xf numFmtId="1" fontId="31" fillId="3" borderId="14" xfId="0" applyNumberFormat="1" applyFont="1" applyFill="1" applyBorder="1" applyAlignment="1" applyProtection="1">
      <alignment horizontal="center" vertical="center"/>
      <protection hidden="1"/>
    </xf>
    <xf numFmtId="1" fontId="1" fillId="8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0" xfId="0" applyNumberFormat="1" applyFont="1" applyFill="1" applyBorder="1" applyAlignment="1" applyProtection="1">
      <alignment horizontal="center" vertical="center"/>
      <protection locked="0"/>
    </xf>
    <xf numFmtId="1" fontId="1" fillId="10" borderId="0" xfId="0" applyNumberFormat="1" applyFont="1" applyFill="1" applyBorder="1" applyAlignment="1" applyProtection="1">
      <alignment horizontal="center" vertical="center"/>
      <protection locked="0"/>
    </xf>
    <xf numFmtId="1" fontId="36" fillId="5" borderId="76" xfId="0" applyNumberFormat="1" applyFont="1" applyFill="1" applyBorder="1" applyAlignment="1" applyProtection="1">
      <alignment horizontal="center" vertical="center"/>
      <protection locked="0"/>
    </xf>
    <xf numFmtId="0" fontId="24" fillId="6" borderId="35" xfId="0" applyFont="1" applyFill="1" applyBorder="1" applyAlignment="1" applyProtection="1">
      <alignment horizontal="center" vertical="center"/>
      <protection locked="0"/>
    </xf>
    <xf numFmtId="1" fontId="1" fillId="5" borderId="103" xfId="0" applyNumberFormat="1" applyFont="1" applyFill="1" applyBorder="1" applyAlignment="1" applyProtection="1">
      <alignment horizontal="center" vertical="center"/>
      <protection locked="0"/>
    </xf>
    <xf numFmtId="1" fontId="1" fillId="10" borderId="103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3" borderId="55" xfId="0" applyNumberFormat="1" applyFont="1" applyFill="1" applyBorder="1" applyAlignment="1" applyProtection="1">
      <alignment horizontal="center" vertical="center"/>
      <protection locked="0"/>
    </xf>
    <xf numFmtId="1" fontId="23" fillId="5" borderId="38" xfId="0" applyNumberFormat="1" applyFont="1" applyFill="1" applyBorder="1" applyAlignment="1" applyProtection="1">
      <alignment horizontal="center" vertical="center"/>
      <protection locked="0"/>
    </xf>
    <xf numFmtId="1" fontId="1" fillId="8" borderId="67" xfId="0" applyNumberFormat="1" applyFont="1" applyFill="1" applyBorder="1" applyAlignment="1" applyProtection="1">
      <alignment horizontal="center" vertical="center"/>
    </xf>
    <xf numFmtId="1" fontId="1" fillId="5" borderId="13" xfId="0" applyNumberFormat="1" applyFont="1" applyFill="1" applyBorder="1" applyAlignment="1" applyProtection="1">
      <alignment horizontal="center" vertical="center"/>
    </xf>
    <xf numFmtId="1" fontId="1" fillId="10" borderId="147" xfId="0" applyNumberFormat="1" applyFont="1" applyFill="1" applyBorder="1" applyAlignment="1" applyProtection="1">
      <alignment horizontal="center" vertical="center"/>
    </xf>
    <xf numFmtId="1" fontId="1" fillId="5" borderId="147" xfId="0" applyNumberFormat="1" applyFont="1" applyFill="1" applyBorder="1" applyAlignment="1" applyProtection="1">
      <alignment horizontal="center" vertical="center"/>
    </xf>
    <xf numFmtId="1" fontId="1" fillId="3" borderId="147" xfId="0" applyNumberFormat="1" applyFont="1" applyFill="1" applyBorder="1" applyAlignment="1" applyProtection="1">
      <alignment horizontal="center" vertical="center"/>
    </xf>
    <xf numFmtId="1" fontId="1" fillId="10" borderId="13" xfId="0" applyNumberFormat="1" applyFont="1" applyFill="1" applyBorder="1" applyAlignment="1" applyProtection="1">
      <alignment horizontal="center" vertical="center"/>
    </xf>
    <xf numFmtId="1" fontId="23" fillId="5" borderId="47" xfId="0" applyNumberFormat="1" applyFont="1" applyFill="1" applyBorder="1" applyAlignment="1" applyProtection="1">
      <alignment horizontal="center" vertical="center"/>
      <protection locked="0"/>
    </xf>
    <xf numFmtId="1" fontId="23" fillId="5" borderId="76" xfId="0" applyNumberFormat="1" applyFont="1" applyFill="1" applyBorder="1" applyAlignment="1" applyProtection="1">
      <alignment horizontal="center" vertical="center"/>
      <protection locked="0"/>
    </xf>
    <xf numFmtId="1" fontId="23" fillId="5" borderId="8" xfId="0" applyNumberFormat="1" applyFont="1" applyFill="1" applyBorder="1" applyAlignment="1" applyProtection="1">
      <alignment horizontal="center" vertical="center"/>
    </xf>
    <xf numFmtId="1" fontId="22" fillId="3" borderId="6" xfId="0" applyNumberFormat="1" applyFont="1" applyFill="1" applyBorder="1" applyAlignment="1" applyProtection="1">
      <alignment horizontal="center" vertical="center"/>
      <protection hidden="1"/>
    </xf>
    <xf numFmtId="1" fontId="14" fillId="10" borderId="92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93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93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27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32" xfId="0" applyNumberFormat="1" applyFont="1" applyFill="1" applyBorder="1" applyAlignment="1" applyProtection="1">
      <alignment horizontal="center" vertical="center" wrapText="1"/>
      <protection locked="0"/>
    </xf>
    <xf numFmtId="1" fontId="52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52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14" fillId="3" borderId="6" xfId="0" applyNumberFormat="1" applyFont="1" applyFill="1" applyBorder="1" applyAlignment="1" applyProtection="1">
      <alignment horizontal="center" vertical="center" wrapText="1"/>
    </xf>
    <xf numFmtId="18" fontId="20" fillId="0" borderId="0" xfId="0" applyNumberFormat="1" applyFont="1" applyAlignment="1" applyProtection="1">
      <alignment vertical="center"/>
      <protection locked="0"/>
    </xf>
    <xf numFmtId="0" fontId="41" fillId="3" borderId="45" xfId="0" applyFont="1" applyFill="1" applyBorder="1" applyAlignment="1" applyProtection="1">
      <alignment horizontal="left" wrapText="1"/>
      <protection locked="0"/>
    </xf>
    <xf numFmtId="1" fontId="1" fillId="8" borderId="66" xfId="0" applyNumberFormat="1" applyFont="1" applyFill="1" applyBorder="1" applyAlignment="1" applyProtection="1">
      <alignment horizontal="center" shrinkToFit="1"/>
      <protection locked="0" hidden="1"/>
    </xf>
    <xf numFmtId="1" fontId="1" fillId="12" borderId="57" xfId="0" applyNumberFormat="1" applyFont="1" applyFill="1" applyBorder="1" applyAlignment="1" applyProtection="1">
      <alignment horizontal="center" shrinkToFit="1"/>
      <protection locked="0" hidden="1"/>
    </xf>
    <xf numFmtId="1" fontId="1" fillId="8" borderId="57" xfId="0" applyNumberFormat="1" applyFont="1" applyFill="1" applyBorder="1" applyAlignment="1" applyProtection="1">
      <alignment horizontal="center" shrinkToFit="1"/>
      <protection locked="0" hidden="1"/>
    </xf>
    <xf numFmtId="1" fontId="1" fillId="12" borderId="56" xfId="0" applyNumberFormat="1" applyFont="1" applyFill="1" applyBorder="1" applyAlignment="1" applyProtection="1">
      <alignment horizontal="center" shrinkToFit="1"/>
      <protection locked="0" hidden="1"/>
    </xf>
    <xf numFmtId="1" fontId="1" fillId="12" borderId="59" xfId="0" applyNumberFormat="1" applyFont="1" applyFill="1" applyBorder="1" applyAlignment="1" applyProtection="1">
      <alignment horizontal="center" shrinkToFit="1"/>
      <protection locked="0" hidden="1"/>
    </xf>
    <xf numFmtId="1" fontId="1" fillId="12" borderId="60" xfId="0" applyNumberFormat="1" applyFont="1" applyFill="1" applyBorder="1" applyAlignment="1" applyProtection="1">
      <alignment horizont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center"/>
      <protection locked="0"/>
    </xf>
    <xf numFmtId="1" fontId="1" fillId="8" borderId="66" xfId="0" applyNumberFormat="1" applyFont="1" applyFill="1" applyBorder="1" applyAlignment="1" applyProtection="1">
      <alignment horizontal="center"/>
      <protection locked="0"/>
    </xf>
    <xf numFmtId="1" fontId="1" fillId="5" borderId="56" xfId="0" applyNumberFormat="1" applyFont="1" applyFill="1" applyBorder="1" applyAlignment="1" applyProtection="1">
      <alignment horizontal="center"/>
      <protection locked="0"/>
    </xf>
    <xf numFmtId="1" fontId="1" fillId="5" borderId="57" xfId="0" applyNumberFormat="1" applyFont="1" applyFill="1" applyBorder="1" applyAlignment="1" applyProtection="1">
      <alignment horizontal="center"/>
      <protection locked="0"/>
    </xf>
    <xf numFmtId="1" fontId="1" fillId="8" borderId="56" xfId="0" applyNumberFormat="1" applyFont="1" applyFill="1" applyBorder="1" applyAlignment="1" applyProtection="1">
      <alignment horizontal="center"/>
      <protection locked="0"/>
    </xf>
    <xf numFmtId="1" fontId="1" fillId="10" borderId="57" xfId="0" applyNumberFormat="1" applyFont="1" applyFill="1" applyBorder="1" applyAlignment="1" applyProtection="1">
      <alignment horizontal="center"/>
      <protection locked="0"/>
    </xf>
    <xf numFmtId="1" fontId="1" fillId="8" borderId="57" xfId="0" applyNumberFormat="1" applyFont="1" applyFill="1" applyBorder="1" applyAlignment="1" applyProtection="1">
      <alignment horizontal="center"/>
      <protection locked="0"/>
    </xf>
    <xf numFmtId="1" fontId="1" fillId="0" borderId="57" xfId="0" applyNumberFormat="1" applyFont="1" applyBorder="1" applyAlignment="1" applyProtection="1">
      <alignment horizontal="center"/>
      <protection locked="0"/>
    </xf>
    <xf numFmtId="1" fontId="1" fillId="10" borderId="56" xfId="0" applyNumberFormat="1" applyFont="1" applyFill="1" applyBorder="1" applyAlignment="1" applyProtection="1">
      <alignment horizontal="center"/>
      <protection locked="0"/>
    </xf>
    <xf numFmtId="1" fontId="1" fillId="3" borderId="56" xfId="0" applyNumberFormat="1" applyFont="1" applyFill="1" applyBorder="1" applyAlignment="1" applyProtection="1">
      <alignment horizontal="center"/>
      <protection locked="0"/>
    </xf>
    <xf numFmtId="1" fontId="1" fillId="3" borderId="57" xfId="0" applyNumberFormat="1" applyFont="1" applyFill="1" applyBorder="1" applyAlignment="1" applyProtection="1">
      <alignment horizontal="center"/>
      <protection locked="0"/>
    </xf>
    <xf numFmtId="1" fontId="1" fillId="5" borderId="59" xfId="0" applyNumberFormat="1" applyFont="1" applyFill="1" applyBorder="1" applyAlignment="1" applyProtection="1">
      <alignment horizontal="center"/>
      <protection locked="0"/>
    </xf>
    <xf numFmtId="1" fontId="1" fillId="5" borderId="60" xfId="0" applyNumberFormat="1" applyFont="1" applyFill="1" applyBorder="1" applyAlignment="1" applyProtection="1">
      <alignment horizontal="center"/>
      <protection locked="0"/>
    </xf>
    <xf numFmtId="0" fontId="24" fillId="6" borderId="13" xfId="0" applyFont="1" applyFill="1" applyBorder="1" applyAlignment="1" applyProtection="1">
      <alignment horizontal="center" vertical="center"/>
      <protection locked="0"/>
    </xf>
    <xf numFmtId="1" fontId="1" fillId="10" borderId="65" xfId="0" applyNumberFormat="1" applyFont="1" applyFill="1" applyBorder="1" applyAlignment="1" applyProtection="1">
      <alignment horizontal="center" wrapText="1"/>
      <protection locked="0"/>
    </xf>
    <xf numFmtId="1" fontId="1" fillId="8" borderId="148" xfId="0" applyNumberFormat="1" applyFont="1" applyFill="1" applyBorder="1" applyAlignment="1" applyProtection="1">
      <alignment horizontal="center"/>
      <protection locked="0"/>
    </xf>
    <xf numFmtId="1" fontId="1" fillId="0" borderId="56" xfId="0" applyNumberFormat="1" applyFont="1" applyBorder="1" applyAlignment="1" applyProtection="1">
      <alignment horizontal="center"/>
      <protection locked="0"/>
    </xf>
    <xf numFmtId="1" fontId="1" fillId="5" borderId="82" xfId="0" applyNumberFormat="1" applyFont="1" applyFill="1" applyBorder="1" applyAlignment="1" applyProtection="1">
      <alignment horizontal="center"/>
      <protection locked="0"/>
    </xf>
    <xf numFmtId="1" fontId="1" fillId="10" borderId="82" xfId="0" applyNumberFormat="1" applyFont="1" applyFill="1" applyBorder="1" applyAlignment="1" applyProtection="1">
      <alignment horizontal="center"/>
      <protection locked="0"/>
    </xf>
    <xf numFmtId="1" fontId="1" fillId="3" borderId="82" xfId="0" applyNumberFormat="1" applyFont="1" applyFill="1" applyBorder="1" applyAlignment="1" applyProtection="1">
      <alignment horizontal="center"/>
      <protection locked="0"/>
    </xf>
    <xf numFmtId="1" fontId="1" fillId="8" borderId="56" xfId="0" applyNumberFormat="1" applyFont="1" applyFill="1" applyBorder="1" applyAlignment="1" applyProtection="1">
      <alignment horizontal="center" shrinkToFit="1"/>
      <protection locked="0" hidden="1"/>
    </xf>
    <xf numFmtId="1" fontId="1" fillId="5" borderId="97" xfId="0" applyNumberFormat="1" applyFont="1" applyFill="1" applyBorder="1" applyAlignment="1" applyProtection="1">
      <alignment horizontal="center"/>
      <protection locked="0"/>
    </xf>
    <xf numFmtId="1" fontId="45" fillId="0" borderId="98" xfId="0" applyNumberFormat="1" applyFont="1" applyBorder="1" applyAlignment="1" applyProtection="1">
      <alignment horizontal="center" vertical="center" wrapText="1"/>
    </xf>
    <xf numFmtId="1" fontId="45" fillId="0" borderId="36" xfId="0" applyNumberFormat="1" applyFont="1" applyBorder="1" applyAlignment="1" applyProtection="1">
      <alignment horizontal="center" vertical="center" wrapText="1"/>
    </xf>
    <xf numFmtId="1" fontId="45" fillId="0" borderId="34" xfId="0" applyNumberFormat="1" applyFont="1" applyBorder="1" applyAlignment="1" applyProtection="1">
      <alignment horizontal="center" vertical="center" wrapText="1"/>
    </xf>
    <xf numFmtId="1" fontId="45" fillId="0" borderId="93" xfId="0" applyNumberFormat="1" applyFont="1" applyBorder="1" applyAlignment="1" applyProtection="1">
      <alignment horizontal="center" vertical="center" wrapText="1"/>
    </xf>
    <xf numFmtId="1" fontId="45" fillId="10" borderId="98" xfId="0" applyNumberFormat="1" applyFont="1" applyFill="1" applyBorder="1" applyAlignment="1" applyProtection="1">
      <alignment horizontal="center" vertical="center" wrapText="1"/>
    </xf>
    <xf numFmtId="1" fontId="45" fillId="10" borderId="36" xfId="0" applyNumberFormat="1" applyFont="1" applyFill="1" applyBorder="1" applyAlignment="1" applyProtection="1">
      <alignment horizontal="center" vertical="center" wrapText="1"/>
    </xf>
    <xf numFmtId="1" fontId="45" fillId="10" borderId="34" xfId="0" applyNumberFormat="1" applyFont="1" applyFill="1" applyBorder="1" applyAlignment="1" applyProtection="1">
      <alignment horizontal="center" vertical="center" wrapText="1"/>
    </xf>
    <xf numFmtId="1" fontId="45" fillId="10" borderId="93" xfId="0" applyNumberFormat="1" applyFont="1" applyFill="1" applyBorder="1" applyAlignment="1" applyProtection="1">
      <alignment horizontal="center" vertical="center" wrapText="1"/>
    </xf>
    <xf numFmtId="1" fontId="45" fillId="10" borderId="126" xfId="0" applyNumberFormat="1" applyFont="1" applyFill="1" applyBorder="1" applyAlignment="1" applyProtection="1">
      <alignment horizontal="center" vertical="center" wrapText="1"/>
    </xf>
    <xf numFmtId="1" fontId="45" fillId="10" borderId="23" xfId="0" applyNumberFormat="1" applyFont="1" applyFill="1" applyBorder="1" applyAlignment="1" applyProtection="1">
      <alignment horizontal="center" vertical="center" wrapText="1"/>
    </xf>
    <xf numFmtId="1" fontId="45" fillId="0" borderId="29" xfId="0" applyNumberFormat="1" applyFont="1" applyBorder="1" applyAlignment="1" applyProtection="1">
      <alignment horizontal="center" vertical="center" wrapText="1"/>
    </xf>
    <xf numFmtId="1" fontId="45" fillId="0" borderId="135" xfId="0" applyNumberFormat="1" applyFont="1" applyBorder="1" applyAlignment="1" applyProtection="1">
      <alignment horizontal="center" vertical="center" wrapText="1"/>
    </xf>
    <xf numFmtId="1" fontId="45" fillId="0" borderId="136" xfId="0" applyNumberFormat="1" applyFont="1" applyBorder="1" applyAlignment="1" applyProtection="1">
      <alignment horizontal="center" vertical="center" wrapText="1"/>
    </xf>
    <xf numFmtId="1" fontId="45" fillId="0" borderId="30" xfId="0" applyNumberFormat="1" applyFont="1" applyBorder="1" applyAlignment="1" applyProtection="1">
      <alignment horizontal="center" vertical="center" wrapText="1"/>
    </xf>
    <xf numFmtId="1" fontId="45" fillId="10" borderId="131" xfId="0" applyNumberFormat="1" applyFont="1" applyFill="1" applyBorder="1" applyAlignment="1" applyProtection="1">
      <alignment horizontal="center" vertical="center" wrapText="1"/>
    </xf>
    <xf numFmtId="1" fontId="45" fillId="10" borderId="28" xfId="0" applyNumberFormat="1" applyFont="1" applyFill="1" applyBorder="1" applyAlignment="1" applyProtection="1">
      <alignment horizontal="center" vertical="center" wrapText="1"/>
    </xf>
    <xf numFmtId="0" fontId="16" fillId="0" borderId="113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39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39" xfId="0" applyNumberFormat="1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2" fontId="15" fillId="3" borderId="110" xfId="0" applyNumberFormat="1" applyFont="1" applyFill="1" applyBorder="1" applyAlignment="1" applyProtection="1">
      <alignment horizontal="center"/>
      <protection locked="0"/>
    </xf>
    <xf numFmtId="2" fontId="15" fillId="3" borderId="111" xfId="0" applyNumberFormat="1" applyFont="1" applyFill="1" applyBorder="1" applyAlignment="1" applyProtection="1">
      <alignment horizontal="center"/>
      <protection locked="0"/>
    </xf>
    <xf numFmtId="2" fontId="15" fillId="3" borderId="112" xfId="0" applyNumberFormat="1" applyFont="1" applyFill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/>
    </xf>
    <xf numFmtId="0" fontId="16" fillId="0" borderId="114" xfId="0" applyFont="1" applyBorder="1" applyAlignment="1">
      <alignment horizontal="center"/>
    </xf>
    <xf numFmtId="1" fontId="45" fillId="10" borderId="88" xfId="0" applyNumberFormat="1" applyFont="1" applyFill="1" applyBorder="1" applyAlignment="1" applyProtection="1">
      <alignment horizontal="center" vertical="center" wrapText="1"/>
    </xf>
    <xf numFmtId="1" fontId="45" fillId="10" borderId="89" xfId="0" applyNumberFormat="1" applyFont="1" applyFill="1" applyBorder="1" applyAlignment="1" applyProtection="1">
      <alignment horizontal="center" vertical="center" wrapText="1"/>
    </xf>
    <xf numFmtId="2" fontId="45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45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45" fillId="2" borderId="145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43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44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85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86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4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5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46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46" fillId="2" borderId="27" xfId="0" applyNumberFormat="1" applyFont="1" applyFill="1" applyBorder="1" applyAlignment="1" applyProtection="1">
      <alignment horizontal="center" vertical="center" wrapText="1"/>
      <protection locked="0"/>
    </xf>
    <xf numFmtId="2" fontId="44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46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46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46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46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46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46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46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44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21" xfId="0" applyNumberFormat="1" applyFont="1" applyFill="1" applyBorder="1" applyAlignment="1" applyProtection="1">
      <alignment horizontal="center" vertical="center" wrapText="1"/>
      <protection locked="0"/>
    </xf>
    <xf numFmtId="2" fontId="47" fillId="2" borderId="32" xfId="0" applyNumberFormat="1" applyFont="1" applyFill="1" applyBorder="1" applyAlignment="1" applyProtection="1">
      <alignment horizontal="center" vertical="center" wrapText="1"/>
      <protection locked="0"/>
    </xf>
    <xf numFmtId="2" fontId="47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43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43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43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46" fillId="2" borderId="140" xfId="0" applyNumberFormat="1" applyFont="1" applyFill="1" applyBorder="1" applyAlignment="1" applyProtection="1">
      <alignment horizontal="center" vertical="center" wrapText="1"/>
      <protection locked="0"/>
    </xf>
    <xf numFmtId="2" fontId="46" fillId="2" borderId="141" xfId="0" applyNumberFormat="1" applyFont="1" applyFill="1" applyBorder="1" applyAlignment="1" applyProtection="1">
      <alignment horizontal="center" vertical="center" wrapText="1"/>
      <protection locked="0"/>
    </xf>
    <xf numFmtId="2" fontId="46" fillId="2" borderId="142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2" fontId="54" fillId="0" borderId="0" xfId="0" applyNumberFormat="1" applyFont="1" applyFill="1" applyBorder="1" applyAlignment="1" applyProtection="1">
      <alignment horizontal="center" wrapText="1"/>
      <protection locked="0"/>
    </xf>
    <xf numFmtId="2" fontId="16" fillId="0" borderId="122" xfId="0" applyNumberFormat="1" applyFont="1" applyBorder="1" applyAlignment="1" applyProtection="1">
      <alignment horizontal="center"/>
      <protection locked="0"/>
    </xf>
    <xf numFmtId="2" fontId="16" fillId="0" borderId="123" xfId="0" applyNumberFormat="1" applyFont="1" applyBorder="1" applyAlignment="1" applyProtection="1">
      <alignment horizontal="center"/>
      <protection locked="0"/>
    </xf>
    <xf numFmtId="1" fontId="12" fillId="0" borderId="117" xfId="0" applyNumberFormat="1" applyFont="1" applyBorder="1" applyAlignment="1" applyProtection="1">
      <alignment horizontal="center"/>
    </xf>
    <xf numFmtId="1" fontId="12" fillId="0" borderId="115" xfId="0" applyNumberFormat="1" applyFont="1" applyBorder="1" applyAlignment="1" applyProtection="1">
      <alignment horizontal="center"/>
    </xf>
    <xf numFmtId="1" fontId="12" fillId="0" borderId="116" xfId="0" applyNumberFormat="1" applyFont="1" applyBorder="1" applyAlignment="1" applyProtection="1">
      <alignment horizontal="center"/>
    </xf>
    <xf numFmtId="1" fontId="12" fillId="0" borderId="113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39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39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39" xfId="0" applyNumberFormat="1" applyFont="1" applyBorder="1" applyAlignment="1" applyProtection="1">
      <alignment horizontal="center"/>
    </xf>
    <xf numFmtId="2" fontId="15" fillId="3" borderId="120" xfId="0" applyNumberFormat="1" applyFont="1" applyFill="1" applyBorder="1" applyAlignment="1" applyProtection="1">
      <alignment horizontal="center"/>
      <protection locked="0"/>
    </xf>
    <xf numFmtId="2" fontId="15" fillId="3" borderId="121" xfId="0" applyNumberFormat="1" applyFont="1" applyFill="1" applyBorder="1" applyAlignment="1" applyProtection="1">
      <alignment horizontal="center"/>
      <protection locked="0"/>
    </xf>
    <xf numFmtId="2" fontId="16" fillId="0" borderId="120" xfId="0" applyNumberFormat="1" applyFont="1" applyBorder="1" applyAlignment="1" applyProtection="1">
      <alignment horizontal="center"/>
      <protection locked="0"/>
    </xf>
    <xf numFmtId="2" fontId="16" fillId="0" borderId="121" xfId="0" applyNumberFormat="1" applyFont="1" applyBorder="1" applyAlignment="1" applyProtection="1">
      <alignment horizontal="center"/>
      <protection locked="0"/>
    </xf>
    <xf numFmtId="2" fontId="15" fillId="3" borderId="118" xfId="0" applyNumberFormat="1" applyFont="1" applyFill="1" applyBorder="1" applyAlignment="1" applyProtection="1">
      <alignment horizontal="center"/>
      <protection locked="0"/>
    </xf>
    <xf numFmtId="2" fontId="15" fillId="3" borderId="119" xfId="0" applyNumberFormat="1" applyFont="1" applyFill="1" applyBorder="1" applyAlignment="1" applyProtection="1">
      <alignment horizontal="center"/>
      <protection locked="0"/>
    </xf>
    <xf numFmtId="0" fontId="16" fillId="0" borderId="108" xfId="0" applyFont="1" applyBorder="1" applyAlignment="1">
      <alignment horizontal="center"/>
    </xf>
    <xf numFmtId="0" fontId="16" fillId="0" borderId="115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40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164" fontId="29" fillId="8" borderId="62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9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94" xfId="0" applyFont="1" applyFill="1" applyBorder="1" applyAlignment="1" applyProtection="1">
      <alignment horizontal="left" vertical="top" wrapText="1"/>
      <protection locked="0"/>
    </xf>
    <xf numFmtId="0" fontId="14" fillId="6" borderId="94" xfId="0" applyFont="1" applyFill="1" applyBorder="1" applyAlignment="1" applyProtection="1">
      <alignment horizontal="left" vertical="top"/>
      <protection locked="0"/>
    </xf>
    <xf numFmtId="0" fontId="31" fillId="0" borderId="7" xfId="0" applyFont="1" applyBorder="1" applyAlignment="1" applyProtection="1">
      <alignment horizontal="center" vertical="center" shrinkToFit="1"/>
      <protection locked="0"/>
    </xf>
    <xf numFmtId="0" fontId="22" fillId="0" borderId="9" xfId="0" applyFont="1" applyBorder="1" applyAlignment="1" applyProtection="1">
      <alignment horizontal="center" vertical="center" shrinkToFit="1"/>
      <protection locked="0"/>
    </xf>
    <xf numFmtId="0" fontId="22" fillId="0" borderId="14" xfId="0" applyFont="1" applyBorder="1" applyAlignment="1" applyProtection="1">
      <alignment horizontal="center" vertical="center" shrinkToFit="1"/>
      <protection locked="0"/>
    </xf>
    <xf numFmtId="0" fontId="25" fillId="4" borderId="39" xfId="0" applyFont="1" applyFill="1" applyBorder="1" applyAlignment="1" applyProtection="1">
      <alignment horizontal="center" vertical="center"/>
      <protection locked="0"/>
    </xf>
    <xf numFmtId="0" fontId="25" fillId="4" borderId="0" xfId="0" applyFont="1" applyFill="1" applyAlignment="1" applyProtection="1">
      <alignment horizontal="center" vertical="center"/>
      <protection locked="0"/>
    </xf>
    <xf numFmtId="0" fontId="25" fillId="4" borderId="40" xfId="0" applyFont="1" applyFill="1" applyBorder="1" applyAlignment="1" applyProtection="1">
      <alignment horizontal="center" vertical="center"/>
      <protection locked="0"/>
    </xf>
    <xf numFmtId="0" fontId="29" fillId="3" borderId="15" xfId="0" applyFont="1" applyFill="1" applyBorder="1" applyAlignment="1" applyProtection="1">
      <alignment horizontal="center" vertical="center" shrinkToFit="1"/>
      <protection locked="0"/>
    </xf>
    <xf numFmtId="0" fontId="29" fillId="3" borderId="38" xfId="0" applyFont="1" applyFill="1" applyBorder="1" applyAlignment="1" applyProtection="1">
      <alignment horizontal="center" vertical="center" shrinkToFit="1"/>
      <protection locked="0"/>
    </xf>
    <xf numFmtId="0" fontId="29" fillId="3" borderId="39" xfId="0" applyFont="1" applyFill="1" applyBorder="1" applyAlignment="1" applyProtection="1">
      <alignment horizontal="center" vertical="center" shrinkToFit="1"/>
      <protection locked="0"/>
    </xf>
    <xf numFmtId="0" fontId="29" fillId="3" borderId="0" xfId="0" applyFont="1" applyFill="1" applyBorder="1" applyAlignment="1" applyProtection="1">
      <alignment horizontal="center" vertical="center" shrinkToFit="1"/>
      <protection locked="0"/>
    </xf>
    <xf numFmtId="0" fontId="29" fillId="4" borderId="8" xfId="0" applyFont="1" applyFill="1" applyBorder="1" applyAlignment="1" applyProtection="1">
      <alignment horizontal="center" vertical="center" textRotation="90" shrinkToFit="1"/>
      <protection locked="0"/>
    </xf>
    <xf numFmtId="0" fontId="29" fillId="4" borderId="13" xfId="0" applyFont="1" applyFill="1" applyBorder="1" applyAlignment="1" applyProtection="1">
      <alignment horizontal="center" vertical="center" textRotation="90" shrinkToFit="1"/>
      <protection locked="0"/>
    </xf>
    <xf numFmtId="0" fontId="29" fillId="4" borderId="5" xfId="0" applyFont="1" applyFill="1" applyBorder="1" applyAlignment="1" applyProtection="1">
      <alignment horizontal="center" vertical="center" textRotation="90" shrinkToFit="1"/>
      <protection locked="0"/>
    </xf>
    <xf numFmtId="0" fontId="25" fillId="4" borderId="41" xfId="0" applyFont="1" applyFill="1" applyBorder="1" applyAlignment="1" applyProtection="1">
      <alignment horizontal="right" vertical="center"/>
      <protection locked="0"/>
    </xf>
    <xf numFmtId="0" fontId="25" fillId="4" borderId="24" xfId="0" applyFont="1" applyFill="1" applyBorder="1" applyAlignment="1" applyProtection="1">
      <alignment horizontal="right" vertical="center"/>
      <protection locked="0"/>
    </xf>
    <xf numFmtId="164" fontId="29" fillId="12" borderId="62" xfId="0" applyNumberFormat="1" applyFont="1" applyFill="1" applyBorder="1" applyAlignment="1" applyProtection="1">
      <alignment horizontal="left" vertical="center" shrinkToFit="1"/>
      <protection hidden="1"/>
    </xf>
    <xf numFmtId="164" fontId="29" fillId="12" borderId="9" xfId="0" applyNumberFormat="1" applyFont="1" applyFill="1" applyBorder="1" applyAlignment="1" applyProtection="1">
      <alignment horizontal="left" vertical="center" shrinkToFit="1"/>
      <protection hidden="1"/>
    </xf>
    <xf numFmtId="164" fontId="29" fillId="12" borderId="14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63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50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14" xfId="0" applyNumberFormat="1" applyFont="1" applyFill="1" applyBorder="1" applyAlignment="1" applyProtection="1">
      <alignment horizontal="left" vertical="center" shrinkToFit="1"/>
      <protection hidden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14" fillId="6" borderId="95" xfId="0" applyFont="1" applyFill="1" applyBorder="1" applyAlignment="1" applyProtection="1">
      <alignment horizontal="left" vertical="top"/>
      <protection locked="0"/>
    </xf>
    <xf numFmtId="0" fontId="29" fillId="3" borderId="35" xfId="0" applyFont="1" applyFill="1" applyBorder="1" applyAlignment="1" applyProtection="1">
      <alignment horizontal="center" vertical="center" shrinkToFit="1"/>
      <protection locked="0"/>
    </xf>
    <xf numFmtId="0" fontId="29" fillId="3" borderId="24" xfId="0" applyFont="1" applyFill="1" applyBorder="1" applyAlignment="1" applyProtection="1">
      <alignment horizontal="center" vertical="center" shrinkToFit="1"/>
      <protection locked="0"/>
    </xf>
    <xf numFmtId="0" fontId="29" fillId="3" borderId="58" xfId="0" applyFont="1" applyFill="1" applyBorder="1" applyAlignment="1" applyProtection="1">
      <alignment horizontal="center" vertical="center" shrinkToFit="1"/>
      <protection locked="0"/>
    </xf>
    <xf numFmtId="164" fontId="29" fillId="8" borderId="53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55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79" xfId="0" applyNumberFormat="1" applyFont="1" applyFill="1" applyBorder="1" applyAlignment="1" applyProtection="1">
      <alignment horizontal="left" vertical="center" shrinkToFit="1"/>
      <protection hidden="1"/>
    </xf>
    <xf numFmtId="164" fontId="29" fillId="12" borderId="63" xfId="0" applyNumberFormat="1" applyFont="1" applyFill="1" applyBorder="1" applyAlignment="1" applyProtection="1">
      <alignment horizontal="left" vertical="center" shrinkToFit="1"/>
      <protection hidden="1"/>
    </xf>
    <xf numFmtId="164" fontId="29" fillId="12" borderId="50" xfId="0" applyNumberFormat="1" applyFont="1" applyFill="1" applyBorder="1" applyAlignment="1" applyProtection="1">
      <alignment horizontal="left" vertical="center" shrinkToFit="1"/>
      <protection hidden="1"/>
    </xf>
    <xf numFmtId="164" fontId="29" fillId="12" borderId="64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105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106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107" xfId="0" applyNumberFormat="1" applyFont="1" applyFill="1" applyBorder="1" applyAlignment="1" applyProtection="1">
      <alignment horizontal="left" vertical="center" shrinkToFit="1"/>
      <protection hidden="1"/>
    </xf>
    <xf numFmtId="0" fontId="21" fillId="4" borderId="15" xfId="0" applyFont="1" applyFill="1" applyBorder="1" applyAlignment="1" applyProtection="1">
      <alignment horizontal="left" vertical="top"/>
      <protection locked="0"/>
    </xf>
    <xf numFmtId="0" fontId="21" fillId="4" borderId="38" xfId="0" applyFont="1" applyFill="1" applyBorder="1" applyAlignment="1" applyProtection="1">
      <alignment horizontal="left" vertical="top"/>
      <protection locked="0"/>
    </xf>
    <xf numFmtId="0" fontId="29" fillId="3" borderId="41" xfId="0" applyFont="1" applyFill="1" applyBorder="1" applyAlignment="1" applyProtection="1">
      <alignment horizontal="center" vertical="center" shrinkToFit="1"/>
      <protection locked="0"/>
    </xf>
    <xf numFmtId="0" fontId="22" fillId="0" borderId="7" xfId="0" applyFont="1" applyBorder="1" applyAlignment="1" applyProtection="1">
      <alignment horizontal="center" vertical="center" shrinkToFit="1"/>
      <protection locked="0"/>
    </xf>
    <xf numFmtId="0" fontId="25" fillId="4" borderId="0" xfId="0" applyFont="1" applyFill="1" applyBorder="1" applyAlignment="1" applyProtection="1">
      <alignment horizontal="center" vertical="center"/>
      <protection locked="0"/>
    </xf>
    <xf numFmtId="0" fontId="1" fillId="0" borderId="41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58" xfId="0" applyFont="1" applyBorder="1" applyAlignment="1" applyProtection="1">
      <alignment horizontal="center" vertical="center"/>
      <protection locked="0"/>
    </xf>
    <xf numFmtId="0" fontId="29" fillId="3" borderId="40" xfId="0" applyFont="1" applyFill="1" applyBorder="1" applyAlignment="1" applyProtection="1">
      <alignment horizontal="center" vertical="center" shrinkToFit="1"/>
      <protection locked="0"/>
    </xf>
    <xf numFmtId="0" fontId="14" fillId="6" borderId="95" xfId="0" applyFont="1" applyFill="1" applyBorder="1" applyAlignment="1" applyProtection="1">
      <alignment horizontal="left" vertical="top" wrapText="1"/>
      <protection locked="0"/>
    </xf>
    <xf numFmtId="0" fontId="14" fillId="6" borderId="96" xfId="0" applyFont="1" applyFill="1" applyBorder="1" applyAlignment="1" applyProtection="1">
      <alignment horizontal="left" vertical="top" wrapText="1"/>
      <protection locked="0"/>
    </xf>
    <xf numFmtId="0" fontId="23" fillId="11" borderId="73" xfId="0" applyFont="1" applyFill="1" applyBorder="1" applyAlignment="1" applyProtection="1">
      <alignment horizontal="center" vertical="center"/>
      <protection locked="0"/>
    </xf>
    <xf numFmtId="0" fontId="23" fillId="11" borderId="74" xfId="0" applyFont="1" applyFill="1" applyBorder="1" applyAlignment="1" applyProtection="1">
      <alignment horizontal="center" vertical="center"/>
      <protection locked="0"/>
    </xf>
    <xf numFmtId="0" fontId="23" fillId="11" borderId="75" xfId="0" applyFont="1" applyFill="1" applyBorder="1" applyAlignment="1" applyProtection="1">
      <alignment horizontal="center" vertical="center"/>
      <protection locked="0"/>
    </xf>
    <xf numFmtId="0" fontId="23" fillId="11" borderId="72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 wrapText="1"/>
      <protection locked="0"/>
    </xf>
    <xf numFmtId="0" fontId="23" fillId="11" borderId="71" xfId="0" applyFont="1" applyFill="1" applyBorder="1" applyAlignment="1" applyProtection="1">
      <alignment horizontal="left" wrapText="1"/>
      <protection locked="0"/>
    </xf>
    <xf numFmtId="0" fontId="23" fillId="11" borderId="71" xfId="0" applyFont="1" applyFill="1" applyBorder="1" applyAlignment="1" applyProtection="1">
      <alignment horizontal="center" vertical="center"/>
      <protection locked="0"/>
    </xf>
    <xf numFmtId="0" fontId="23" fillId="11" borderId="71" xfId="0" applyFont="1" applyFill="1" applyBorder="1" applyAlignment="1" applyProtection="1">
      <alignment vertical="center" wrapText="1"/>
      <protection locked="0"/>
    </xf>
    <xf numFmtId="0" fontId="0" fillId="11" borderId="71" xfId="0" applyFill="1" applyBorder="1" applyAlignment="1" applyProtection="1">
      <alignment vertical="center" wrapText="1"/>
      <protection locked="0"/>
    </xf>
    <xf numFmtId="0" fontId="21" fillId="4" borderId="35" xfId="0" applyFont="1" applyFill="1" applyBorder="1" applyAlignment="1" applyProtection="1">
      <alignment horizontal="left" vertical="top"/>
      <protection locked="0"/>
    </xf>
    <xf numFmtId="0" fontId="25" fillId="4" borderId="24" xfId="0" applyFont="1" applyFill="1" applyBorder="1" applyAlignment="1" applyProtection="1">
      <alignment horizontal="right" vertical="top"/>
      <protection locked="0"/>
    </xf>
    <xf numFmtId="0" fontId="1" fillId="4" borderId="24" xfId="0" applyFont="1" applyFill="1" applyBorder="1" applyAlignment="1" applyProtection="1">
      <alignment horizontal="right" vertical="top"/>
      <protection locked="0"/>
    </xf>
    <xf numFmtId="0" fontId="1" fillId="4" borderId="58" xfId="0" applyFont="1" applyFill="1" applyBorder="1" applyAlignment="1" applyProtection="1">
      <alignment horizontal="right" vertical="top"/>
      <protection locked="0"/>
    </xf>
    <xf numFmtId="0" fontId="37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0" fontId="1" fillId="4" borderId="58" xfId="0" applyFont="1" applyFill="1" applyBorder="1" applyAlignment="1" applyProtection="1">
      <alignment horizontal="center" vertical="top"/>
      <protection locked="0"/>
    </xf>
    <xf numFmtId="164" fontId="29" fillId="8" borderId="48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38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35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64" xfId="0" applyNumberFormat="1" applyFont="1" applyFill="1" applyBorder="1" applyAlignment="1" applyProtection="1">
      <alignment horizontal="left" vertical="center" shrinkToFit="1"/>
      <protection hidden="1"/>
    </xf>
    <xf numFmtId="0" fontId="23" fillId="6" borderId="0" xfId="0" applyFont="1" applyFill="1" applyAlignment="1" applyProtection="1">
      <alignment horizontal="center" vertical="center"/>
      <protection locked="0"/>
    </xf>
    <xf numFmtId="0" fontId="14" fillId="6" borderId="149" xfId="0" applyFont="1" applyFill="1" applyBorder="1" applyAlignment="1" applyProtection="1">
      <alignment horizontal="left" vertical="top" wrapText="1"/>
      <protection locked="0"/>
    </xf>
    <xf numFmtId="0" fontId="25" fillId="4" borderId="58" xfId="0" applyFont="1" applyFill="1" applyBorder="1" applyAlignment="1" applyProtection="1">
      <alignment horizontal="right" vertical="center"/>
      <protection locked="0"/>
    </xf>
    <xf numFmtId="0" fontId="35" fillId="0" borderId="7" xfId="0" applyFont="1" applyBorder="1" applyAlignment="1" applyProtection="1">
      <alignment horizontal="center" vertical="center" shrinkToFit="1"/>
      <protection locked="0"/>
    </xf>
    <xf numFmtId="2" fontId="44" fillId="0" borderId="150" xfId="0" applyNumberFormat="1" applyFont="1" applyFill="1" applyBorder="1" applyAlignment="1" applyProtection="1">
      <alignment horizontal="center" vertical="center" wrapText="1"/>
      <protection locked="0"/>
    </xf>
    <xf numFmtId="2" fontId="44" fillId="0" borderId="151" xfId="0" applyNumberFormat="1" applyFont="1" applyFill="1" applyBorder="1" applyAlignment="1" applyProtection="1">
      <alignment horizontal="center" vertical="center" wrapText="1"/>
      <protection locked="0"/>
    </xf>
    <xf numFmtId="1" fontId="45" fillId="10" borderId="152" xfId="0" applyNumberFormat="1" applyFont="1" applyFill="1" applyBorder="1" applyAlignment="1" applyProtection="1">
      <alignment horizontal="center" vertical="center" wrapText="1"/>
    </xf>
    <xf numFmtId="1" fontId="45" fillId="10" borderId="153" xfId="0" applyNumberFormat="1" applyFont="1" applyFill="1" applyBorder="1" applyAlignment="1" applyProtection="1">
      <alignment horizontal="center" vertical="center" wrapText="1"/>
    </xf>
    <xf numFmtId="1" fontId="45" fillId="10" borderId="154" xfId="0" applyNumberFormat="1" applyFont="1" applyFill="1" applyBorder="1" applyAlignment="1" applyProtection="1">
      <alignment horizontal="center" vertical="center" wrapText="1"/>
    </xf>
    <xf numFmtId="1" fontId="45" fillId="10" borderId="155" xfId="0" applyNumberFormat="1" applyFont="1" applyFill="1" applyBorder="1" applyAlignment="1" applyProtection="1">
      <alignment horizontal="center" vertical="center" wrapText="1"/>
    </xf>
    <xf numFmtId="1" fontId="45" fillId="10" borderId="156" xfId="0" applyNumberFormat="1" applyFont="1" applyFill="1" applyBorder="1" applyAlignment="1" applyProtection="1">
      <alignment horizontal="center" vertical="center" wrapText="1"/>
    </xf>
    <xf numFmtId="1" fontId="45" fillId="10" borderId="92" xfId="0" applyNumberFormat="1" applyFont="1" applyFill="1" applyBorder="1" applyAlignment="1" applyProtection="1">
      <alignment horizontal="center" vertical="center" wrapText="1"/>
    </xf>
    <xf numFmtId="2" fontId="45" fillId="2" borderId="157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158" xfId="0" applyNumberFormat="1" applyFont="1" applyFill="1" applyBorder="1" applyAlignment="1" applyProtection="1">
      <alignment horizontal="center" vertical="center" wrapText="1"/>
      <protection locked="0"/>
    </xf>
    <xf numFmtId="2" fontId="44" fillId="0" borderId="3" xfId="0" applyNumberFormat="1" applyFont="1" applyFill="1" applyBorder="1" applyAlignment="1" applyProtection="1">
      <alignment horizontal="center" vertical="center" wrapText="1"/>
      <protection locked="0"/>
    </xf>
    <xf numFmtId="2" fontId="44" fillId="0" borderId="132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160" xfId="0" applyNumberFormat="1" applyFont="1" applyFill="1" applyBorder="1" applyAlignment="1" applyProtection="1">
      <alignment horizontal="center" vertical="center" wrapText="1"/>
      <protection locked="0"/>
    </xf>
    <xf numFmtId="1" fontId="45" fillId="10" borderId="161" xfId="0" applyNumberFormat="1" applyFont="1" applyFill="1" applyBorder="1" applyAlignment="1" applyProtection="1">
      <alignment horizontal="center" vertical="center" wrapText="1"/>
    </xf>
    <xf numFmtId="1" fontId="45" fillId="10" borderId="162" xfId="0" applyNumberFormat="1" applyFont="1" applyFill="1" applyBorder="1" applyAlignment="1" applyProtection="1">
      <alignment horizontal="center" vertical="center" wrapText="1"/>
    </xf>
    <xf numFmtId="1" fontId="45" fillId="0" borderId="7" xfId="0" applyNumberFormat="1" applyFont="1" applyBorder="1" applyAlignment="1" applyProtection="1">
      <alignment horizontal="center" vertical="center"/>
    </xf>
    <xf numFmtId="1" fontId="45" fillId="0" borderId="30" xfId="0" applyNumberFormat="1" applyFont="1" applyBorder="1" applyAlignment="1" applyProtection="1">
      <alignment horizontal="center" vertical="center"/>
    </xf>
    <xf numFmtId="1" fontId="45" fillId="10" borderId="7" xfId="0" applyNumberFormat="1" applyFont="1" applyFill="1" applyBorder="1" applyAlignment="1" applyProtection="1">
      <alignment horizontal="center" vertical="center"/>
    </xf>
    <xf numFmtId="1" fontId="45" fillId="10" borderId="30" xfId="0" applyNumberFormat="1" applyFont="1" applyFill="1" applyBorder="1" applyAlignment="1" applyProtection="1">
      <alignment horizontal="center" vertical="center"/>
    </xf>
    <xf numFmtId="2" fontId="45" fillId="2" borderId="163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146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164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165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166" xfId="0" applyNumberFormat="1" applyFont="1" applyFill="1" applyBorder="1" applyAlignment="1" applyProtection="1">
      <alignment horizontal="center" vertical="center" wrapText="1"/>
      <protection locked="0"/>
    </xf>
    <xf numFmtId="2" fontId="45" fillId="2" borderId="167" xfId="0" applyNumberFormat="1" applyFont="1" applyFill="1" applyBorder="1" applyAlignment="1" applyProtection="1">
      <alignment horizontal="center" vertical="center" wrapText="1"/>
      <protection locked="0"/>
    </xf>
    <xf numFmtId="1" fontId="45" fillId="10" borderId="168" xfId="0" applyNumberFormat="1" applyFont="1" applyFill="1" applyBorder="1" applyAlignment="1" applyProtection="1">
      <alignment horizontal="center" vertical="center" wrapText="1"/>
    </xf>
    <xf numFmtId="1" fontId="45" fillId="0" borderId="159" xfId="0" applyNumberFormat="1" applyFont="1" applyBorder="1" applyAlignment="1" applyProtection="1">
      <alignment horizontal="center" vertical="center" wrapText="1"/>
    </xf>
    <xf numFmtId="1" fontId="45" fillId="10" borderId="159" xfId="0" applyNumberFormat="1" applyFont="1" applyFill="1" applyBorder="1" applyAlignment="1" applyProtection="1">
      <alignment horizontal="center" vertical="center" wrapText="1"/>
    </xf>
    <xf numFmtId="1" fontId="45" fillId="10" borderId="169" xfId="0" applyNumberFormat="1" applyFont="1" applyFill="1" applyBorder="1" applyAlignment="1" applyProtection="1">
      <alignment horizontal="center" vertical="center" wrapText="1"/>
    </xf>
    <xf numFmtId="1" fontId="45" fillId="0" borderId="9" xfId="0" applyNumberFormat="1" applyFont="1" applyBorder="1" applyAlignment="1" applyProtection="1">
      <alignment horizontal="center" vertical="center" wrapText="1"/>
    </xf>
    <xf numFmtId="1" fontId="45" fillId="10" borderId="170" xfId="0" applyNumberFormat="1" applyFont="1" applyFill="1" applyBorder="1" applyAlignment="1" applyProtection="1">
      <alignment horizontal="center" vertical="center" wrapText="1"/>
    </xf>
    <xf numFmtId="1" fontId="45" fillId="10" borderId="32" xfId="0" applyNumberFormat="1" applyFont="1" applyFill="1" applyBorder="1" applyAlignment="1" applyProtection="1">
      <alignment horizontal="center" vertical="center" wrapText="1"/>
    </xf>
    <xf numFmtId="1" fontId="45" fillId="10" borderId="29" xfId="0" applyNumberFormat="1" applyFont="1" applyFill="1" applyBorder="1" applyAlignment="1" applyProtection="1">
      <alignment horizontal="center" vertical="center" wrapText="1"/>
    </xf>
    <xf numFmtId="1" fontId="45" fillId="10" borderId="30" xfId="0" applyNumberFormat="1" applyFont="1" applyFill="1" applyBorder="1" applyAlignment="1" applyProtection="1">
      <alignment horizontal="center" vertical="center" wrapText="1"/>
    </xf>
    <xf numFmtId="1" fontId="14" fillId="3" borderId="133" xfId="0" applyNumberFormat="1" applyFont="1" applyFill="1" applyBorder="1" applyAlignment="1" applyProtection="1">
      <alignment horizontal="center" vertical="center" wrapText="1"/>
    </xf>
    <xf numFmtId="1" fontId="14" fillId="10" borderId="10" xfId="0" applyNumberFormat="1" applyFont="1" applyFill="1" applyBorder="1" applyAlignment="1" applyProtection="1">
      <alignment horizontal="center" vertical="center" wrapText="1"/>
    </xf>
    <xf numFmtId="1" fontId="14" fillId="3" borderId="10" xfId="0" applyNumberFormat="1" applyFont="1" applyFill="1" applyBorder="1" applyAlignment="1" applyProtection="1">
      <alignment horizontal="center" vertical="center" wrapText="1"/>
    </xf>
    <xf numFmtId="1" fontId="14" fillId="3" borderId="171" xfId="0" applyNumberFormat="1" applyFont="1" applyFill="1" applyBorder="1" applyAlignment="1" applyProtection="1">
      <alignment horizontal="center" vertical="center" wrapText="1"/>
    </xf>
    <xf numFmtId="1" fontId="52" fillId="0" borderId="171" xfId="0" applyNumberFormat="1" applyFont="1" applyFill="1" applyBorder="1" applyAlignment="1" applyProtection="1">
      <alignment horizontal="center" vertical="center" wrapText="1"/>
      <protection locked="0"/>
    </xf>
    <xf numFmtId="1" fontId="52" fillId="10" borderId="10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6"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O49"/>
  <sheetViews>
    <sheetView tabSelected="1"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O14" sqref="AO14"/>
    </sheetView>
  </sheetViews>
  <sheetFormatPr defaultRowHeight="15" x14ac:dyDescent="0.25"/>
  <cols>
    <col min="1" max="1" width="2.7109375" style="98" customWidth="1"/>
    <col min="2" max="2" width="16.140625" style="98" customWidth="1"/>
    <col min="3" max="3" width="6" style="98" customWidth="1"/>
    <col min="4" max="4" width="2.7109375" style="98" customWidth="1"/>
    <col min="5" max="5" width="4.5703125" style="98" customWidth="1"/>
    <col min="6" max="6" width="3.7109375" style="98" customWidth="1"/>
    <col min="7" max="7" width="2.42578125" style="98" customWidth="1"/>
    <col min="8" max="8" width="4.140625" style="98" customWidth="1"/>
    <col min="9" max="9" width="3.7109375" style="98" customWidth="1"/>
    <col min="10" max="10" width="2.85546875" style="98" customWidth="1"/>
    <col min="11" max="11" width="4.85546875" style="98" customWidth="1"/>
    <col min="12" max="12" width="4" style="98" customWidth="1"/>
    <col min="13" max="13" width="2.42578125" style="98" customWidth="1"/>
    <col min="14" max="14" width="4.5703125" style="98" customWidth="1"/>
    <col min="15" max="15" width="3.85546875" style="98" customWidth="1"/>
    <col min="16" max="16" width="2.7109375" style="98" customWidth="1"/>
    <col min="17" max="17" width="4.140625" style="98" customWidth="1"/>
    <col min="18" max="18" width="2.7109375" style="98" customWidth="1"/>
    <col min="19" max="19" width="1.7109375" style="98" customWidth="1"/>
    <col min="20" max="20" width="2.85546875" style="98" customWidth="1"/>
    <col min="21" max="21" width="0.85546875" style="98" customWidth="1"/>
    <col min="22" max="22" width="2.42578125" style="98" customWidth="1"/>
    <col min="23" max="23" width="1.7109375" style="98" customWidth="1"/>
    <col min="24" max="24" width="4.28515625" style="98" customWidth="1"/>
    <col min="25" max="25" width="3.7109375" style="98" customWidth="1"/>
    <col min="26" max="26" width="4" style="212" customWidth="1"/>
    <col min="27" max="27" width="3.85546875" style="98" customWidth="1"/>
    <col min="28" max="28" width="6.5703125" style="98" customWidth="1"/>
    <col min="29" max="30" width="3.42578125" style="98" customWidth="1"/>
    <col min="31" max="31" width="3.7109375" style="98" customWidth="1"/>
    <col min="32" max="34" width="4.28515625" style="98" customWidth="1"/>
    <col min="35" max="35" width="3.5703125" style="98" customWidth="1"/>
    <col min="36" max="36" width="7.7109375" style="98" customWidth="1"/>
    <col min="37" max="37" width="5.7109375" style="98" customWidth="1"/>
    <col min="38" max="39" width="7.7109375" style="98" customWidth="1"/>
    <col min="40" max="40" width="6.42578125" style="98" customWidth="1"/>
    <col min="41" max="41" width="7.7109375" style="98" customWidth="1"/>
    <col min="42" max="16384" width="9.140625" style="98"/>
  </cols>
  <sheetData>
    <row r="1" spans="1:41" ht="15.75" customHeight="1" x14ac:dyDescent="0.3">
      <c r="A1" s="355"/>
      <c r="B1" s="355"/>
      <c r="C1" s="97"/>
      <c r="D1" s="381" t="s">
        <v>73</v>
      </c>
      <c r="E1" s="381"/>
      <c r="F1" s="381"/>
      <c r="G1" s="381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S1" s="381"/>
      <c r="T1" s="381"/>
      <c r="U1" s="381"/>
      <c r="V1" s="381"/>
      <c r="W1" s="381"/>
      <c r="X1" s="381"/>
      <c r="Y1" s="381"/>
      <c r="Z1" s="381"/>
      <c r="AA1" s="381"/>
      <c r="AB1" s="381"/>
      <c r="AC1" s="381"/>
      <c r="AD1" s="381"/>
      <c r="AE1" s="381"/>
      <c r="AF1" s="381"/>
      <c r="AG1" s="381"/>
      <c r="AH1" s="381"/>
      <c r="AI1" s="381"/>
      <c r="AJ1" s="381"/>
      <c r="AK1" s="97"/>
      <c r="AL1" s="97"/>
      <c r="AM1" s="97"/>
      <c r="AN1" s="97"/>
    </row>
    <row r="2" spans="1:41" ht="22.5" customHeight="1" x14ac:dyDescent="0.3">
      <c r="A2" s="355"/>
      <c r="B2" s="355"/>
      <c r="C2" s="99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V2" s="381"/>
      <c r="W2" s="381"/>
      <c r="X2" s="381"/>
      <c r="Y2" s="381"/>
      <c r="Z2" s="381"/>
      <c r="AA2" s="381"/>
      <c r="AB2" s="381"/>
      <c r="AC2" s="381"/>
      <c r="AD2" s="381"/>
      <c r="AE2" s="381"/>
      <c r="AF2" s="381"/>
      <c r="AG2" s="381"/>
      <c r="AH2" s="381"/>
      <c r="AI2" s="381"/>
      <c r="AJ2" s="381"/>
      <c r="AK2" s="97"/>
      <c r="AL2" s="97"/>
      <c r="AM2" s="97"/>
      <c r="AN2" s="97"/>
    </row>
    <row r="3" spans="1:41" ht="19.5" customHeight="1" x14ac:dyDescent="0.3">
      <c r="A3" s="100"/>
      <c r="B3" s="97"/>
      <c r="C3" s="97"/>
      <c r="D3" s="97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210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</row>
    <row r="4" spans="1:41" ht="23.25" x14ac:dyDescent="0.35">
      <c r="A4" s="102" t="s">
        <v>0</v>
      </c>
      <c r="B4" s="101"/>
      <c r="C4" s="101"/>
      <c r="D4" s="101"/>
      <c r="E4" s="101"/>
      <c r="F4" s="101"/>
      <c r="G4" s="101"/>
      <c r="H4" s="101"/>
      <c r="I4" s="101"/>
      <c r="J4" s="380" t="s">
        <v>69</v>
      </c>
      <c r="K4" s="380"/>
      <c r="L4" s="380"/>
      <c r="M4" s="380"/>
      <c r="N4" s="380"/>
      <c r="O4" s="380"/>
      <c r="P4" s="380"/>
      <c r="Q4" s="103"/>
      <c r="R4" s="103"/>
      <c r="S4" s="103"/>
      <c r="T4" s="103"/>
      <c r="U4" s="103"/>
      <c r="V4" s="103"/>
      <c r="W4" s="103"/>
      <c r="X4" s="103"/>
      <c r="Y4" s="104"/>
      <c r="Z4" s="211"/>
      <c r="AA4" s="103"/>
      <c r="AB4" s="105"/>
      <c r="AC4" s="106" t="s">
        <v>20</v>
      </c>
      <c r="AD4" s="106"/>
      <c r="AE4" s="105" t="s">
        <v>103</v>
      </c>
      <c r="AF4" s="107"/>
      <c r="AG4" s="240" t="s">
        <v>1</v>
      </c>
      <c r="AH4" s="240"/>
      <c r="AI4" s="240"/>
      <c r="AJ4" s="108" t="s">
        <v>104</v>
      </c>
      <c r="AK4" s="108"/>
      <c r="AL4" s="105"/>
      <c r="AM4" s="101"/>
      <c r="AN4" s="101"/>
    </row>
    <row r="5" spans="1:41" ht="15.75" thickBot="1" x14ac:dyDescent="0.3">
      <c r="A5" s="109"/>
      <c r="B5" s="109"/>
      <c r="C5" s="356" t="s">
        <v>19</v>
      </c>
      <c r="D5" s="356"/>
      <c r="E5" s="356"/>
      <c r="F5" s="356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110"/>
      <c r="AH5" s="213"/>
      <c r="AI5" s="109"/>
      <c r="AJ5" s="109"/>
      <c r="AK5" s="109"/>
      <c r="AL5" s="109"/>
      <c r="AM5" s="109"/>
      <c r="AN5" s="109"/>
      <c r="AO5" s="111"/>
    </row>
    <row r="6" spans="1:41" ht="22.5" customHeight="1" x14ac:dyDescent="0.25">
      <c r="A6" s="357">
        <v>4</v>
      </c>
      <c r="B6" s="358"/>
      <c r="C6" s="377" t="s">
        <v>3</v>
      </c>
      <c r="D6" s="378"/>
      <c r="E6" s="379"/>
      <c r="F6" s="372" t="s">
        <v>2</v>
      </c>
      <c r="G6" s="373"/>
      <c r="H6" s="373"/>
      <c r="I6" s="373"/>
      <c r="J6" s="373"/>
      <c r="K6" s="207">
        <v>0.2</v>
      </c>
      <c r="L6" s="359" t="s">
        <v>4</v>
      </c>
      <c r="M6" s="359"/>
      <c r="N6" s="487">
        <v>0.25</v>
      </c>
      <c r="O6" s="362" t="s">
        <v>5</v>
      </c>
      <c r="P6" s="363"/>
      <c r="Q6" s="487">
        <v>0.15</v>
      </c>
      <c r="R6" s="366" t="s">
        <v>6</v>
      </c>
      <c r="S6" s="367"/>
      <c r="T6" s="367"/>
      <c r="U6" s="367"/>
      <c r="V6" s="369">
        <v>0.25</v>
      </c>
      <c r="W6" s="497"/>
      <c r="X6" s="347" t="s">
        <v>7</v>
      </c>
      <c r="Y6" s="348"/>
      <c r="Z6" s="338" t="s">
        <v>70</v>
      </c>
      <c r="AA6" s="338" t="s">
        <v>68</v>
      </c>
      <c r="AB6" s="351" t="s">
        <v>7</v>
      </c>
      <c r="AC6" s="352"/>
      <c r="AD6" s="338" t="s">
        <v>71</v>
      </c>
      <c r="AE6" s="338" t="s">
        <v>68</v>
      </c>
      <c r="AF6" s="111"/>
    </row>
    <row r="7" spans="1:41" ht="22.5" customHeight="1" x14ac:dyDescent="0.25">
      <c r="A7" s="112"/>
      <c r="B7" s="113"/>
      <c r="C7" s="370" t="s">
        <v>80</v>
      </c>
      <c r="D7" s="371"/>
      <c r="E7" s="192">
        <v>0.15</v>
      </c>
      <c r="F7" s="374" t="s">
        <v>76</v>
      </c>
      <c r="G7" s="375"/>
      <c r="H7" s="208">
        <v>0.1</v>
      </c>
      <c r="I7" s="376" t="s">
        <v>77</v>
      </c>
      <c r="J7" s="375"/>
      <c r="K7" s="209">
        <v>0.1</v>
      </c>
      <c r="L7" s="360"/>
      <c r="M7" s="360"/>
      <c r="N7" s="488"/>
      <c r="O7" s="364"/>
      <c r="P7" s="365"/>
      <c r="Q7" s="488"/>
      <c r="R7" s="364"/>
      <c r="S7" s="365"/>
      <c r="T7" s="368"/>
      <c r="U7" s="368"/>
      <c r="V7" s="361"/>
      <c r="W7" s="498"/>
      <c r="X7" s="349"/>
      <c r="Y7" s="350"/>
      <c r="Z7" s="339"/>
      <c r="AA7" s="339"/>
      <c r="AB7" s="353"/>
      <c r="AC7" s="354"/>
      <c r="AD7" s="339"/>
      <c r="AE7" s="339"/>
      <c r="AF7" s="111"/>
    </row>
    <row r="8" spans="1:41" ht="15.75" customHeight="1" thickBot="1" x14ac:dyDescent="0.3">
      <c r="A8" s="114" t="s">
        <v>8</v>
      </c>
      <c r="B8" s="115" t="s">
        <v>9</v>
      </c>
      <c r="C8" s="193" t="s">
        <v>122</v>
      </c>
      <c r="D8" s="499" t="s">
        <v>123</v>
      </c>
      <c r="E8" s="496"/>
      <c r="F8" s="199" t="s">
        <v>122</v>
      </c>
      <c r="G8" s="506" t="s">
        <v>123</v>
      </c>
      <c r="H8" s="507"/>
      <c r="I8" s="200" t="s">
        <v>122</v>
      </c>
      <c r="J8" s="506" t="s">
        <v>123</v>
      </c>
      <c r="K8" s="507"/>
      <c r="L8" s="201" t="s">
        <v>124</v>
      </c>
      <c r="M8" s="495" t="s">
        <v>125</v>
      </c>
      <c r="N8" s="508"/>
      <c r="O8" s="202" t="s">
        <v>124</v>
      </c>
      <c r="P8" s="509" t="s">
        <v>125</v>
      </c>
      <c r="Q8" s="510"/>
      <c r="R8" s="345" t="s">
        <v>124</v>
      </c>
      <c r="S8" s="346"/>
      <c r="T8" s="509" t="s">
        <v>125</v>
      </c>
      <c r="U8" s="511"/>
      <c r="V8" s="511"/>
      <c r="W8" s="496"/>
      <c r="X8" s="341" t="s">
        <v>126</v>
      </c>
      <c r="Y8" s="342"/>
      <c r="Z8" s="340"/>
      <c r="AA8" s="340"/>
      <c r="AB8" s="343" t="s">
        <v>127</v>
      </c>
      <c r="AC8" s="344"/>
      <c r="AD8" s="340"/>
      <c r="AE8" s="340"/>
      <c r="AF8" s="111"/>
    </row>
    <row r="9" spans="1:41" ht="13.5" customHeight="1" thickBot="1" x14ac:dyDescent="0.3">
      <c r="A9" s="117">
        <v>1</v>
      </c>
      <c r="B9" s="186" t="s">
        <v>82</v>
      </c>
      <c r="C9" s="194">
        <f>IF(Leitura!R8="","",Leitura!R8)</f>
        <v>60</v>
      </c>
      <c r="D9" s="500">
        <f>IF(Leitura!AC8="","",Leitura!AC8)</f>
        <v>40</v>
      </c>
      <c r="E9" s="501"/>
      <c r="F9" s="194">
        <f>IF(Oralidade!N8="","",Oralidade!N8)</f>
        <v>80</v>
      </c>
      <c r="G9" s="500">
        <f>IF(Oralidade!V8="","",Oralidade!V8)</f>
        <v>70</v>
      </c>
      <c r="H9" s="501"/>
      <c r="I9" s="194">
        <f>IF(Oralidade!O8="","",Oralidade!O8)</f>
        <v>55</v>
      </c>
      <c r="J9" s="500">
        <f>IF(Oralidade!W8="","",Oralidade!W8)</f>
        <v>55</v>
      </c>
      <c r="K9" s="501"/>
      <c r="L9" s="194">
        <f>IF('Ed. Literária'!V8="","",'Ed. Literária'!V8)</f>
        <v>61</v>
      </c>
      <c r="M9" s="518">
        <f>IF('Ed. Literária'!AK8="","",'Ed. Literária'!AK8)</f>
        <v>70</v>
      </c>
      <c r="N9" s="501"/>
      <c r="O9" s="194">
        <f>IF(Gramática!O8="","",Gramática!O8)</f>
        <v>72</v>
      </c>
      <c r="P9" s="518">
        <f>IF(Gramática!W8="","",Gramática!W8)</f>
        <v>90</v>
      </c>
      <c r="Q9" s="501"/>
      <c r="R9" s="337">
        <f>IF(Escrita!P8="","",Escrita!P8)</f>
        <v>74.5</v>
      </c>
      <c r="S9" s="336"/>
      <c r="T9" s="493">
        <f>IF(Escrita!Y8="","",Escrita!Y8)</f>
        <v>60</v>
      </c>
      <c r="U9" s="512"/>
      <c r="V9" s="512"/>
      <c r="W9" s="494"/>
      <c r="X9" s="522">
        <f>IF(AREAS((C9,F9,I9,L9,O9,R9))-COUNT(C9,F9,I9,L9,O9,R9)=0,ROUND(SUM($C9*$E$7,$F9*$H$7,$I9*$K$7,$L9*$N$6,$O9*$Q$6,$R9*$V$6),0),"")</f>
        <v>67</v>
      </c>
      <c r="Y9" s="125">
        <f>IF((X9=""),"",IF(X9&gt;89,5,IF(X9&gt;69,4,IF(X9&gt;49,3,IF(X9&gt;19,2,IF(X9&gt;0,1))))))</f>
        <v>3</v>
      </c>
      <c r="Z9" s="230">
        <v>3</v>
      </c>
      <c r="AA9" s="214">
        <f>Y9</f>
        <v>3</v>
      </c>
      <c r="AB9" s="239">
        <f>IF(AREAS((D9,G9,J9,M9,P9,T9))-COUNT(D9,G9,J9,M9,P9,T9)=0,ROUND(SUM($D9*$E$7,$G9*$H$7,$J9*$K$7,$M9*$N$6,$P9*$Q$6,$T9*$V$6),0),"")</f>
        <v>65</v>
      </c>
      <c r="AC9" s="224">
        <f>IF((AB9=""),"",IF(AB9&gt;89,5,IF(AB9&gt;69,4,IF(AB9&gt;49,3,IF(AB9&gt;19,2,IF(AB9&gt;0,1))))))</f>
        <v>3</v>
      </c>
      <c r="AD9" s="268"/>
      <c r="AE9" s="233">
        <f>AC9</f>
        <v>3</v>
      </c>
      <c r="AF9" s="111"/>
    </row>
    <row r="10" spans="1:41" ht="13.5" customHeight="1" thickBot="1" x14ac:dyDescent="0.3">
      <c r="A10" s="118">
        <v>2</v>
      </c>
      <c r="B10" s="187" t="s">
        <v>83</v>
      </c>
      <c r="C10" s="195">
        <f>IF(Leitura!R9="","",Leitura!R9)</f>
        <v>30</v>
      </c>
      <c r="D10" s="502">
        <f>IF(Leitura!AC9="","",Leitura!AC9)</f>
        <v>60</v>
      </c>
      <c r="E10" s="503"/>
      <c r="F10" s="203">
        <f>IF(Oralidade!N9="","",Oralidade!N9)</f>
        <v>60</v>
      </c>
      <c r="G10" s="502">
        <f>IF(Oralidade!V9="","",Oralidade!V9)</f>
        <v>70</v>
      </c>
      <c r="H10" s="503"/>
      <c r="I10" s="203">
        <f>IF(Oralidade!O9="","",Oralidade!O9)</f>
        <v>50</v>
      </c>
      <c r="J10" s="502">
        <f>IF(Oralidade!W9="","",Oralidade!W9)</f>
        <v>55</v>
      </c>
      <c r="K10" s="503"/>
      <c r="L10" s="203">
        <f>IF('Ed. Literária'!V9="","",'Ed. Literária'!V9)</f>
        <v>23</v>
      </c>
      <c r="M10" s="317">
        <f>IF('Ed. Literária'!AK9="","",'Ed. Literária'!AK9)</f>
        <v>50</v>
      </c>
      <c r="N10" s="320"/>
      <c r="O10" s="203">
        <f>IF(Gramática!O9="","",Gramática!O9)</f>
        <v>44</v>
      </c>
      <c r="P10" s="317">
        <f>IF(Gramática!W9="","",Gramática!W9)</f>
        <v>40</v>
      </c>
      <c r="Q10" s="320"/>
      <c r="R10" s="307">
        <f>IF(Escrita!P9="","",Escrita!P9)</f>
        <v>67.5</v>
      </c>
      <c r="S10" s="308"/>
      <c r="T10" s="309">
        <f>IF(Escrita!Y9="","",Escrita!Y9)</f>
        <v>50</v>
      </c>
      <c r="U10" s="513"/>
      <c r="V10" s="513"/>
      <c r="W10" s="310"/>
      <c r="X10" s="523">
        <f>IF(AREAS((C10,F10,I10,L10,O10,R10))-COUNT(C10,F10,I10,L10,O10,R10)=0,ROUND(SUM($C10*$E$7,$F10*$H$7,$I10*$K$7,$L10*$N$6,$O10*$Q$6,$R10*$V$6),0),"")</f>
        <v>45</v>
      </c>
      <c r="Y10" s="82">
        <f t="shared" ref="Y10:Y38" si="0">IF((X10=""),"",IF(X10&gt;89,5,IF(X10&gt;69,4,IF(X10&gt;49,3,IF(X10&gt;19,2,IF(X10&gt;0,1))))))</f>
        <v>2</v>
      </c>
      <c r="Z10" s="231">
        <v>3</v>
      </c>
      <c r="AA10" s="215">
        <f t="shared" ref="AA10:AA34" si="1">Y10</f>
        <v>2</v>
      </c>
      <c r="AB10" s="276">
        <f>IF(AREAS((D10,G10,J10,M10,P10,T10))-COUNT(D10,G10,J10,M10,P10,T10)=0,ROUND(SUM($D10*$E$7,$G10*$H$7,$J10*$K$7,$M10*$N$6,$P10*$Q$6,$T10*$V$6),0),"")</f>
        <v>53</v>
      </c>
      <c r="AC10" s="224">
        <f t="shared" ref="AC10:AC38" si="2">IF((AB10=""),"",IF(AB10&gt;89,5,IF(AB10&gt;69,4,IF(AB10&gt;49,3,IF(AB10&gt;19,2,IF(AB10&gt;0,1))))))</f>
        <v>3</v>
      </c>
      <c r="AD10" s="269"/>
      <c r="AE10" s="234">
        <f t="shared" ref="AE10:AE38" si="3">AC10</f>
        <v>3</v>
      </c>
      <c r="AF10" s="111"/>
    </row>
    <row r="11" spans="1:41" ht="13.5" customHeight="1" thickBot="1" x14ac:dyDescent="0.3">
      <c r="A11" s="119">
        <v>3</v>
      </c>
      <c r="B11" s="188" t="s">
        <v>84</v>
      </c>
      <c r="C11" s="196">
        <f>IF(Leitura!R10="","",Leitura!R10)</f>
        <v>90</v>
      </c>
      <c r="D11" s="504">
        <f>IF(Leitura!AC10="","",Leitura!AC10)</f>
        <v>80</v>
      </c>
      <c r="E11" s="505"/>
      <c r="F11" s="204">
        <f>IF(Oralidade!N10="","",Oralidade!N10)</f>
        <v>90</v>
      </c>
      <c r="G11" s="504">
        <f>IF(Oralidade!V10="","",Oralidade!V10)</f>
        <v>56</v>
      </c>
      <c r="H11" s="505"/>
      <c r="I11" s="204">
        <f>IF(Oralidade!O10="","",Oralidade!O10)</f>
        <v>70</v>
      </c>
      <c r="J11" s="504">
        <f>IF(Oralidade!W10="","",Oralidade!W10)</f>
        <v>70</v>
      </c>
      <c r="K11" s="505"/>
      <c r="L11" s="204">
        <f>IF('Ed. Literária'!V10="","",'Ed. Literária'!V10)</f>
        <v>60</v>
      </c>
      <c r="M11" s="519">
        <f>IF('Ed. Literária'!AK10="","",'Ed. Literária'!AK10)</f>
        <v>90</v>
      </c>
      <c r="N11" s="520"/>
      <c r="O11" s="204">
        <f>IF(Gramática!O10="","",Gramática!O10)</f>
        <v>74</v>
      </c>
      <c r="P11" s="519">
        <f>IF(Gramática!W10="","",Gramática!W10)</f>
        <v>100</v>
      </c>
      <c r="Q11" s="520"/>
      <c r="R11" s="311">
        <f>IF(Escrita!P10="","",Escrita!P10)</f>
        <v>85</v>
      </c>
      <c r="S11" s="312"/>
      <c r="T11" s="313">
        <f>IF(Escrita!Y10="","",Escrita!Y10)</f>
        <v>67.5</v>
      </c>
      <c r="U11" s="514"/>
      <c r="V11" s="514"/>
      <c r="W11" s="314"/>
      <c r="X11" s="522">
        <f>IF(AREAS((C11,F11,I11,L11,O11,R11))-COUNT(C11,F11,I11,L11,O11,R11)=0,ROUND(SUM($C11*$E$7,$F11*$H$7,$I11*$K$7,$L11*$N$6,$O11*$Q$6,$R11*$V$6),0),"")</f>
        <v>77</v>
      </c>
      <c r="Y11" s="83">
        <f t="shared" si="0"/>
        <v>4</v>
      </c>
      <c r="Z11" s="232">
        <v>4</v>
      </c>
      <c r="AA11" s="216">
        <f t="shared" si="1"/>
        <v>4</v>
      </c>
      <c r="AB11" s="239">
        <f>IF(AREAS((D11,G11,J11,M11,P11,T11))-COUNT(D11,G11,J11,M11,P11,T11)=0,ROUND(SUM($D11*$E$7,$G11*$H$7,$J11*$K$7,$M11*$N$6,$P11*$Q$6,$T11*$V$6),0),"")</f>
        <v>79</v>
      </c>
      <c r="AC11" s="224">
        <f t="shared" si="2"/>
        <v>4</v>
      </c>
      <c r="AD11" s="270"/>
      <c r="AE11" s="235">
        <f t="shared" si="3"/>
        <v>4</v>
      </c>
      <c r="AF11" s="111"/>
    </row>
    <row r="12" spans="1:41" ht="13.5" customHeight="1" thickBot="1" x14ac:dyDescent="0.3">
      <c r="A12" s="118">
        <v>4</v>
      </c>
      <c r="B12" s="187" t="s">
        <v>85</v>
      </c>
      <c r="C12" s="195">
        <f>IF(Leitura!R11="","",Leitura!R11)</f>
        <v>90</v>
      </c>
      <c r="D12" s="502">
        <f>IF(Leitura!AC11="","",Leitura!AC11)</f>
        <v>80</v>
      </c>
      <c r="E12" s="503"/>
      <c r="F12" s="203">
        <f>IF(Oralidade!N11="","",Oralidade!N11)</f>
        <v>70</v>
      </c>
      <c r="G12" s="502">
        <f>IF(Oralidade!V11="","",Oralidade!V11)</f>
        <v>56</v>
      </c>
      <c r="H12" s="503"/>
      <c r="I12" s="203">
        <f>IF(Oralidade!O11="","",Oralidade!O11)</f>
        <v>65</v>
      </c>
      <c r="J12" s="502">
        <f>IF(Oralidade!W11="","",Oralidade!W11)</f>
        <v>56</v>
      </c>
      <c r="K12" s="503"/>
      <c r="L12" s="203">
        <f>IF('Ed. Literária'!V11="","",'Ed. Literária'!V11)</f>
        <v>60</v>
      </c>
      <c r="M12" s="317">
        <f>IF('Ed. Literária'!AK11="","",'Ed. Literária'!AK11)</f>
        <v>60</v>
      </c>
      <c r="N12" s="320"/>
      <c r="O12" s="203">
        <f>IF(Gramática!O11="","",Gramática!O11)</f>
        <v>56</v>
      </c>
      <c r="P12" s="317">
        <f>IF(Gramática!W11="","",Gramática!W11)</f>
        <v>60</v>
      </c>
      <c r="Q12" s="320"/>
      <c r="R12" s="307">
        <f>IF(Escrita!P11="","",Escrita!P11)</f>
        <v>79.5</v>
      </c>
      <c r="S12" s="308"/>
      <c r="T12" s="309">
        <f>IF(Escrita!Y11="","",Escrita!Y11)</f>
        <v>62.5</v>
      </c>
      <c r="U12" s="513"/>
      <c r="V12" s="513"/>
      <c r="W12" s="310"/>
      <c r="X12" s="523">
        <f>IF(AREAS((C12,F12,I12,L12,O12,R12))-COUNT(C12,F12,I12,L12,O12,R12)=0,ROUND(SUM($C12*$E$7,$F12*$H$7,$I12*$K$7,$L12*$N$6,$O12*$Q$6,$R12*$V$6),0),"")</f>
        <v>70</v>
      </c>
      <c r="Y12" s="82">
        <f t="shared" si="0"/>
        <v>4</v>
      </c>
      <c r="Z12" s="231">
        <v>4</v>
      </c>
      <c r="AA12" s="215">
        <f t="shared" si="1"/>
        <v>4</v>
      </c>
      <c r="AB12" s="276">
        <f>IF(AREAS((D12,G12,J12,M12,P12,T12))-COUNT(D12,G12,J12,M12,P12,T12)=0,ROUND(SUM($D12*$E$7,$G12*$H$7,$J12*$K$7,$M12*$N$6,$P12*$Q$6,$T12*$V$6),0),"")</f>
        <v>63</v>
      </c>
      <c r="AC12" s="224">
        <f t="shared" si="2"/>
        <v>3</v>
      </c>
      <c r="AD12" s="269"/>
      <c r="AE12" s="234">
        <f t="shared" si="3"/>
        <v>3</v>
      </c>
      <c r="AF12" s="111"/>
    </row>
    <row r="13" spans="1:41" ht="13.5" customHeight="1" thickBot="1" x14ac:dyDescent="0.3">
      <c r="A13" s="119">
        <v>5</v>
      </c>
      <c r="B13" s="188" t="s">
        <v>86</v>
      </c>
      <c r="C13" s="196">
        <f>IF(Leitura!R12="","",Leitura!R12)</f>
        <v>70</v>
      </c>
      <c r="D13" s="504">
        <f>IF(Leitura!AC12="","",Leitura!AC12)</f>
        <v>40</v>
      </c>
      <c r="E13" s="505"/>
      <c r="F13" s="204">
        <f>IF(Oralidade!N12="","",Oralidade!N12)</f>
        <v>80</v>
      </c>
      <c r="G13" s="504">
        <f>IF(Oralidade!V12="","",Oralidade!V12)</f>
        <v>14</v>
      </c>
      <c r="H13" s="505"/>
      <c r="I13" s="204">
        <f>IF(Oralidade!O12="","",Oralidade!O12)</f>
        <v>50</v>
      </c>
      <c r="J13" s="504">
        <f>IF(Oralidade!W12="","",Oralidade!W12)</f>
        <v>40</v>
      </c>
      <c r="K13" s="505"/>
      <c r="L13" s="204">
        <f>IF('Ed. Literária'!V12="","",'Ed. Literária'!V12)</f>
        <v>60</v>
      </c>
      <c r="M13" s="519">
        <f>IF('Ed. Literária'!AK12="","",'Ed. Literária'!AK12)</f>
        <v>55</v>
      </c>
      <c r="N13" s="520"/>
      <c r="O13" s="204">
        <f>IF(Gramática!O12="","",Gramática!O12)</f>
        <v>36</v>
      </c>
      <c r="P13" s="519">
        <f>IF(Gramática!W12="","",Gramática!W12)</f>
        <v>40</v>
      </c>
      <c r="Q13" s="520"/>
      <c r="R13" s="311">
        <f>IF(Escrita!P12="","",Escrita!P12)</f>
        <v>52.5</v>
      </c>
      <c r="S13" s="312"/>
      <c r="T13" s="313">
        <f>IF(Escrita!Y12="","",Escrita!Y12)</f>
        <v>60</v>
      </c>
      <c r="U13" s="514"/>
      <c r="V13" s="514"/>
      <c r="W13" s="314"/>
      <c r="X13" s="522">
        <f>IF(AREAS((C13,F13,I13,L13,O13,R13))-COUNT(C13,F13,I13,L13,O13,R13)=0,ROUND(SUM($C13*$E$7,$F13*$H$7,$I13*$K$7,$L13*$N$6,$O13*$Q$6,$R13*$V$6),0),"")</f>
        <v>57</v>
      </c>
      <c r="Y13" s="83">
        <f t="shared" si="0"/>
        <v>3</v>
      </c>
      <c r="Z13" s="232">
        <v>3</v>
      </c>
      <c r="AA13" s="216">
        <f t="shared" si="1"/>
        <v>3</v>
      </c>
      <c r="AB13" s="239">
        <f>IF(AREAS((D13,G13,J13,M13,P13,T13))-COUNT(D13,G13,J13,M13,P13,T13)=0,ROUND(SUM($D13*$E$7,$G13*$H$7,$J13*$K$7,$M13*$N$6,$P13*$Q$6,$T13*$V$6),0),"")</f>
        <v>46</v>
      </c>
      <c r="AC13" s="224">
        <f t="shared" si="2"/>
        <v>2</v>
      </c>
      <c r="AD13" s="270"/>
      <c r="AE13" s="235">
        <f t="shared" si="3"/>
        <v>2</v>
      </c>
      <c r="AF13" s="111"/>
    </row>
    <row r="14" spans="1:41" ht="13.5" customHeight="1" thickBot="1" x14ac:dyDescent="0.3">
      <c r="A14" s="118">
        <v>6</v>
      </c>
      <c r="B14" s="187" t="s">
        <v>87</v>
      </c>
      <c r="C14" s="195">
        <f>IF(Leitura!R13="","",Leitura!R13)</f>
        <v>60</v>
      </c>
      <c r="D14" s="502">
        <f>IF(Leitura!AC13="","",Leitura!AC13)</f>
        <v>40</v>
      </c>
      <c r="E14" s="503"/>
      <c r="F14" s="203">
        <f>IF(Oralidade!N13="","",Oralidade!N13)</f>
        <v>90</v>
      </c>
      <c r="G14" s="502">
        <f>IF(Oralidade!V13="","",Oralidade!V13)</f>
        <v>100</v>
      </c>
      <c r="H14" s="503"/>
      <c r="I14" s="203">
        <f>IF(Oralidade!O13="","",Oralidade!O13)</f>
        <v>80</v>
      </c>
      <c r="J14" s="502">
        <f>IF(Oralidade!W13="","",Oralidade!W13)</f>
        <v>75</v>
      </c>
      <c r="K14" s="503"/>
      <c r="L14" s="203">
        <f>IF('Ed. Literária'!V13="","",'Ed. Literária'!V13)</f>
        <v>73</v>
      </c>
      <c r="M14" s="317">
        <f>IF('Ed. Literária'!AK13="","",'Ed. Literária'!AK13)</f>
        <v>76</v>
      </c>
      <c r="N14" s="320"/>
      <c r="O14" s="203">
        <f>IF(Gramática!O13="","",Gramática!O13)</f>
        <v>76</v>
      </c>
      <c r="P14" s="317">
        <f>IF(Gramática!W13="","",Gramática!W13)</f>
        <v>50</v>
      </c>
      <c r="Q14" s="320"/>
      <c r="R14" s="307">
        <f>IF(Escrita!P13="","",Escrita!P13)</f>
        <v>75</v>
      </c>
      <c r="S14" s="308"/>
      <c r="T14" s="309">
        <f>IF(Escrita!Y13="","",Escrita!Y13)</f>
        <v>75</v>
      </c>
      <c r="U14" s="513"/>
      <c r="V14" s="513"/>
      <c r="W14" s="310"/>
      <c r="X14" s="523">
        <f>IF(AREAS((C14,F14,I14,L14,O14,R14))-COUNT(C14,F14,I14,L14,O14,R14)=0,ROUND(SUM($C14*$E$7,$F14*$H$7,$I14*$K$7,$L14*$N$6,$O14*$Q$6,$R14*$V$6),0),"")</f>
        <v>74</v>
      </c>
      <c r="Y14" s="82">
        <f t="shared" si="0"/>
        <v>4</v>
      </c>
      <c r="Z14" s="231">
        <v>4</v>
      </c>
      <c r="AA14" s="217">
        <f t="shared" si="1"/>
        <v>4</v>
      </c>
      <c r="AB14" s="276">
        <f>IF(AREAS((D14,G14,J14,M14,P14,T14))-COUNT(D14,G14,J14,M14,P14,T14)=0,ROUND(SUM($D14*$E$7,$G14*$H$7,$J14*$K$7,$M14*$N$6,$P14*$Q$6,$T14*$V$6),0),"")</f>
        <v>69</v>
      </c>
      <c r="AC14" s="224">
        <f t="shared" si="2"/>
        <v>3</v>
      </c>
      <c r="AD14" s="269"/>
      <c r="AE14" s="234">
        <v>4</v>
      </c>
      <c r="AF14" s="111"/>
    </row>
    <row r="15" spans="1:41" ht="13.5" customHeight="1" thickBot="1" x14ac:dyDescent="0.3">
      <c r="A15" s="119">
        <v>7</v>
      </c>
      <c r="B15" s="187" t="s">
        <v>88</v>
      </c>
      <c r="C15" s="196">
        <f>IF(Leitura!R14="","",Leitura!R14)</f>
        <v>50</v>
      </c>
      <c r="D15" s="504">
        <f>IF(Leitura!AC14="","",Leitura!AC14)</f>
        <v>60</v>
      </c>
      <c r="E15" s="505"/>
      <c r="F15" s="204">
        <f>IF(Oralidade!N14="","",Oralidade!N14)</f>
        <v>70</v>
      </c>
      <c r="G15" s="504">
        <f>IF(Oralidade!V14="","",Oralidade!V14)</f>
        <v>1</v>
      </c>
      <c r="H15" s="505"/>
      <c r="I15" s="204">
        <f>IF(Oralidade!O14="","",Oralidade!O14)</f>
        <v>30</v>
      </c>
      <c r="J15" s="504">
        <f>IF(Oralidade!W14="","",Oralidade!W14)</f>
        <v>1</v>
      </c>
      <c r="K15" s="505"/>
      <c r="L15" s="204">
        <f>IF('Ed. Literária'!V14="","",'Ed. Literária'!V14)</f>
        <v>0</v>
      </c>
      <c r="M15" s="519">
        <f>IF('Ed. Literária'!AK14="","",'Ed. Literária'!AK14)</f>
        <v>17</v>
      </c>
      <c r="N15" s="520"/>
      <c r="O15" s="204">
        <f>IF(Gramática!O14="","",Gramática!O14)</f>
        <v>0</v>
      </c>
      <c r="P15" s="519">
        <f>IF(Gramática!W14="","",Gramática!W14)</f>
        <v>1</v>
      </c>
      <c r="Q15" s="520"/>
      <c r="R15" s="311">
        <f>IF(Escrita!P14="","",Escrita!P14)</f>
        <v>67.5</v>
      </c>
      <c r="S15" s="312"/>
      <c r="T15" s="313">
        <f>IF(Escrita!Y14="","",Escrita!Y14)</f>
        <v>0.5</v>
      </c>
      <c r="U15" s="514"/>
      <c r="V15" s="514"/>
      <c r="W15" s="314"/>
      <c r="X15" s="522">
        <f>IF(AREAS((C15,F15,I15,L15,O15,R15))-COUNT(C15,F15,I15,L15,O15,R15)=0,ROUND(SUM($C15*$E$7,$F15*$H$7,$I15*$K$7,$L15*$N$6,$O15*$Q$6,$R15*$V$6),0),"")</f>
        <v>34</v>
      </c>
      <c r="Y15" s="83">
        <f t="shared" si="0"/>
        <v>2</v>
      </c>
      <c r="Z15" s="232"/>
      <c r="AA15" s="216">
        <f t="shared" si="1"/>
        <v>2</v>
      </c>
      <c r="AB15" s="239">
        <f>IF(AREAS((D15,G15,J15,M15,P15,T15))-COUNT(D15,G15,J15,M15,P15,T15)=0,ROUND(SUM($D15*$E$7,$G15*$H$7,$J15*$K$7,$M15*$N$6,$P15*$Q$6,$T15*$V$6),0),"")</f>
        <v>14</v>
      </c>
      <c r="AC15" s="224">
        <f t="shared" si="2"/>
        <v>1</v>
      </c>
      <c r="AD15" s="270"/>
      <c r="AE15" s="235">
        <f t="shared" si="3"/>
        <v>1</v>
      </c>
      <c r="AF15" s="111"/>
    </row>
    <row r="16" spans="1:41" ht="13.5" customHeight="1" thickBot="1" x14ac:dyDescent="0.3">
      <c r="A16" s="118">
        <v>8</v>
      </c>
      <c r="B16" s="187" t="s">
        <v>89</v>
      </c>
      <c r="C16" s="195">
        <f>IF(Leitura!R15="","",Leitura!R15)</f>
        <v>30</v>
      </c>
      <c r="D16" s="502">
        <f>IF(Leitura!AC15="","",Leitura!AC15)</f>
        <v>40</v>
      </c>
      <c r="E16" s="503"/>
      <c r="F16" s="203">
        <f>IF(Oralidade!N15="","",Oralidade!N15)</f>
        <v>90</v>
      </c>
      <c r="G16" s="502">
        <f>IF(Oralidade!V15="","",Oralidade!V15)</f>
        <v>100</v>
      </c>
      <c r="H16" s="503"/>
      <c r="I16" s="203">
        <f>IF(Oralidade!O15="","",Oralidade!O15)</f>
        <v>70</v>
      </c>
      <c r="J16" s="502">
        <f>IF(Oralidade!W15="","",Oralidade!W15)</f>
        <v>65</v>
      </c>
      <c r="K16" s="503"/>
      <c r="L16" s="203">
        <f>IF('Ed. Literária'!V15="","",'Ed. Literária'!V15)</f>
        <v>50</v>
      </c>
      <c r="M16" s="317">
        <f>IF('Ed. Literária'!AK15="","",'Ed. Literária'!AK15)</f>
        <v>52</v>
      </c>
      <c r="N16" s="320"/>
      <c r="O16" s="203">
        <f>IF(Gramática!O15="","",Gramática!O15)</f>
        <v>52</v>
      </c>
      <c r="P16" s="317">
        <f>IF(Gramática!W15="","",Gramática!W15)</f>
        <v>70</v>
      </c>
      <c r="Q16" s="320"/>
      <c r="R16" s="307">
        <f>IF(Escrita!P15="","",Escrita!P15)</f>
        <v>72.5</v>
      </c>
      <c r="S16" s="308"/>
      <c r="T16" s="309">
        <f>IF(Escrita!Y15="","",Escrita!Y15)</f>
        <v>62.5</v>
      </c>
      <c r="U16" s="513"/>
      <c r="V16" s="513"/>
      <c r="W16" s="310"/>
      <c r="X16" s="523">
        <f>IF(AREAS((C16,F16,I16,L16,O16,R16))-COUNT(C16,F16,I16,L16,O16,R16)=0,ROUND(SUM($C16*$E$7,$F16*$H$7,$I16*$K$7,$L16*$N$6,$O16*$Q$6,$R16*$V$6),0),"")</f>
        <v>59</v>
      </c>
      <c r="Y16" s="82">
        <f t="shared" si="0"/>
        <v>3</v>
      </c>
      <c r="Z16" s="231">
        <v>3</v>
      </c>
      <c r="AA16" s="215">
        <f t="shared" si="1"/>
        <v>3</v>
      </c>
      <c r="AB16" s="276">
        <f>IF(AREAS((D16,G16,J16,M16,P16,T16))-COUNT(D16,G16,J16,M16,P16,T16)=0,ROUND(SUM($D16*$E$7,$G16*$H$7,$J16*$K$7,$M16*$N$6,$P16*$Q$6,$T16*$V$6),0),"")</f>
        <v>62</v>
      </c>
      <c r="AC16" s="224">
        <f t="shared" si="2"/>
        <v>3</v>
      </c>
      <c r="AD16" s="269"/>
      <c r="AE16" s="234">
        <f t="shared" si="3"/>
        <v>3</v>
      </c>
      <c r="AF16" s="111"/>
    </row>
    <row r="17" spans="1:40" ht="13.5" customHeight="1" thickBot="1" x14ac:dyDescent="0.3">
      <c r="A17" s="119">
        <v>9</v>
      </c>
      <c r="B17" s="188" t="s">
        <v>90</v>
      </c>
      <c r="C17" s="196">
        <f>IF(Leitura!R16="","",Leitura!R16)</f>
        <v>60</v>
      </c>
      <c r="D17" s="504">
        <f>IF(Leitura!AC16="","",Leitura!AC16)</f>
        <v>60</v>
      </c>
      <c r="E17" s="505"/>
      <c r="F17" s="204">
        <f>IF(Oralidade!N16="","",Oralidade!N16)</f>
        <v>80</v>
      </c>
      <c r="G17" s="504">
        <f>IF(Oralidade!V16="","",Oralidade!V16)</f>
        <v>57</v>
      </c>
      <c r="H17" s="505"/>
      <c r="I17" s="204">
        <f>IF(Oralidade!O16="","",Oralidade!O16)</f>
        <v>80</v>
      </c>
      <c r="J17" s="504">
        <f>IF(Oralidade!W16="","",Oralidade!W16)</f>
        <v>55</v>
      </c>
      <c r="K17" s="505"/>
      <c r="L17" s="204">
        <f>IF('Ed. Literária'!V16="","",'Ed. Literária'!V16)</f>
        <v>90</v>
      </c>
      <c r="M17" s="519">
        <f>IF('Ed. Literária'!AK16="","",'Ed. Literária'!AK16)</f>
        <v>61</v>
      </c>
      <c r="N17" s="520"/>
      <c r="O17" s="204">
        <f>IF(Gramática!O16="","",Gramática!O16)</f>
        <v>60</v>
      </c>
      <c r="P17" s="519">
        <f>IF(Gramática!W16="","",Gramática!W16)</f>
        <v>70</v>
      </c>
      <c r="Q17" s="520"/>
      <c r="R17" s="311">
        <f>IF(Escrita!P16="","",Escrita!P16)</f>
        <v>72</v>
      </c>
      <c r="S17" s="312"/>
      <c r="T17" s="313">
        <f>IF(Escrita!Y16="","",Escrita!Y16)</f>
        <v>50</v>
      </c>
      <c r="U17" s="514"/>
      <c r="V17" s="514"/>
      <c r="W17" s="314"/>
      <c r="X17" s="522">
        <f>IF(AREAS((C17,F17,I17,L17,O17,R17))-COUNT(C17,F17,I17,L17,O17,R17)=0,ROUND(SUM($C17*$E$7,$F17*$H$7,$I17*$K$7,$L17*$N$6,$O17*$Q$6,$R17*$V$6),0),"")</f>
        <v>75</v>
      </c>
      <c r="Y17" s="83">
        <f t="shared" si="0"/>
        <v>4</v>
      </c>
      <c r="Z17" s="232">
        <v>4</v>
      </c>
      <c r="AA17" s="216">
        <f t="shared" si="1"/>
        <v>4</v>
      </c>
      <c r="AB17" s="239">
        <f>IF(AREAS((D17,G17,J17,M17,P17,T17))-COUNT(D17,G17,J17,M17,P17,T17)=0,ROUND(SUM($D17*$E$7,$G17*$H$7,$J17*$K$7,$M17*$N$6,$P17*$Q$6,$T17*$V$6),0),"")</f>
        <v>58</v>
      </c>
      <c r="AC17" s="224">
        <f t="shared" si="2"/>
        <v>3</v>
      </c>
      <c r="AD17" s="270"/>
      <c r="AE17" s="235">
        <f t="shared" si="3"/>
        <v>3</v>
      </c>
      <c r="AF17" s="111"/>
    </row>
    <row r="18" spans="1:40" ht="13.5" customHeight="1" thickBot="1" x14ac:dyDescent="0.3">
      <c r="A18" s="118">
        <v>10</v>
      </c>
      <c r="B18" s="187" t="s">
        <v>91</v>
      </c>
      <c r="C18" s="195">
        <f>IF(Leitura!R17="","",Leitura!R17)</f>
        <v>20</v>
      </c>
      <c r="D18" s="502">
        <f>IF(Leitura!AC17="","",Leitura!AC17)</f>
        <v>40</v>
      </c>
      <c r="E18" s="503"/>
      <c r="F18" s="203">
        <f>IF(Oralidade!N17="","",Oralidade!N17)</f>
        <v>90</v>
      </c>
      <c r="G18" s="502">
        <f>IF(Oralidade!V17="","",Oralidade!V17)</f>
        <v>100</v>
      </c>
      <c r="H18" s="503"/>
      <c r="I18" s="203">
        <f>IF(Oralidade!O17="","",Oralidade!O17)</f>
        <v>60</v>
      </c>
      <c r="J18" s="502">
        <f>IF(Oralidade!W17="","",Oralidade!W17)</f>
        <v>55</v>
      </c>
      <c r="K18" s="503"/>
      <c r="L18" s="203">
        <f>IF('Ed. Literária'!V17="","",'Ed. Literária'!V17)</f>
        <v>38</v>
      </c>
      <c r="M18" s="317">
        <f>IF('Ed. Literária'!AK17="","",'Ed. Literária'!AK17)</f>
        <v>65</v>
      </c>
      <c r="N18" s="320"/>
      <c r="O18" s="203">
        <f>IF(Gramática!O17="","",Gramática!O17)</f>
        <v>76</v>
      </c>
      <c r="P18" s="317">
        <f>IF(Gramática!W17="","",Gramática!W17)</f>
        <v>80</v>
      </c>
      <c r="Q18" s="320"/>
      <c r="R18" s="307">
        <f>IF(Escrita!P17="","",Escrita!P17)</f>
        <v>66.5</v>
      </c>
      <c r="S18" s="308"/>
      <c r="T18" s="309">
        <f>IF(Escrita!Y17="","",Escrita!Y17)</f>
        <v>62.5</v>
      </c>
      <c r="U18" s="513"/>
      <c r="V18" s="513"/>
      <c r="W18" s="310"/>
      <c r="X18" s="523">
        <f>IF(AREAS((C18,F18,I18,L18,O18,R18))-COUNT(C18,F18,I18,L18,O18,R18)=0,ROUND(SUM($C18*$E$7,$F18*$H$7,$I18*$K$7,$L18*$N$6,$O18*$Q$6,$R18*$V$6),0),"")</f>
        <v>56</v>
      </c>
      <c r="Y18" s="82">
        <f t="shared" si="0"/>
        <v>3</v>
      </c>
      <c r="Z18" s="231">
        <v>3</v>
      </c>
      <c r="AA18" s="218">
        <f t="shared" si="1"/>
        <v>3</v>
      </c>
      <c r="AB18" s="276">
        <f>IF(AREAS((D18,G18,J18,M18,P18,T18))-COUNT(D18,G18,J18,M18,P18,T18)=0,ROUND(SUM($D18*$E$7,$G18*$H$7,$J18*$K$7,$M18*$N$6,$P18*$Q$6,$T18*$V$6),0),"")</f>
        <v>65</v>
      </c>
      <c r="AC18" s="224">
        <f t="shared" si="2"/>
        <v>3</v>
      </c>
      <c r="AD18" s="269"/>
      <c r="AE18" s="234">
        <f t="shared" si="3"/>
        <v>3</v>
      </c>
      <c r="AF18" s="111"/>
    </row>
    <row r="19" spans="1:40" ht="13.5" customHeight="1" thickBot="1" x14ac:dyDescent="0.3">
      <c r="A19" s="119">
        <v>11</v>
      </c>
      <c r="B19" s="188" t="s">
        <v>92</v>
      </c>
      <c r="C19" s="196">
        <f>IF(Leitura!R18="","",Leitura!R18)</f>
        <v>30</v>
      </c>
      <c r="D19" s="504">
        <f>IF(Leitura!AC18="","",Leitura!AC18)</f>
        <v>40</v>
      </c>
      <c r="E19" s="505"/>
      <c r="F19" s="204">
        <f>IF(Oralidade!N18="","",Oralidade!N18)</f>
        <v>70</v>
      </c>
      <c r="G19" s="504">
        <f>IF(Oralidade!V18="","",Oralidade!V18)</f>
        <v>56</v>
      </c>
      <c r="H19" s="505"/>
      <c r="I19" s="204">
        <f>IF(Oralidade!O18="","",Oralidade!O18)</f>
        <v>40</v>
      </c>
      <c r="J19" s="504">
        <f>IF(Oralidade!W18="","",Oralidade!W18)</f>
        <v>45</v>
      </c>
      <c r="K19" s="505"/>
      <c r="L19" s="204">
        <f>IF('Ed. Literária'!V18="","",'Ed. Literária'!V18)</f>
        <v>46</v>
      </c>
      <c r="M19" s="519">
        <f>IF('Ed. Literária'!AK18="","",'Ed. Literária'!AK18)</f>
        <v>6</v>
      </c>
      <c r="N19" s="520"/>
      <c r="O19" s="204">
        <f>IF(Gramática!O18="","",Gramática!O18)</f>
        <v>30</v>
      </c>
      <c r="P19" s="519">
        <f>IF(Gramática!W18="","",Gramática!W18)</f>
        <v>20</v>
      </c>
      <c r="Q19" s="520"/>
      <c r="R19" s="311">
        <f>IF(Escrita!P18="","",Escrita!P18)</f>
        <v>52.5</v>
      </c>
      <c r="S19" s="312"/>
      <c r="T19" s="313">
        <f>IF(Escrita!Y18="","",Escrita!Y18)</f>
        <v>42.5</v>
      </c>
      <c r="U19" s="514"/>
      <c r="V19" s="514"/>
      <c r="W19" s="314"/>
      <c r="X19" s="522">
        <f>IF(AREAS((C19,F19,I19,L19,O19,R19))-COUNT(C19,F19,I19,L19,O19,R19)=0,ROUND(SUM($C19*$E$7,$F19*$H$7,$I19*$K$7,$L19*$N$6,$O19*$Q$6,$R19*$V$6),0),"")</f>
        <v>45</v>
      </c>
      <c r="Y19" s="83">
        <f t="shared" si="0"/>
        <v>2</v>
      </c>
      <c r="Z19" s="232">
        <v>3</v>
      </c>
      <c r="AA19" s="216">
        <f t="shared" si="1"/>
        <v>2</v>
      </c>
      <c r="AB19" s="239">
        <f>IF(AREAS((D19,G19,J19,M19,P19,T19))-COUNT(D19,G19,J19,M19,P19,T19)=0,ROUND(SUM($D19*$E$7,$G19*$H$7,$J19*$K$7,$M19*$N$6,$P19*$Q$6,$T19*$V$6),0),"")</f>
        <v>31</v>
      </c>
      <c r="AC19" s="224">
        <f t="shared" si="2"/>
        <v>2</v>
      </c>
      <c r="AD19" s="270"/>
      <c r="AE19" s="235">
        <f t="shared" si="3"/>
        <v>2</v>
      </c>
      <c r="AF19" s="111"/>
    </row>
    <row r="20" spans="1:40" ht="13.5" customHeight="1" thickBot="1" x14ac:dyDescent="0.3">
      <c r="A20" s="118">
        <v>12</v>
      </c>
      <c r="B20" s="187" t="s">
        <v>93</v>
      </c>
      <c r="C20" s="195">
        <f>IF(Leitura!R19="","",Leitura!R19)</f>
        <v>60</v>
      </c>
      <c r="D20" s="502">
        <f>IF(Leitura!AC19="","",Leitura!AC19)</f>
        <v>40</v>
      </c>
      <c r="E20" s="503"/>
      <c r="F20" s="203">
        <f>IF(Oralidade!N19="","",Oralidade!N19)</f>
        <v>80</v>
      </c>
      <c r="G20" s="502">
        <f>IF(Oralidade!V19="","",Oralidade!V19)</f>
        <v>100</v>
      </c>
      <c r="H20" s="503"/>
      <c r="I20" s="203">
        <f>IF(Oralidade!O19="","",Oralidade!O19)</f>
        <v>80</v>
      </c>
      <c r="J20" s="502">
        <f>IF(Oralidade!W19="","",Oralidade!W19)</f>
        <v>65</v>
      </c>
      <c r="K20" s="503"/>
      <c r="L20" s="203">
        <f>IF('Ed. Literária'!V19="","",'Ed. Literária'!V19)</f>
        <v>55</v>
      </c>
      <c r="M20" s="317">
        <f>IF('Ed. Literária'!AK19="","",'Ed. Literária'!AK19)</f>
        <v>58</v>
      </c>
      <c r="N20" s="320"/>
      <c r="O20" s="203">
        <f>IF(Gramática!O19="","",Gramática!O19)</f>
        <v>76</v>
      </c>
      <c r="P20" s="317">
        <f>IF(Gramática!W19="","",Gramática!W19)</f>
        <v>50</v>
      </c>
      <c r="Q20" s="320"/>
      <c r="R20" s="307">
        <f>IF(Escrita!P19="","",Escrita!P19)</f>
        <v>82</v>
      </c>
      <c r="S20" s="308"/>
      <c r="T20" s="309">
        <f>IF(Escrita!Y19="","",Escrita!Y19)</f>
        <v>52.5</v>
      </c>
      <c r="U20" s="513"/>
      <c r="V20" s="513"/>
      <c r="W20" s="310"/>
      <c r="X20" s="523">
        <f>IF(AREAS((C20,F20,I20,L20,O20,R20))-COUNT(C20,F20,I20,L20,O20,R20)=0,ROUND(SUM($C20*$E$7,$F20*$H$7,$I20*$K$7,$L20*$N$6,$O20*$Q$6,$R20*$V$6),0),"")</f>
        <v>71</v>
      </c>
      <c r="Y20" s="82">
        <f t="shared" si="0"/>
        <v>4</v>
      </c>
      <c r="Z20" s="231">
        <v>4</v>
      </c>
      <c r="AA20" s="215">
        <f t="shared" si="1"/>
        <v>4</v>
      </c>
      <c r="AB20" s="276">
        <f>IF(AREAS((D20,G20,J20,M20,P20,T20))-COUNT(D20,G20,J20,M20,P20,T20)=0,ROUND(SUM($D20*$E$7,$G20*$H$7,$J20*$K$7,$M20*$N$6,$P20*$Q$6,$T20*$V$6),0),"")</f>
        <v>58</v>
      </c>
      <c r="AC20" s="224">
        <f t="shared" si="2"/>
        <v>3</v>
      </c>
      <c r="AD20" s="269"/>
      <c r="AE20" s="234">
        <f t="shared" si="3"/>
        <v>3</v>
      </c>
      <c r="AF20" s="111"/>
      <c r="AK20" s="120"/>
    </row>
    <row r="21" spans="1:40" ht="13.5" customHeight="1" thickBot="1" x14ac:dyDescent="0.3">
      <c r="A21" s="119">
        <v>13</v>
      </c>
      <c r="B21" s="188" t="s">
        <v>94</v>
      </c>
      <c r="C21" s="196">
        <f>IF(Leitura!R20="","",Leitura!R20)</f>
        <v>50</v>
      </c>
      <c r="D21" s="504">
        <f>IF(Leitura!AC20="","",Leitura!AC20)</f>
        <v>20</v>
      </c>
      <c r="E21" s="505"/>
      <c r="F21" s="204">
        <f>IF(Oralidade!N20="","",Oralidade!N20)</f>
        <v>90</v>
      </c>
      <c r="G21" s="504">
        <f>IF(Oralidade!V20="","",Oralidade!V20)</f>
        <v>100</v>
      </c>
      <c r="H21" s="505"/>
      <c r="I21" s="204">
        <f>IF(Oralidade!O20="","",Oralidade!O20)</f>
        <v>60</v>
      </c>
      <c r="J21" s="504">
        <f>IF(Oralidade!W20="","",Oralidade!W20)</f>
        <v>60</v>
      </c>
      <c r="K21" s="505"/>
      <c r="L21" s="204">
        <f>IF('Ed. Literária'!V20="","",'Ed. Literária'!V20)</f>
        <v>58</v>
      </c>
      <c r="M21" s="519">
        <f>IF('Ed. Literária'!AK20="","",'Ed. Literária'!AK20)</f>
        <v>45</v>
      </c>
      <c r="N21" s="520"/>
      <c r="O21" s="204">
        <f>IF(Gramática!O20="","",Gramática!O20)</f>
        <v>64</v>
      </c>
      <c r="P21" s="519">
        <f>IF(Gramática!W20="","",Gramática!W20)</f>
        <v>60</v>
      </c>
      <c r="Q21" s="520"/>
      <c r="R21" s="311">
        <f>IF(Escrita!P20="","",Escrita!P20)</f>
        <v>64.5</v>
      </c>
      <c r="S21" s="312"/>
      <c r="T21" s="313">
        <f>IF(Escrita!Y20="","",Escrita!Y20)</f>
        <v>57.5</v>
      </c>
      <c r="U21" s="514"/>
      <c r="V21" s="514"/>
      <c r="W21" s="314"/>
      <c r="X21" s="522">
        <f>IF(AREAS((C21,F21,I21,L21,O21,R21))-COUNT(C21,F21,I21,L21,O21,R21)=0,ROUND(SUM($C21*$E$7,$F21*$H$7,$I21*$K$7,$L21*$N$6,$O21*$Q$6,$R21*$V$6),0),"")</f>
        <v>63</v>
      </c>
      <c r="Y21" s="83">
        <f t="shared" si="0"/>
        <v>3</v>
      </c>
      <c r="Z21" s="232">
        <v>4</v>
      </c>
      <c r="AA21" s="216">
        <f t="shared" si="1"/>
        <v>3</v>
      </c>
      <c r="AB21" s="239">
        <f>IF(AREAS((D21,G21,J21,M21,P21,T21))-COUNT(D21,G21,J21,M21,P21,T21)=0,ROUND(SUM($D21*$E$7,$G21*$H$7,$J21*$K$7,$M21*$N$6,$P21*$Q$6,$T21*$V$6),0),"")</f>
        <v>54</v>
      </c>
      <c r="AC21" s="224">
        <f t="shared" si="2"/>
        <v>3</v>
      </c>
      <c r="AD21" s="270"/>
      <c r="AE21" s="235">
        <v>3</v>
      </c>
      <c r="AF21" s="111"/>
    </row>
    <row r="22" spans="1:40" ht="13.5" customHeight="1" thickBot="1" x14ac:dyDescent="0.3">
      <c r="A22" s="118">
        <v>14</v>
      </c>
      <c r="B22" s="187" t="s">
        <v>95</v>
      </c>
      <c r="C22" s="195">
        <f>IF(Leitura!R21="","",Leitura!R21)</f>
        <v>90</v>
      </c>
      <c r="D22" s="502">
        <f>IF(Leitura!AC21="","",Leitura!AC21)</f>
        <v>40</v>
      </c>
      <c r="E22" s="503"/>
      <c r="F22" s="203">
        <f>IF(Oralidade!N21="","",Oralidade!N21)</f>
        <v>100</v>
      </c>
      <c r="G22" s="502">
        <f>IF(Oralidade!V21="","",Oralidade!V21)</f>
        <v>100</v>
      </c>
      <c r="H22" s="503"/>
      <c r="I22" s="203">
        <f>IF(Oralidade!O21="","",Oralidade!O21)</f>
        <v>90</v>
      </c>
      <c r="J22" s="502">
        <f>IF(Oralidade!W21="","",Oralidade!W21)</f>
        <v>80</v>
      </c>
      <c r="K22" s="503"/>
      <c r="L22" s="203">
        <f>IF('Ed. Literária'!V21="","",'Ed. Literária'!V21)</f>
        <v>95</v>
      </c>
      <c r="M22" s="317">
        <f>IF('Ed. Literária'!AK21="","",'Ed. Literária'!AK21)</f>
        <v>92</v>
      </c>
      <c r="N22" s="320"/>
      <c r="O22" s="203">
        <f>IF(Gramática!O21="","",Gramática!O21)</f>
        <v>92</v>
      </c>
      <c r="P22" s="317">
        <f>IF(Gramática!W21="","",Gramática!W21)</f>
        <v>90</v>
      </c>
      <c r="Q22" s="320"/>
      <c r="R22" s="307">
        <f>IF(Escrita!P21="","",Escrita!P21)</f>
        <v>94.5</v>
      </c>
      <c r="S22" s="308"/>
      <c r="T22" s="309">
        <f>IF(Escrita!Y21="","",Escrita!Y21)</f>
        <v>75</v>
      </c>
      <c r="U22" s="513"/>
      <c r="V22" s="513"/>
      <c r="W22" s="310"/>
      <c r="X22" s="523">
        <f>IF(AREAS((C22,F22,I22,L22,O22,R22))-COUNT(C22,F22,I22,L22,O22,R22)=0,ROUND(SUM($C22*$E$7,$F22*$H$7,$I22*$K$7,$L22*$N$6,$O22*$Q$6,$R22*$V$6),0),"")</f>
        <v>94</v>
      </c>
      <c r="Y22" s="82">
        <f t="shared" si="0"/>
        <v>5</v>
      </c>
      <c r="Z22" s="231">
        <v>5</v>
      </c>
      <c r="AA22" s="215">
        <f t="shared" si="1"/>
        <v>5</v>
      </c>
      <c r="AB22" s="276">
        <f>IF(AREAS((D22,G22,J22,M22,P22,T22))-COUNT(D22,G22,J22,M22,P22,T22)=0,ROUND(SUM($D22*$E$7,$G22*$H$7,$J22*$K$7,$M22*$N$6,$P22*$Q$6,$T22*$V$6),0),"")</f>
        <v>79</v>
      </c>
      <c r="AC22" s="224">
        <f t="shared" si="2"/>
        <v>4</v>
      </c>
      <c r="AD22" s="269"/>
      <c r="AE22" s="234">
        <f t="shared" si="3"/>
        <v>4</v>
      </c>
      <c r="AF22" s="111"/>
    </row>
    <row r="23" spans="1:40" ht="13.5" customHeight="1" thickBot="1" x14ac:dyDescent="0.3">
      <c r="A23" s="119">
        <v>15</v>
      </c>
      <c r="B23" s="188" t="s">
        <v>96</v>
      </c>
      <c r="C23" s="196">
        <f>IF(Leitura!R22="","",Leitura!R22)</f>
        <v>0</v>
      </c>
      <c r="D23" s="504">
        <f>IF(Leitura!AC22="","",Leitura!AC22)</f>
        <v>60</v>
      </c>
      <c r="E23" s="505"/>
      <c r="F23" s="204">
        <f>IF(Oralidade!N22="","",Oralidade!N22)</f>
        <v>80</v>
      </c>
      <c r="G23" s="504">
        <f>IF(Oralidade!V22="","",Oralidade!V22)</f>
        <v>1</v>
      </c>
      <c r="H23" s="505"/>
      <c r="I23" s="204">
        <f>IF(Oralidade!O22="","",Oralidade!O22)</f>
        <v>30</v>
      </c>
      <c r="J23" s="504">
        <f>IF(Oralidade!W22="","",Oralidade!W22)</f>
        <v>1</v>
      </c>
      <c r="K23" s="505"/>
      <c r="L23" s="204">
        <f>IF('Ed. Literária'!V22="","",'Ed. Literária'!V22)</f>
        <v>0</v>
      </c>
      <c r="M23" s="519">
        <f>IF('Ed. Literária'!AK22="","",'Ed. Literária'!AK22)</f>
        <v>19</v>
      </c>
      <c r="N23" s="520"/>
      <c r="O23" s="204">
        <f>IF(Gramática!O22="","",Gramática!O22)</f>
        <v>0</v>
      </c>
      <c r="P23" s="519">
        <f>IF(Gramática!W22="","",Gramática!W22)</f>
        <v>1</v>
      </c>
      <c r="Q23" s="520"/>
      <c r="R23" s="311">
        <f>IF(Escrita!P22="","",Escrita!P22)</f>
        <v>44.5</v>
      </c>
      <c r="S23" s="312"/>
      <c r="T23" s="313">
        <f>IF(Escrita!Y22="","",Escrita!Y22)</f>
        <v>0.5</v>
      </c>
      <c r="U23" s="514"/>
      <c r="V23" s="514"/>
      <c r="W23" s="314"/>
      <c r="X23" s="522">
        <f>IF(AREAS((C23,F23,I23,L23,O23,R23))-COUNT(C23,F23,I23,L23,O23,R23)=0,ROUND(SUM($C23*$E$7,$F23*$H$7,$I23*$K$7,$L23*$N$6,$O23*$Q$6,$R23*$V$6),0),"")</f>
        <v>22</v>
      </c>
      <c r="Y23" s="83">
        <f t="shared" si="0"/>
        <v>2</v>
      </c>
      <c r="Z23" s="232"/>
      <c r="AA23" s="216">
        <f t="shared" si="1"/>
        <v>2</v>
      </c>
      <c r="AB23" s="239">
        <f>IF(AREAS((D23,G23,J23,M23,P23,T23))-COUNT(D23,G23,J23,M23,P23,T23)=0,ROUND(SUM($D23*$E$7,$G23*$H$7,$J23*$K$7,$M23*$N$6,$P23*$Q$6,$T23*$V$6),0),"")</f>
        <v>14</v>
      </c>
      <c r="AC23" s="224">
        <f t="shared" si="2"/>
        <v>1</v>
      </c>
      <c r="AD23" s="270"/>
      <c r="AE23" s="235">
        <f t="shared" si="3"/>
        <v>1</v>
      </c>
      <c r="AF23" s="111"/>
    </row>
    <row r="24" spans="1:40" ht="13.5" customHeight="1" thickBot="1" x14ac:dyDescent="0.3">
      <c r="A24" s="118">
        <v>16</v>
      </c>
      <c r="B24" s="187" t="s">
        <v>97</v>
      </c>
      <c r="C24" s="195">
        <f>IF(Leitura!R23="","",Leitura!R23)</f>
        <v>30</v>
      </c>
      <c r="D24" s="502">
        <f>IF(Leitura!AC23="","",Leitura!AC23)</f>
        <v>20</v>
      </c>
      <c r="E24" s="503"/>
      <c r="F24" s="203">
        <f>IF(Oralidade!N23="","",Oralidade!N23)</f>
        <v>90</v>
      </c>
      <c r="G24" s="502">
        <f>IF(Oralidade!V23="","",Oralidade!V23)</f>
        <v>43</v>
      </c>
      <c r="H24" s="503"/>
      <c r="I24" s="203">
        <f>IF(Oralidade!O23="","",Oralidade!O23)</f>
        <v>40</v>
      </c>
      <c r="J24" s="502">
        <f>IF(Oralidade!W23="","",Oralidade!W23)</f>
        <v>40</v>
      </c>
      <c r="K24" s="503"/>
      <c r="L24" s="203">
        <f>IF('Ed. Literária'!V23="","",'Ed. Literária'!V23)</f>
        <v>80</v>
      </c>
      <c r="M24" s="317">
        <f>IF('Ed. Literária'!AK23="","",'Ed. Literária'!AK23)</f>
        <v>53</v>
      </c>
      <c r="N24" s="320"/>
      <c r="O24" s="203">
        <f>IF(Gramática!O23="","",Gramática!O23)</f>
        <v>56</v>
      </c>
      <c r="P24" s="317">
        <f>IF(Gramática!W23="","",Gramática!W23)</f>
        <v>60</v>
      </c>
      <c r="Q24" s="320"/>
      <c r="R24" s="307">
        <f>IF(Escrita!P23="","",Escrita!P23)</f>
        <v>25</v>
      </c>
      <c r="S24" s="308"/>
      <c r="T24" s="309">
        <f>IF(Escrita!Y23="","",Escrita!Y23)</f>
        <v>0.5</v>
      </c>
      <c r="U24" s="513"/>
      <c r="V24" s="513"/>
      <c r="W24" s="310"/>
      <c r="X24" s="523">
        <f>IF(AREAS((C24,F24,I24,L24,O24,R24))-COUNT(C24,F24,I24,L24,O24,R24)=0,ROUND(SUM($C24*$E$7,$F24*$H$7,$I24*$K$7,$L24*$N$6,$O24*$Q$6,$R24*$V$6),0),"")</f>
        <v>52</v>
      </c>
      <c r="Y24" s="82">
        <f t="shared" si="0"/>
        <v>3</v>
      </c>
      <c r="Z24" s="231"/>
      <c r="AA24" s="218">
        <f t="shared" si="1"/>
        <v>3</v>
      </c>
      <c r="AB24" s="276">
        <f>IF(AREAS((D24,G24,J24,M24,P24,T24))-COUNT(D24,G24,J24,M24,P24,T24)=0,ROUND(SUM($D24*$E$7,$G24*$H$7,$J24*$K$7,$M24*$N$6,$P24*$Q$6,$T24*$V$6),0),"")</f>
        <v>34</v>
      </c>
      <c r="AC24" s="224">
        <f t="shared" si="2"/>
        <v>2</v>
      </c>
      <c r="AD24" s="269"/>
      <c r="AE24" s="234">
        <f t="shared" si="3"/>
        <v>2</v>
      </c>
      <c r="AF24" s="111"/>
    </row>
    <row r="25" spans="1:40" ht="13.5" customHeight="1" thickBot="1" x14ac:dyDescent="0.3">
      <c r="A25" s="119">
        <v>17</v>
      </c>
      <c r="B25" s="188" t="s">
        <v>98</v>
      </c>
      <c r="C25" s="196">
        <f>IF(Leitura!R24="","",Leitura!R24)</f>
        <v>90</v>
      </c>
      <c r="D25" s="504">
        <f>IF(Leitura!AC24="","",Leitura!AC24)</f>
        <v>80</v>
      </c>
      <c r="E25" s="505"/>
      <c r="F25" s="204">
        <f>IF(Oralidade!N24="","",Oralidade!N24)</f>
        <v>90</v>
      </c>
      <c r="G25" s="504">
        <f>IF(Oralidade!V24="","",Oralidade!V24)</f>
        <v>85</v>
      </c>
      <c r="H25" s="505"/>
      <c r="I25" s="204">
        <f>IF(Oralidade!O24="","",Oralidade!O24)</f>
        <v>75</v>
      </c>
      <c r="J25" s="504">
        <f>IF(Oralidade!W24="","",Oralidade!W24)</f>
        <v>75</v>
      </c>
      <c r="K25" s="505"/>
      <c r="L25" s="204">
        <f>IF('Ed. Literária'!V24="","",'Ed. Literária'!V24)</f>
        <v>40</v>
      </c>
      <c r="M25" s="519">
        <f>IF('Ed. Literária'!AK24="","",'Ed. Literária'!AK24)</f>
        <v>59</v>
      </c>
      <c r="N25" s="520"/>
      <c r="O25" s="204">
        <f>IF(Gramática!O24="","",Gramática!O24)</f>
        <v>52</v>
      </c>
      <c r="P25" s="519">
        <f>IF(Gramática!W24="","",Gramática!W24)</f>
        <v>90</v>
      </c>
      <c r="Q25" s="520"/>
      <c r="R25" s="311">
        <f>IF(Escrita!P24="","",Escrita!P24)</f>
        <v>85</v>
      </c>
      <c r="S25" s="312"/>
      <c r="T25" s="313">
        <f>IF(Escrita!Y24="","",Escrita!Y24)</f>
        <v>67.5</v>
      </c>
      <c r="U25" s="514"/>
      <c r="V25" s="514"/>
      <c r="W25" s="314"/>
      <c r="X25" s="522">
        <f>IF(AREAS((C25,F25,I25,L25,O25,R25))-COUNT(C25,F25,I25,L25,O25,R25)=0,ROUND(SUM($C25*$E$7,$F25*$H$7,$I25*$K$7,$L25*$N$6,$O25*$Q$6,$R25*$V$6),0),"")</f>
        <v>69</v>
      </c>
      <c r="Y25" s="83">
        <f t="shared" si="0"/>
        <v>3</v>
      </c>
      <c r="Z25" s="232">
        <v>4</v>
      </c>
      <c r="AA25" s="219">
        <v>4</v>
      </c>
      <c r="AB25" s="239">
        <f>IF(AREAS((D25,G25,J25,M25,P25,T25))-COUNT(D25,G25,J25,M25,P25,T25)=0,ROUND(SUM($D25*$E$7,$G25*$H$7,$J25*$K$7,$M25*$N$6,$P25*$Q$6,$T25*$V$6),0),"")</f>
        <v>73</v>
      </c>
      <c r="AC25" s="224">
        <f t="shared" si="2"/>
        <v>4</v>
      </c>
      <c r="AD25" s="270"/>
      <c r="AE25" s="235">
        <f t="shared" si="3"/>
        <v>4</v>
      </c>
      <c r="AF25" s="111"/>
    </row>
    <row r="26" spans="1:40" ht="13.5" customHeight="1" thickBot="1" x14ac:dyDescent="0.3">
      <c r="A26" s="118">
        <v>18</v>
      </c>
      <c r="B26" s="187" t="s">
        <v>99</v>
      </c>
      <c r="C26" s="195">
        <f>IF(Leitura!R25="","",Leitura!R25)</f>
        <v>60</v>
      </c>
      <c r="D26" s="502">
        <f>IF(Leitura!AC25="","",Leitura!AC25)</f>
        <v>0</v>
      </c>
      <c r="E26" s="503"/>
      <c r="F26" s="203">
        <f>IF(Oralidade!N25="","",Oralidade!N25)</f>
        <v>80</v>
      </c>
      <c r="G26" s="502">
        <f>IF(Oralidade!V25="","",Oralidade!V25)</f>
        <v>56</v>
      </c>
      <c r="H26" s="503"/>
      <c r="I26" s="203">
        <f>IF(Oralidade!O25="","",Oralidade!O25)</f>
        <v>55</v>
      </c>
      <c r="J26" s="502">
        <f>IF(Oralidade!W25="","",Oralidade!W25)</f>
        <v>55</v>
      </c>
      <c r="K26" s="503"/>
      <c r="L26" s="203">
        <f>IF('Ed. Literária'!V25="","",'Ed. Literária'!V25)</f>
        <v>40</v>
      </c>
      <c r="M26" s="317">
        <f>IF('Ed. Literária'!AK25="","",'Ed. Literária'!AK25)</f>
        <v>42</v>
      </c>
      <c r="N26" s="320"/>
      <c r="O26" s="203">
        <f>IF(Gramática!O25="","",Gramática!O25)</f>
        <v>60</v>
      </c>
      <c r="P26" s="317">
        <f>IF(Gramática!W25="","",Gramática!W25)</f>
        <v>30</v>
      </c>
      <c r="Q26" s="320"/>
      <c r="R26" s="307">
        <f>IF(Escrita!P25="","",Escrita!P25)</f>
        <v>70</v>
      </c>
      <c r="S26" s="308"/>
      <c r="T26" s="309">
        <f>IF(Escrita!Y25="","",Escrita!Y25)</f>
        <v>65</v>
      </c>
      <c r="U26" s="513"/>
      <c r="V26" s="513"/>
      <c r="W26" s="310"/>
      <c r="X26" s="523">
        <f>IF(AREAS((C26,F26,I26,L26,O26,R26))-COUNT(C26,F26,I26,L26,O26,R26)=0,ROUND(SUM($C26*$E$7,$F26*$H$7,$I26*$K$7,$L26*$N$6,$O26*$Q$6,$R26*$V$6),0),"")</f>
        <v>59</v>
      </c>
      <c r="Y26" s="82">
        <f t="shared" si="0"/>
        <v>3</v>
      </c>
      <c r="Z26" s="231">
        <v>3</v>
      </c>
      <c r="AA26" s="217">
        <f t="shared" si="1"/>
        <v>3</v>
      </c>
      <c r="AB26" s="276">
        <f>IF(AREAS((D26,G26,J26,M26,P26,T26))-COUNT(D26,G26,J26,M26,P26,T26)=0,ROUND(SUM($D26*$E$7,$G26*$H$7,$J26*$K$7,$M26*$N$6,$P26*$Q$6,$T26*$V$6),0),"")</f>
        <v>42</v>
      </c>
      <c r="AC26" s="224">
        <f t="shared" si="2"/>
        <v>2</v>
      </c>
      <c r="AD26" s="269"/>
      <c r="AE26" s="234">
        <f t="shared" si="3"/>
        <v>2</v>
      </c>
      <c r="AF26" s="111"/>
    </row>
    <row r="27" spans="1:40" ht="13.5" customHeight="1" thickBot="1" x14ac:dyDescent="0.3">
      <c r="A27" s="119">
        <v>19</v>
      </c>
      <c r="B27" s="188" t="s">
        <v>100</v>
      </c>
      <c r="C27" s="196">
        <f>IF(Leitura!R26="","",Leitura!R26)</f>
        <v>30</v>
      </c>
      <c r="D27" s="504">
        <f>IF(Leitura!AC26="","",Leitura!AC26)</f>
        <v>0</v>
      </c>
      <c r="E27" s="505"/>
      <c r="F27" s="204">
        <f>IF(Oralidade!N26="","",Oralidade!N26)</f>
        <v>90</v>
      </c>
      <c r="G27" s="504">
        <f>IF(Oralidade!V26="","",Oralidade!V26)</f>
        <v>28</v>
      </c>
      <c r="H27" s="505"/>
      <c r="I27" s="204">
        <f>IF(Oralidade!O26="","",Oralidade!O26)</f>
        <v>40</v>
      </c>
      <c r="J27" s="504">
        <f>IF(Oralidade!W26="","",Oralidade!W26)</f>
        <v>40</v>
      </c>
      <c r="K27" s="505"/>
      <c r="L27" s="204">
        <f>IF('Ed. Literária'!V26="","",'Ed. Literária'!V26)</f>
        <v>50</v>
      </c>
      <c r="M27" s="519">
        <f>IF('Ed. Literária'!AK26="","",'Ed. Literária'!AK26)</f>
        <v>35</v>
      </c>
      <c r="N27" s="520"/>
      <c r="O27" s="204">
        <f>IF(Gramática!O26="","",Gramática!O26)</f>
        <v>28</v>
      </c>
      <c r="P27" s="519">
        <f>IF(Gramática!W26="","",Gramática!W26)</f>
        <v>20</v>
      </c>
      <c r="Q27" s="520"/>
      <c r="R27" s="311">
        <f>IF(Escrita!P26="","",Escrita!P26)</f>
        <v>70</v>
      </c>
      <c r="S27" s="312"/>
      <c r="T27" s="313">
        <f>IF(Escrita!Y26="","",Escrita!Y26)</f>
        <v>0.5</v>
      </c>
      <c r="U27" s="514"/>
      <c r="V27" s="514"/>
      <c r="W27" s="314"/>
      <c r="X27" s="522">
        <f>IF(AREAS((C27,F27,I27,L27,O27,R27))-COUNT(C27,F27,I27,L27,O27,R27)=0,ROUND(SUM($C27*$E$7,$F27*$H$7,$I27*$K$7,$L27*$N$6,$O27*$Q$6,$R27*$V$6),0),"")</f>
        <v>52</v>
      </c>
      <c r="Y27" s="83">
        <f t="shared" si="0"/>
        <v>3</v>
      </c>
      <c r="Z27" s="232"/>
      <c r="AA27" s="220">
        <f t="shared" si="1"/>
        <v>3</v>
      </c>
      <c r="AB27" s="239">
        <f>IF(AREAS((D27,G27,J27,M27,P27,T27))-COUNT(D27,G27,J27,M27,P27,T27)=0,ROUND(SUM($D27*$E$7,$G27*$H$7,$J27*$K$7,$M27*$N$6,$P27*$Q$6,$T27*$V$6),0),"")</f>
        <v>19</v>
      </c>
      <c r="AC27" s="224">
        <f t="shared" si="2"/>
        <v>1</v>
      </c>
      <c r="AD27" s="270"/>
      <c r="AE27" s="235">
        <v>2</v>
      </c>
      <c r="AF27" s="111"/>
    </row>
    <row r="28" spans="1:40" ht="13.5" customHeight="1" thickBot="1" x14ac:dyDescent="0.3">
      <c r="A28" s="118">
        <v>20</v>
      </c>
      <c r="B28" s="187" t="s">
        <v>101</v>
      </c>
      <c r="C28" s="195">
        <f>IF(Leitura!R27="","",Leitura!R27)</f>
        <v>60</v>
      </c>
      <c r="D28" s="502">
        <f>IF(Leitura!AC27="","",Leitura!AC27)</f>
        <v>40</v>
      </c>
      <c r="E28" s="503"/>
      <c r="F28" s="203">
        <f>IF(Oralidade!N27="","",Oralidade!N27)</f>
        <v>90</v>
      </c>
      <c r="G28" s="502">
        <f>IF(Oralidade!V27="","",Oralidade!V27)</f>
        <v>86</v>
      </c>
      <c r="H28" s="503"/>
      <c r="I28" s="203">
        <f>IF(Oralidade!O27="","",Oralidade!O27)</f>
        <v>70</v>
      </c>
      <c r="J28" s="502">
        <f>IF(Oralidade!W27="","",Oralidade!W27)</f>
        <v>80</v>
      </c>
      <c r="K28" s="503"/>
      <c r="L28" s="203">
        <f>IF('Ed. Literária'!V27="","",'Ed. Literária'!V27)</f>
        <v>90</v>
      </c>
      <c r="M28" s="317">
        <f>IF('Ed. Literária'!AK27="","",'Ed. Literária'!AK27)</f>
        <v>90</v>
      </c>
      <c r="N28" s="320"/>
      <c r="O28" s="203">
        <f>IF(Gramática!O27="","",Gramática!O27)</f>
        <v>92</v>
      </c>
      <c r="P28" s="317">
        <f>IF(Gramática!W27="","",Gramática!W27)</f>
        <v>70</v>
      </c>
      <c r="Q28" s="320"/>
      <c r="R28" s="307">
        <f>IF(Escrita!P27="","",Escrita!P27)</f>
        <v>92</v>
      </c>
      <c r="S28" s="308"/>
      <c r="T28" s="309">
        <f>IF(Escrita!Y27="","",Escrita!Y27)</f>
        <v>70</v>
      </c>
      <c r="U28" s="513"/>
      <c r="V28" s="513"/>
      <c r="W28" s="310"/>
      <c r="X28" s="523">
        <f>IF(AREAS((C28,F28,I28,L28,O28,R28))-COUNT(C28,F28,I28,L28,O28,R28)=0,ROUND(SUM($C28*$E$7,$F28*$H$7,$I28*$K$7,$L28*$N$6,$O28*$Q$6,$R28*$V$6),0),"")</f>
        <v>84</v>
      </c>
      <c r="Y28" s="82">
        <f t="shared" si="0"/>
        <v>4</v>
      </c>
      <c r="Z28" s="231">
        <v>4</v>
      </c>
      <c r="AA28" s="218">
        <f t="shared" si="1"/>
        <v>4</v>
      </c>
      <c r="AB28" s="276">
        <f>IF(AREAS((D28,G28,J28,M28,P28,T28))-COUNT(D28,G28,J28,M28,P28,T28)=0,ROUND(SUM($D28*$E$7,$G28*$H$7,$J28*$K$7,$M28*$N$6,$P28*$Q$6,$T28*$V$6),0),"")</f>
        <v>73</v>
      </c>
      <c r="AC28" s="224">
        <f t="shared" si="2"/>
        <v>4</v>
      </c>
      <c r="AD28" s="269"/>
      <c r="AE28" s="234">
        <f t="shared" si="3"/>
        <v>4</v>
      </c>
      <c r="AF28" s="111"/>
    </row>
    <row r="29" spans="1:40" ht="13.5" customHeight="1" x14ac:dyDescent="0.25">
      <c r="A29" s="119">
        <v>21</v>
      </c>
      <c r="B29" s="188" t="s">
        <v>102</v>
      </c>
      <c r="C29" s="196">
        <f>IF(Leitura!R28="","",Leitura!R28)</f>
        <v>100</v>
      </c>
      <c r="D29" s="504">
        <f>IF(Leitura!AC28="","",Leitura!AC28)</f>
        <v>100</v>
      </c>
      <c r="E29" s="505"/>
      <c r="F29" s="204">
        <f>IF(Oralidade!N28="","",Oralidade!N28)</f>
        <v>90</v>
      </c>
      <c r="G29" s="504">
        <f>IF(Oralidade!V28="","",Oralidade!V28)</f>
        <v>86</v>
      </c>
      <c r="H29" s="505"/>
      <c r="I29" s="204">
        <f>IF(Oralidade!O28="","",Oralidade!O28)</f>
        <v>90</v>
      </c>
      <c r="J29" s="504">
        <f>IF(Oralidade!W28="","",Oralidade!W28)</f>
        <v>90</v>
      </c>
      <c r="K29" s="505"/>
      <c r="L29" s="204">
        <f>IF('Ed. Literária'!V28="","",'Ed. Literária'!V28)</f>
        <v>90</v>
      </c>
      <c r="M29" s="519">
        <f>IF('Ed. Literária'!AK28="","",'Ed. Literária'!AK28)</f>
        <v>100</v>
      </c>
      <c r="N29" s="520"/>
      <c r="O29" s="204">
        <f>IF(Gramática!O28="","",Gramática!O28)</f>
        <v>84</v>
      </c>
      <c r="P29" s="519">
        <f>IF(Gramática!W28="","",Gramática!W28)</f>
        <v>80</v>
      </c>
      <c r="Q29" s="520"/>
      <c r="R29" s="311">
        <f>IF(Escrita!P28="","",Escrita!P28)</f>
        <v>92.5</v>
      </c>
      <c r="S29" s="312"/>
      <c r="T29" s="313">
        <f>IF(Escrita!Y28="","",Escrita!Y28)</f>
        <v>67.5</v>
      </c>
      <c r="U29" s="514"/>
      <c r="V29" s="514"/>
      <c r="W29" s="314"/>
      <c r="X29" s="522">
        <f>IF(AREAS((C29,F29,I29,L29,O29,R29))-COUNT(C29,F29,I29,L29,O29,R29)=0,ROUND(SUM($C29*$E$7,$F29*$H$7,$I29*$K$7,$L29*$N$6,$O29*$Q$6,$R29*$V$6),0),"")</f>
        <v>91</v>
      </c>
      <c r="Y29" s="83">
        <f t="shared" si="0"/>
        <v>5</v>
      </c>
      <c r="Z29" s="232">
        <v>5</v>
      </c>
      <c r="AA29" s="220">
        <f t="shared" si="1"/>
        <v>5</v>
      </c>
      <c r="AB29" s="239">
        <f>IF(AREAS((D29,G29,J29,M29,P29,T29))-COUNT(D29,G29,J29,M29,P29,T29)=0,ROUND(SUM($D29*$E$7,$G29*$H$7,$J29*$K$7,$M29*$N$6,$P29*$Q$6,$T29*$V$6),0),"")</f>
        <v>86</v>
      </c>
      <c r="AC29" s="224">
        <f t="shared" si="2"/>
        <v>4</v>
      </c>
      <c r="AD29" s="270"/>
      <c r="AE29" s="235">
        <f t="shared" si="3"/>
        <v>4</v>
      </c>
      <c r="AF29" s="111"/>
    </row>
    <row r="30" spans="1:40" ht="13.5" customHeight="1" x14ac:dyDescent="0.25">
      <c r="A30" s="118"/>
      <c r="B30" s="278" t="s">
        <v>119</v>
      </c>
      <c r="C30" s="195">
        <f>IF(Leitura!R29="","",Leitura!R29)</f>
        <v>0</v>
      </c>
      <c r="D30" s="502">
        <f>IF(Leitura!AC29="","",Leitura!AC29)</f>
        <v>0</v>
      </c>
      <c r="E30" s="503"/>
      <c r="F30" s="203" t="str">
        <f>IF(Oralidade!N29="","",Oralidade!N29)</f>
        <v/>
      </c>
      <c r="G30" s="502" t="str">
        <f>IF(Oralidade!V29="","",Oralidade!V29)</f>
        <v/>
      </c>
      <c r="H30" s="503"/>
      <c r="I30" s="203" t="str">
        <f>IF(Oralidade!O29="","",Oralidade!O29)</f>
        <v/>
      </c>
      <c r="J30" s="502" t="str">
        <f>IF(Oralidade!W29="","",Oralidade!W29)</f>
        <v/>
      </c>
      <c r="K30" s="503"/>
      <c r="L30" s="203" t="str">
        <f>IF('Ed. Literária'!V29="","",'Ed. Literária'!V29)</f>
        <v/>
      </c>
      <c r="M30" s="317">
        <f>IF('Ed. Literária'!AK29="","",'Ed. Literária'!AK29)</f>
        <v>0</v>
      </c>
      <c r="N30" s="320"/>
      <c r="O30" s="203" t="str">
        <f>IF(Gramática!O29="","",Gramática!O29)</f>
        <v/>
      </c>
      <c r="P30" s="317" t="str">
        <f>IF(Gramática!W29="","",Gramática!W29)</f>
        <v/>
      </c>
      <c r="Q30" s="320"/>
      <c r="R30" s="307">
        <f>IF(Escrita!P29="","",Escrita!P29)</f>
        <v>0</v>
      </c>
      <c r="S30" s="308"/>
      <c r="T30" s="309">
        <f>IF(Escrita!Y29="","",Escrita!Y29)</f>
        <v>0</v>
      </c>
      <c r="U30" s="513"/>
      <c r="V30" s="513"/>
      <c r="W30" s="310"/>
      <c r="X30" s="524" t="str">
        <f>IF(AREAS((C30,F30,I30,L30,O30,R30))-COUNT(C30,F30,I30,L30,O30,R30)=0,ROUND(SUM($C30*$E$7,$F30*$H$7,$I30*$K$7,$L30*$N$6,$O30*$Q$6,$R30*$V$6),0),"")</f>
        <v/>
      </c>
      <c r="Y30" s="82" t="str">
        <f t="shared" si="0"/>
        <v/>
      </c>
      <c r="Z30" s="231"/>
      <c r="AA30" s="215" t="str">
        <f t="shared" si="1"/>
        <v/>
      </c>
      <c r="AB30" s="276" t="str">
        <f>IF(AREAS((D30,G30,J30,M30,P30,T30))-COUNT(D30,G30,J30,M30,P30,T30)=0,ROUND(SUM($D30*$E$7,$G30*$H$7,$J30*$K$7,$M30*$N$6,$P30*$Q$6,$T30*$V$6),0),"")</f>
        <v/>
      </c>
      <c r="AC30" s="225" t="str">
        <f t="shared" si="2"/>
        <v/>
      </c>
      <c r="AD30" s="269"/>
      <c r="AE30" s="234" t="str">
        <f t="shared" si="3"/>
        <v/>
      </c>
    </row>
    <row r="31" spans="1:40" ht="13.5" customHeight="1" x14ac:dyDescent="0.25">
      <c r="A31" s="119"/>
      <c r="B31" s="188"/>
      <c r="C31" s="196" t="str">
        <f>IF(Leitura!R30="","",Leitura!R30)</f>
        <v/>
      </c>
      <c r="D31" s="504" t="str">
        <f>IF(Leitura!AC30="","",Leitura!AC30)</f>
        <v/>
      </c>
      <c r="E31" s="505"/>
      <c r="F31" s="204" t="str">
        <f>IF(Oralidade!N30="","",Oralidade!N30)</f>
        <v/>
      </c>
      <c r="G31" s="504" t="str">
        <f>IF(Oralidade!V30="","",Oralidade!V30)</f>
        <v/>
      </c>
      <c r="H31" s="505"/>
      <c r="I31" s="204" t="str">
        <f>IF(Oralidade!O30="","",Oralidade!O30)</f>
        <v/>
      </c>
      <c r="J31" s="504" t="str">
        <f>IF(Oralidade!W30="","",Oralidade!W30)</f>
        <v/>
      </c>
      <c r="K31" s="505"/>
      <c r="L31" s="204" t="str">
        <f>IF('Ed. Literária'!V30="","",'Ed. Literária'!V30)</f>
        <v/>
      </c>
      <c r="M31" s="519" t="str">
        <f>IF('Ed. Literária'!AK30="","",'Ed. Literária'!AK30)</f>
        <v/>
      </c>
      <c r="N31" s="520"/>
      <c r="O31" s="204" t="str">
        <f>IF(Gramática!O30="","",Gramática!O30)</f>
        <v/>
      </c>
      <c r="P31" s="519" t="str">
        <f>IF(Gramática!W30="","",Gramática!W30)</f>
        <v/>
      </c>
      <c r="Q31" s="520"/>
      <c r="R31" s="311" t="str">
        <f>IF(Escrita!P30="","",Escrita!P30)</f>
        <v/>
      </c>
      <c r="S31" s="312"/>
      <c r="T31" s="313" t="str">
        <f>IF(Escrita!Y30="","",Escrita!Y30)</f>
        <v/>
      </c>
      <c r="U31" s="514"/>
      <c r="V31" s="514"/>
      <c r="W31" s="314"/>
      <c r="X31" s="522" t="str">
        <f>IF(AREAS((C31,F31,I31,L31,O31,R31))-COUNT(C31,F31,I31,L31,O31,R31)=0,ROUND(SUM($C31*$E$7,$F31*$H$7,$I31*$K$7,$L31*$N$6,$O31*$Q$6,$R31*$V$6),0),"")</f>
        <v/>
      </c>
      <c r="Y31" s="83" t="str">
        <f t="shared" si="0"/>
        <v/>
      </c>
      <c r="Z31" s="232"/>
      <c r="AA31" s="220" t="str">
        <f t="shared" si="1"/>
        <v/>
      </c>
      <c r="AB31" s="239" t="str">
        <f>IF(AREAS((D31,G31,J31,M31,P31,T31))-COUNT(D31,G31,J31,M31,P31,T31)=0,ROUND(SUM($D31*$E$7,$G31*$H$7,$J31*$K$7,$M31*$N$6,$P31*$Q$6,$T31*$V$6),0),"")</f>
        <v/>
      </c>
      <c r="AC31" s="226" t="str">
        <f t="shared" si="2"/>
        <v/>
      </c>
      <c r="AD31" s="270"/>
      <c r="AE31" s="235" t="str">
        <f t="shared" si="3"/>
        <v/>
      </c>
      <c r="AK31" s="116"/>
      <c r="AL31" s="116"/>
      <c r="AM31" s="116"/>
      <c r="AN31" s="116"/>
    </row>
    <row r="32" spans="1:40" ht="13.5" customHeight="1" x14ac:dyDescent="0.25">
      <c r="A32" s="118"/>
      <c r="B32" s="187"/>
      <c r="C32" s="195" t="str">
        <f>IF(Leitura!R31="","",Leitura!R31)</f>
        <v/>
      </c>
      <c r="D32" s="502" t="str">
        <f>IF(Leitura!AC31="","",Leitura!AC31)</f>
        <v/>
      </c>
      <c r="E32" s="503"/>
      <c r="F32" s="203" t="str">
        <f>IF(Oralidade!N31="","",Oralidade!N31)</f>
        <v/>
      </c>
      <c r="G32" s="502" t="str">
        <f>IF(Oralidade!V31="","",Oralidade!V31)</f>
        <v/>
      </c>
      <c r="H32" s="503"/>
      <c r="I32" s="203" t="str">
        <f>IF(Oralidade!O31="","",Oralidade!O31)</f>
        <v/>
      </c>
      <c r="J32" s="502" t="str">
        <f>IF(Oralidade!W31="","",Oralidade!W31)</f>
        <v/>
      </c>
      <c r="K32" s="503"/>
      <c r="L32" s="203" t="str">
        <f>IF('Ed. Literária'!V31="","",'Ed. Literária'!V31)</f>
        <v/>
      </c>
      <c r="M32" s="317" t="str">
        <f>IF('Ed. Literária'!AK31="","",'Ed. Literária'!AK31)</f>
        <v/>
      </c>
      <c r="N32" s="320"/>
      <c r="O32" s="203" t="str">
        <f>IF(Gramática!O31="","",Gramática!O31)</f>
        <v/>
      </c>
      <c r="P32" s="317" t="str">
        <f>IF(Gramática!W31="","",Gramática!W31)</f>
        <v/>
      </c>
      <c r="Q32" s="320"/>
      <c r="R32" s="307" t="str">
        <f>IF(Escrita!P31="","",Escrita!P31)</f>
        <v/>
      </c>
      <c r="S32" s="308"/>
      <c r="T32" s="309" t="str">
        <f>IF(Escrita!Y31="","",Escrita!Y31)</f>
        <v/>
      </c>
      <c r="U32" s="513"/>
      <c r="V32" s="513"/>
      <c r="W32" s="310"/>
      <c r="X32" s="523" t="str">
        <f>IF(AREAS((C32,F32,I32,L32,O32,R32))-COUNT(C32,F32,I32,L32,O32,R32)=0,ROUND(SUM($C32*$E$7,$F32*$H$7,$I32*$K$7,$L32*$N$6,$O32*$Q$6,$R32*$V$6),0),"")</f>
        <v/>
      </c>
      <c r="Y32" s="82" t="str">
        <f t="shared" si="0"/>
        <v/>
      </c>
      <c r="Z32" s="231"/>
      <c r="AA32" s="215" t="str">
        <f t="shared" si="1"/>
        <v/>
      </c>
      <c r="AB32" s="276" t="str">
        <f>IF(AREAS((D32,G32,J32,M32,P32,T32))-COUNT(D32,G32,J32,M32,P32,T32)=0,ROUND(SUM($D32*$E$7,$G32*$H$7,$J32*$K$7,$M32*$N$6,$P32*$Q$6,$T32*$V$6),0),"")</f>
        <v/>
      </c>
      <c r="AC32" s="225" t="str">
        <f t="shared" si="2"/>
        <v/>
      </c>
      <c r="AD32" s="269"/>
      <c r="AE32" s="234" t="str">
        <f t="shared" si="3"/>
        <v/>
      </c>
    </row>
    <row r="33" spans="1:31" ht="13.5" customHeight="1" x14ac:dyDescent="0.25">
      <c r="A33" s="119"/>
      <c r="B33" s="188"/>
      <c r="C33" s="196" t="str">
        <f>IF(Leitura!R32="","",Leitura!R32)</f>
        <v/>
      </c>
      <c r="D33" s="504" t="str">
        <f>IF(Leitura!AC32="","",Leitura!AC32)</f>
        <v/>
      </c>
      <c r="E33" s="505"/>
      <c r="F33" s="204" t="str">
        <f>IF(Oralidade!N32="","",Oralidade!N32)</f>
        <v/>
      </c>
      <c r="G33" s="504" t="str">
        <f>IF(Oralidade!V32="","",Oralidade!V32)</f>
        <v/>
      </c>
      <c r="H33" s="505"/>
      <c r="I33" s="204" t="str">
        <f>IF(Oralidade!O32="","",Oralidade!O32)</f>
        <v/>
      </c>
      <c r="J33" s="504" t="str">
        <f>IF(Oralidade!W32="","",Oralidade!W32)</f>
        <v/>
      </c>
      <c r="K33" s="505"/>
      <c r="L33" s="204" t="str">
        <f>IF('Ed. Literária'!V32="","",'Ed. Literária'!V32)</f>
        <v/>
      </c>
      <c r="M33" s="519" t="str">
        <f>IF('Ed. Literária'!AK32="","",'Ed. Literária'!AK32)</f>
        <v/>
      </c>
      <c r="N33" s="520"/>
      <c r="O33" s="204" t="str">
        <f>IF(Gramática!O32="","",Gramática!O32)</f>
        <v/>
      </c>
      <c r="P33" s="519" t="str">
        <f>IF(Gramática!W32="","",Gramática!W32)</f>
        <v/>
      </c>
      <c r="Q33" s="520"/>
      <c r="R33" s="311" t="str">
        <f>IF(Escrita!P32="","",Escrita!P32)</f>
        <v/>
      </c>
      <c r="S33" s="312"/>
      <c r="T33" s="313" t="str">
        <f>IF(Escrita!Y32="","",Escrita!Y32)</f>
        <v/>
      </c>
      <c r="U33" s="514"/>
      <c r="V33" s="514"/>
      <c r="W33" s="314"/>
      <c r="X33" s="522" t="str">
        <f>IF(AREAS((C33,F33,I33,L33,O33,R33))-COUNT(C33,F33,I33,L33,O33,R33)=0,ROUND(SUM($C33*$E$7,$F33*$H$7,$I33*$K$7,$L33*$N$6,$O33*$Q$6,$R33*$V$6),0),"")</f>
        <v/>
      </c>
      <c r="Y33" s="83" t="str">
        <f t="shared" si="0"/>
        <v/>
      </c>
      <c r="Z33" s="232"/>
      <c r="AA33" s="216" t="str">
        <f t="shared" si="1"/>
        <v/>
      </c>
      <c r="AB33" s="239" t="str">
        <f>IF(AREAS((D33,G33,J33,M33,P33,T33))-COUNT(D33,G33,J33,M33,P33,T33)=0,ROUND(SUM($D33*$E$7,$G33*$H$7,$J33*$K$7,$M33*$N$6,$P33*$Q$6,$T33*$V$6),0),"")</f>
        <v/>
      </c>
      <c r="AC33" s="226" t="str">
        <f t="shared" si="2"/>
        <v/>
      </c>
      <c r="AD33" s="270"/>
      <c r="AE33" s="235" t="str">
        <f t="shared" si="3"/>
        <v/>
      </c>
    </row>
    <row r="34" spans="1:31" ht="13.5" customHeight="1" x14ac:dyDescent="0.25">
      <c r="A34" s="118"/>
      <c r="B34" s="187"/>
      <c r="C34" s="195" t="str">
        <f>IF(Leitura!R33="","",Leitura!R33)</f>
        <v/>
      </c>
      <c r="D34" s="502" t="str">
        <f>IF(Leitura!AC33="","",Leitura!AC33)</f>
        <v/>
      </c>
      <c r="E34" s="503"/>
      <c r="F34" s="203" t="str">
        <f>IF(Oralidade!N33="","",Oralidade!N33)</f>
        <v/>
      </c>
      <c r="G34" s="502" t="str">
        <f>IF(Oralidade!V33="","",Oralidade!V33)</f>
        <v/>
      </c>
      <c r="H34" s="503"/>
      <c r="I34" s="203" t="str">
        <f>IF(Oralidade!O33="","",Oralidade!O33)</f>
        <v/>
      </c>
      <c r="J34" s="502" t="str">
        <f>IF(Oralidade!W33="","",Oralidade!W33)</f>
        <v/>
      </c>
      <c r="K34" s="503"/>
      <c r="L34" s="203" t="str">
        <f>IF('Ed. Literária'!V33="","",'Ed. Literária'!V33)</f>
        <v/>
      </c>
      <c r="M34" s="317" t="str">
        <f>IF('Ed. Literária'!AK33="","",'Ed. Literária'!AK33)</f>
        <v/>
      </c>
      <c r="N34" s="320"/>
      <c r="O34" s="203" t="str">
        <f>IF(Gramática!O33="","",Gramática!O33)</f>
        <v/>
      </c>
      <c r="P34" s="317" t="str">
        <f>IF(Gramática!W33="","",Gramática!W33)</f>
        <v/>
      </c>
      <c r="Q34" s="320"/>
      <c r="R34" s="307" t="str">
        <f>IF(Escrita!P33="","",Escrita!P33)</f>
        <v/>
      </c>
      <c r="S34" s="308"/>
      <c r="T34" s="309" t="str">
        <f>IF(Escrita!Y33="","",Escrita!Y33)</f>
        <v/>
      </c>
      <c r="U34" s="513"/>
      <c r="V34" s="513"/>
      <c r="W34" s="310"/>
      <c r="X34" s="523" t="str">
        <f>IF(AREAS((C34,F34,I34,L34,O34,R34))-COUNT(C34,F34,I34,L34,O34,R34)=0,ROUND(SUM($C34*$E$7,$F34*$H$7,$I34*$K$7,$L34*$N$6,$O34*$Q$6,$R34*$V$6),0),"")</f>
        <v/>
      </c>
      <c r="Y34" s="82" t="str">
        <f t="shared" si="0"/>
        <v/>
      </c>
      <c r="Z34" s="231"/>
      <c r="AA34" s="218" t="str">
        <f t="shared" si="1"/>
        <v/>
      </c>
      <c r="AB34" s="276" t="str">
        <f>IF(AREAS((D34,G34,J34,M34,P34,T34))-COUNT(D34,G34,J34,M34,P34,T34)=0,ROUND(SUM($D34*$E$7,$G34*$H$7,$J34*$K$7,$M34*$N$6,$P34*$Q$6,$T34*$V$6),0),"")</f>
        <v/>
      </c>
      <c r="AC34" s="225" t="str">
        <f t="shared" si="2"/>
        <v/>
      </c>
      <c r="AD34" s="269"/>
      <c r="AE34" s="234" t="str">
        <f t="shared" si="3"/>
        <v/>
      </c>
    </row>
    <row r="35" spans="1:31" ht="13.5" customHeight="1" x14ac:dyDescent="0.25">
      <c r="A35" s="122"/>
      <c r="B35" s="188"/>
      <c r="C35" s="197" t="str">
        <f>IF(Leitura!R34="","",Leitura!R34)</f>
        <v/>
      </c>
      <c r="D35" s="504" t="str">
        <f>IF(Leitura!AC34="","",Leitura!AC34)</f>
        <v/>
      </c>
      <c r="E35" s="505"/>
      <c r="F35" s="205" t="str">
        <f>IF(Oralidade!N34="","",Oralidade!N34)</f>
        <v/>
      </c>
      <c r="G35" s="504" t="str">
        <f>IF(Oralidade!V34="","",Oralidade!V34)</f>
        <v/>
      </c>
      <c r="H35" s="505"/>
      <c r="I35" s="205" t="str">
        <f>IF(Oralidade!O34="","",Oralidade!O34)</f>
        <v/>
      </c>
      <c r="J35" s="504" t="str">
        <f>IF(Oralidade!W34="","",Oralidade!W34)</f>
        <v/>
      </c>
      <c r="K35" s="505"/>
      <c r="L35" s="205" t="str">
        <f>IF('Ed. Literária'!V34="","",'Ed. Literária'!V34)</f>
        <v/>
      </c>
      <c r="M35" s="519" t="str">
        <f>IF('Ed. Literária'!AK34="","",'Ed. Literária'!AK34)</f>
        <v/>
      </c>
      <c r="N35" s="520"/>
      <c r="O35" s="205" t="str">
        <f>IF(Gramática!O34="","",Gramática!O34)</f>
        <v/>
      </c>
      <c r="P35" s="519" t="str">
        <f>IF(Gramática!W34="","",Gramática!W34)</f>
        <v/>
      </c>
      <c r="Q35" s="520"/>
      <c r="R35" s="315" t="str">
        <f>IF(Escrita!P34="","",Escrita!P34)</f>
        <v/>
      </c>
      <c r="S35" s="316"/>
      <c r="T35" s="491" t="str">
        <f>IF(Escrita!Y34="","",Escrita!Y34)</f>
        <v/>
      </c>
      <c r="U35" s="515"/>
      <c r="V35" s="515"/>
      <c r="W35" s="492"/>
      <c r="X35" s="522" t="str">
        <f>IF(AREAS((C35,F35,I35,L35,O35,R35))-COUNT(C35,F35,I35,L35,O35,R35)=0,ROUND(SUM($C35*$E$7,$F35*$H$7,$I35*$K$7,$L35*$N$6,$O35*$Q$6,$R35*$V$6),0),"")</f>
        <v/>
      </c>
      <c r="Y35" s="123" t="str">
        <f t="shared" si="0"/>
        <v/>
      </c>
      <c r="Z35" s="274"/>
      <c r="AA35" s="221"/>
      <c r="AB35" s="239" t="str">
        <f>IF(AREAS((D35,G35,J35,M35,P35,T35))-COUNT(D35,G35,J35,M35,P35,T35)=0,ROUND(SUM($D35*$E$7,$G35*$H$7,$J35*$K$7,$M35*$N$6,$P35*$Q$6,$T35*$V$6),0),"")</f>
        <v/>
      </c>
      <c r="AC35" s="227" t="str">
        <f t="shared" si="2"/>
        <v/>
      </c>
      <c r="AD35" s="271"/>
      <c r="AE35" s="236" t="str">
        <f t="shared" si="3"/>
        <v/>
      </c>
    </row>
    <row r="36" spans="1:31" ht="13.5" customHeight="1" x14ac:dyDescent="0.25">
      <c r="A36" s="126"/>
      <c r="B36" s="189"/>
      <c r="C36" s="195" t="str">
        <f>IF(Leitura!R35="","",Leitura!R35)</f>
        <v/>
      </c>
      <c r="D36" s="502" t="str">
        <f>IF(Leitura!AC35="","",Leitura!AC35)</f>
        <v/>
      </c>
      <c r="E36" s="503"/>
      <c r="F36" s="203" t="str">
        <f>IF(Oralidade!N35="","",Oralidade!N35)</f>
        <v/>
      </c>
      <c r="G36" s="502" t="str">
        <f>IF(Oralidade!V35="","",Oralidade!V35)</f>
        <v/>
      </c>
      <c r="H36" s="503"/>
      <c r="I36" s="203" t="str">
        <f>IF(Oralidade!O35="","",Oralidade!O35)</f>
        <v/>
      </c>
      <c r="J36" s="502" t="str">
        <f>IF(Oralidade!W35="","",Oralidade!W35)</f>
        <v/>
      </c>
      <c r="K36" s="503"/>
      <c r="L36" s="203" t="str">
        <f>IF('Ed. Literária'!V35="","",'Ed. Literária'!V35)</f>
        <v/>
      </c>
      <c r="M36" s="317" t="str">
        <f>IF('Ed. Literária'!AK35="","",'Ed. Literária'!AK35)</f>
        <v/>
      </c>
      <c r="N36" s="320"/>
      <c r="O36" s="203" t="str">
        <f>IF(Gramática!O35="","",Gramática!O35)</f>
        <v/>
      </c>
      <c r="P36" s="317" t="str">
        <f>IF(Gramática!W35="","",Gramática!W35)</f>
        <v/>
      </c>
      <c r="Q36" s="320"/>
      <c r="R36" s="317" t="str">
        <f>IF(Escrita!P35="","",Escrita!P35)</f>
        <v/>
      </c>
      <c r="S36" s="318"/>
      <c r="T36" s="319" t="str">
        <f>IF(Escrita!Y35="","",Escrita!Y35)</f>
        <v/>
      </c>
      <c r="U36" s="516"/>
      <c r="V36" s="516"/>
      <c r="W36" s="320"/>
      <c r="X36" s="523" t="str">
        <f>IF(AREAS((C36,F36,I36,L36,O36,R36))-COUNT(C36,F36,I36,L36,O36,R36)=0,ROUND(SUM($C36*$E$7,$F36*$H$7,$I36*$K$7,$L36*$N$6,$O36*$Q$6,$R36*$V$6),0),"")</f>
        <v/>
      </c>
      <c r="Y36" s="127" t="str">
        <f t="shared" si="0"/>
        <v/>
      </c>
      <c r="Z36" s="275"/>
      <c r="AA36" s="222"/>
      <c r="AB36" s="276" t="str">
        <f>IF(AREAS((D36,G36,J36,M36,P36,T36))-COUNT(D36,G36,J36,M36,P36,T36)=0,ROUND(SUM($D36*$E$7,$G36*$H$7,$J36*$K$7,$M36*$N$6,$P36*$Q$6,$T36*$V$6),0),"")</f>
        <v/>
      </c>
      <c r="AC36" s="228" t="str">
        <f t="shared" si="2"/>
        <v/>
      </c>
      <c r="AD36" s="272"/>
      <c r="AE36" s="237" t="str">
        <f t="shared" si="3"/>
        <v/>
      </c>
    </row>
    <row r="37" spans="1:31" ht="13.5" customHeight="1" x14ac:dyDescent="0.25">
      <c r="A37" s="124"/>
      <c r="B37" s="190"/>
      <c r="C37" s="198" t="str">
        <f>IF(Leitura!R36="","",Leitura!R36)</f>
        <v/>
      </c>
      <c r="D37" s="504" t="str">
        <f>IF(Leitura!AC36="","",Leitura!AC36)</f>
        <v/>
      </c>
      <c r="E37" s="505"/>
      <c r="F37" s="206" t="str">
        <f>IF(Oralidade!N36="","",Oralidade!N36)</f>
        <v/>
      </c>
      <c r="G37" s="504" t="str">
        <f>IF(Oralidade!V36="","",Oralidade!V36)</f>
        <v/>
      </c>
      <c r="H37" s="505"/>
      <c r="I37" s="206" t="str">
        <f>IF(Oralidade!O36="","",Oralidade!O36)</f>
        <v/>
      </c>
      <c r="J37" s="504" t="str">
        <f>IF(Oralidade!W36="","",Oralidade!W36)</f>
        <v/>
      </c>
      <c r="K37" s="505"/>
      <c r="L37" s="206" t="str">
        <f>IF('Ed. Literária'!V36="","",'Ed. Literária'!V36)</f>
        <v/>
      </c>
      <c r="M37" s="519" t="str">
        <f>IF('Ed. Literária'!AK36="","",'Ed. Literária'!AK36)</f>
        <v/>
      </c>
      <c r="N37" s="520"/>
      <c r="O37" s="206" t="str">
        <f>IF(Gramática!O36="","",Gramática!O36)</f>
        <v/>
      </c>
      <c r="P37" s="519" t="str">
        <f>IF(Gramática!W36="","",Gramática!W36)</f>
        <v/>
      </c>
      <c r="Q37" s="520"/>
      <c r="R37" s="321" t="str">
        <f>IF(Escrita!P36="","",Escrita!P36)</f>
        <v/>
      </c>
      <c r="S37" s="322"/>
      <c r="T37" s="489" t="str">
        <f>IF(Escrita!Y36="","",Escrita!Y36)</f>
        <v/>
      </c>
      <c r="U37" s="517"/>
      <c r="V37" s="517"/>
      <c r="W37" s="490"/>
      <c r="X37" s="522" t="str">
        <f>IF(AREAS((C37,F37,I37,L37,O37,R37))-COUNT(C37,F37,I37,L37,O37,R37)=0,ROUND(SUM($C37*$E$7,$F37*$H$7,$I37*$K$7,$L37*$N$6,$O37*$Q$6,$R37*$V$6),0),"")</f>
        <v/>
      </c>
      <c r="Y37" s="125" t="str">
        <f t="shared" si="0"/>
        <v/>
      </c>
      <c r="Z37" s="526"/>
      <c r="AA37" s="223"/>
      <c r="AB37" s="239" t="str">
        <f>IF(AREAS((D37,G37,J37,M37,P37,T37))-COUNT(D37,G37,J37,M37,P37,T37)=0,ROUND(SUM($D37*$E$7,$G37*$H$7,$J37*$K$7,$M37*$N$6,$P37*$Q$6,$T37*$V$6),0),"")</f>
        <v/>
      </c>
      <c r="AC37" s="229" t="str">
        <f t="shared" si="2"/>
        <v/>
      </c>
      <c r="AD37" s="273"/>
      <c r="AE37" s="238" t="str">
        <f t="shared" si="3"/>
        <v/>
      </c>
    </row>
    <row r="38" spans="1:31" ht="13.5" customHeight="1" x14ac:dyDescent="0.25">
      <c r="A38" s="118"/>
      <c r="B38" s="189" t="s">
        <v>56</v>
      </c>
      <c r="C38" s="195" t="str">
        <f>IF(Leitura!R37="","",Leitura!R37)</f>
        <v/>
      </c>
      <c r="D38" s="502" t="str">
        <f>IF(Leitura!AC37="","",Leitura!AC37)</f>
        <v/>
      </c>
      <c r="E38" s="503"/>
      <c r="F38" s="203" t="str">
        <f>IF(Oralidade!N37="","",Oralidade!N37)</f>
        <v/>
      </c>
      <c r="G38" s="502" t="str">
        <f>IF(Oralidade!V37="","",Oralidade!V37)</f>
        <v/>
      </c>
      <c r="H38" s="503"/>
      <c r="I38" s="203" t="str">
        <f>IF(Oralidade!O37="","",Oralidade!O37)</f>
        <v/>
      </c>
      <c r="J38" s="502" t="str">
        <f>IF(Oralidade!W37="","",Oralidade!W37)</f>
        <v/>
      </c>
      <c r="K38" s="503"/>
      <c r="L38" s="203" t="str">
        <f>IF('Ed. Literária'!V37="","",'Ed. Literária'!V37)</f>
        <v/>
      </c>
      <c r="M38" s="317" t="str">
        <f>IF('Ed. Literária'!AK37="","",'Ed. Literária'!AK37)</f>
        <v/>
      </c>
      <c r="N38" s="320"/>
      <c r="O38" s="203" t="str">
        <f>IF(Gramática!O37="","",Gramática!O37)</f>
        <v/>
      </c>
      <c r="P38" s="317" t="str">
        <f>IF(Gramática!W37="","",Gramática!W37)</f>
        <v/>
      </c>
      <c r="Q38" s="320"/>
      <c r="R38" s="307" t="str">
        <f>IF(Escrita!P37="","",Escrita!P37)</f>
        <v/>
      </c>
      <c r="S38" s="308"/>
      <c r="T38" s="309" t="str">
        <f>IF(Escrita!Y37="","",Escrita!Y37)</f>
        <v/>
      </c>
      <c r="U38" s="513"/>
      <c r="V38" s="513"/>
      <c r="W38" s="310"/>
      <c r="X38" s="521" t="str">
        <f>IF(AREAS((C38,F38,I38,L38,O38,R38))-COUNT(C38,F38,I38,L38,O38,R38)=0,ROUND(SUM($C38*$E$7,$F38*$H$7,$I38*$K$7,$L38*$N$6,$O38*$Q$6,$R38*$V$6),0),"")</f>
        <v/>
      </c>
      <c r="Y38" s="82" t="str">
        <f t="shared" si="0"/>
        <v/>
      </c>
      <c r="Z38" s="525"/>
      <c r="AA38" s="222"/>
      <c r="AB38" s="276" t="str">
        <f>IF(AREAS((D38,G38,J38,M38,P38,T38))-COUNT(D38,G38,J38,M38,P38,T38)=0,ROUND(SUM($D38*$E$7,$G38*$H$7,$J38*$K$7,$M38*$N$6,$P38*$Q$6,$T38*$V$6),0),"")</f>
        <v/>
      </c>
      <c r="AC38" s="225" t="str">
        <f t="shared" si="2"/>
        <v/>
      </c>
      <c r="AD38" s="269"/>
      <c r="AE38" s="234" t="str">
        <f t="shared" si="3"/>
        <v/>
      </c>
    </row>
    <row r="39" spans="1:31" ht="15.75" thickBot="1" x14ac:dyDescent="0.3">
      <c r="B39" s="191"/>
    </row>
    <row r="40" spans="1:31" ht="15.75" thickBot="1" x14ac:dyDescent="0.3">
      <c r="B40" s="191"/>
      <c r="G40" s="86"/>
      <c r="P40" s="331" t="s">
        <v>10</v>
      </c>
      <c r="Q40" s="332"/>
      <c r="R40" s="332"/>
      <c r="S40" s="332"/>
      <c r="T40" s="333"/>
      <c r="U40" s="331" t="s">
        <v>11</v>
      </c>
      <c r="V40" s="332"/>
      <c r="W40" s="332"/>
      <c r="X40" s="332"/>
      <c r="Y40" s="333"/>
      <c r="Z40"/>
      <c r="AA40"/>
      <c r="AB40"/>
      <c r="AC40"/>
    </row>
    <row r="41" spans="1:31" x14ac:dyDescent="0.25">
      <c r="B41" s="191"/>
      <c r="G41" s="86"/>
      <c r="P41" s="402" t="s">
        <v>12</v>
      </c>
      <c r="Q41" s="403"/>
      <c r="R41" s="387"/>
      <c r="S41" s="388"/>
      <c r="T41" s="389"/>
      <c r="U41" s="334" t="s">
        <v>12</v>
      </c>
      <c r="V41" s="329"/>
      <c r="W41" s="335"/>
      <c r="X41" s="323"/>
      <c r="Y41" s="324"/>
      <c r="Z41"/>
      <c r="AA41"/>
      <c r="AB41"/>
      <c r="AC41"/>
    </row>
    <row r="42" spans="1:31" x14ac:dyDescent="0.25">
      <c r="P42" s="398" t="s">
        <v>13</v>
      </c>
      <c r="Q42" s="399"/>
      <c r="R42" s="390"/>
      <c r="S42" s="391"/>
      <c r="T42" s="392"/>
      <c r="U42" s="407" t="s">
        <v>13</v>
      </c>
      <c r="V42" s="330"/>
      <c r="W42" s="408"/>
      <c r="X42" s="325"/>
      <c r="Y42" s="326"/>
      <c r="Z42"/>
      <c r="AA42"/>
      <c r="AB42"/>
      <c r="AC42"/>
    </row>
    <row r="43" spans="1:31" x14ac:dyDescent="0.25">
      <c r="P43" s="398" t="s">
        <v>14</v>
      </c>
      <c r="Q43" s="399"/>
      <c r="R43" s="393" t="str">
        <f>CONCATENATE(IF(SUM(R44:T48)&gt;0,FIXED(100*SUM(R46:T48)/SUM(R44:T48)),0), "%")</f>
        <v>80,95%</v>
      </c>
      <c r="S43" s="393"/>
      <c r="T43" s="393"/>
      <c r="U43" s="407" t="s">
        <v>14</v>
      </c>
      <c r="V43" s="330"/>
      <c r="W43" s="408"/>
      <c r="X43" s="327" t="str">
        <f>CONCATENATE(IF(SUM(X44:Y48)&gt;0,FIXED(100*SUM(X46:Y48)/SUM(X44:Y48)),0), "%")</f>
        <v>66,67%</v>
      </c>
      <c r="Y43" s="328"/>
      <c r="Z43"/>
      <c r="AA43"/>
      <c r="AB43"/>
      <c r="AC43"/>
    </row>
    <row r="44" spans="1:31" x14ac:dyDescent="0.25">
      <c r="P44" s="398" t="s">
        <v>63</v>
      </c>
      <c r="Q44" s="399"/>
      <c r="R44" s="394">
        <f>COUNTIF(AA9:AA38,"1")</f>
        <v>0</v>
      </c>
      <c r="S44" s="395"/>
      <c r="T44" s="396"/>
      <c r="U44" s="407" t="s">
        <v>63</v>
      </c>
      <c r="V44" s="330"/>
      <c r="W44" s="408"/>
      <c r="X44" s="409">
        <f>COUNTIF(AE9:AE38,"1")</f>
        <v>2</v>
      </c>
      <c r="Y44" s="328"/>
      <c r="Z44"/>
      <c r="AA44"/>
      <c r="AB44"/>
      <c r="AC44"/>
    </row>
    <row r="45" spans="1:31" x14ac:dyDescent="0.25">
      <c r="P45" s="398" t="s">
        <v>15</v>
      </c>
      <c r="Q45" s="399"/>
      <c r="R45" s="397">
        <f>COUNTIF(AA9:AA38,"2")</f>
        <v>4</v>
      </c>
      <c r="S45" s="395"/>
      <c r="T45" s="396"/>
      <c r="U45" s="407" t="s">
        <v>15</v>
      </c>
      <c r="V45" s="330"/>
      <c r="W45" s="408"/>
      <c r="X45" s="409">
        <f>COUNTIF(AE9:AE38,"2")</f>
        <v>5</v>
      </c>
      <c r="Y45" s="328"/>
      <c r="Z45"/>
      <c r="AA45"/>
      <c r="AB45"/>
      <c r="AC45"/>
    </row>
    <row r="46" spans="1:31" x14ac:dyDescent="0.25">
      <c r="P46" s="398" t="s">
        <v>16</v>
      </c>
      <c r="Q46" s="399"/>
      <c r="R46" s="397">
        <f>COUNTIF(AA9:AA38,"3")</f>
        <v>8</v>
      </c>
      <c r="S46" s="395"/>
      <c r="T46" s="396"/>
      <c r="U46" s="407" t="s">
        <v>16</v>
      </c>
      <c r="V46" s="330"/>
      <c r="W46" s="408"/>
      <c r="X46" s="409">
        <f>COUNTIF(AE9:AE38,"3")</f>
        <v>8</v>
      </c>
      <c r="Y46" s="328"/>
      <c r="Z46"/>
      <c r="AA46"/>
      <c r="AB46"/>
      <c r="AC46"/>
    </row>
    <row r="47" spans="1:31" x14ac:dyDescent="0.25">
      <c r="P47" s="400" t="s">
        <v>17</v>
      </c>
      <c r="Q47" s="401"/>
      <c r="R47" s="397">
        <f>COUNTIF(AA9:AA38,"4")</f>
        <v>7</v>
      </c>
      <c r="S47" s="395"/>
      <c r="T47" s="396"/>
      <c r="U47" s="407" t="s">
        <v>17</v>
      </c>
      <c r="V47" s="330"/>
      <c r="W47" s="408"/>
      <c r="X47" s="409">
        <f>COUNTIF(AE9:AE38,"4")</f>
        <v>6</v>
      </c>
      <c r="Y47" s="328"/>
      <c r="Z47"/>
      <c r="AA47"/>
      <c r="AB47"/>
      <c r="AC47"/>
    </row>
    <row r="48" spans="1:31" ht="15.75" thickBot="1" x14ac:dyDescent="0.3">
      <c r="P48" s="382" t="s">
        <v>18</v>
      </c>
      <c r="Q48" s="383"/>
      <c r="R48" s="384">
        <f>COUNTIF(AA9:AA38,"5")</f>
        <v>2</v>
      </c>
      <c r="S48" s="385"/>
      <c r="T48" s="386"/>
      <c r="U48" s="404" t="s">
        <v>18</v>
      </c>
      <c r="V48" s="405"/>
      <c r="W48" s="406"/>
      <c r="X48" s="384">
        <f>COUNTIF(AE9:AE38,"5")</f>
        <v>0</v>
      </c>
      <c r="Y48" s="386"/>
      <c r="Z48"/>
    </row>
    <row r="49" spans="26:26" x14ac:dyDescent="0.25">
      <c r="Z49" s="98"/>
    </row>
  </sheetData>
  <mergeCells count="275">
    <mergeCell ref="J36:K36"/>
    <mergeCell ref="J37:K37"/>
    <mergeCell ref="J38:K38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M30:N30"/>
    <mergeCell ref="M31:N31"/>
    <mergeCell ref="M32:N32"/>
    <mergeCell ref="M33:N33"/>
    <mergeCell ref="M34:N34"/>
    <mergeCell ref="M35:N35"/>
    <mergeCell ref="M36:N36"/>
    <mergeCell ref="M37:N37"/>
    <mergeCell ref="M38:N38"/>
    <mergeCell ref="P36:Q36"/>
    <mergeCell ref="P37:Q37"/>
    <mergeCell ref="P38:Q38"/>
    <mergeCell ref="M9:N9"/>
    <mergeCell ref="M10:N10"/>
    <mergeCell ref="M11:N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M24:N24"/>
    <mergeCell ref="M25:N25"/>
    <mergeCell ref="M26:N26"/>
    <mergeCell ref="M27:N27"/>
    <mergeCell ref="M28:N28"/>
    <mergeCell ref="M29:N29"/>
    <mergeCell ref="P27:Q27"/>
    <mergeCell ref="P28:Q28"/>
    <mergeCell ref="P29:Q29"/>
    <mergeCell ref="P30:Q30"/>
    <mergeCell ref="P31:Q31"/>
    <mergeCell ref="P32:Q32"/>
    <mergeCell ref="P33:Q33"/>
    <mergeCell ref="P34:Q34"/>
    <mergeCell ref="P35:Q35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9:Q9"/>
    <mergeCell ref="P10:Q10"/>
    <mergeCell ref="P11:Q11"/>
    <mergeCell ref="P12:Q12"/>
    <mergeCell ref="P13:Q13"/>
    <mergeCell ref="P14:Q14"/>
    <mergeCell ref="P15:Q15"/>
    <mergeCell ref="P16:Q16"/>
    <mergeCell ref="P17:Q17"/>
    <mergeCell ref="T26:W26"/>
    <mergeCell ref="T27:W27"/>
    <mergeCell ref="T28:W28"/>
    <mergeCell ref="T29:W29"/>
    <mergeCell ref="T30:W30"/>
    <mergeCell ref="T31:W31"/>
    <mergeCell ref="T32:W32"/>
    <mergeCell ref="T33:W33"/>
    <mergeCell ref="T34:W34"/>
    <mergeCell ref="G36:H36"/>
    <mergeCell ref="G37:H37"/>
    <mergeCell ref="G38:H38"/>
    <mergeCell ref="J8:K8"/>
    <mergeCell ref="M8:N8"/>
    <mergeCell ref="P8:Q8"/>
    <mergeCell ref="T8:W8"/>
    <mergeCell ref="T9:W9"/>
    <mergeCell ref="T10:W10"/>
    <mergeCell ref="T11:W11"/>
    <mergeCell ref="T12:W12"/>
    <mergeCell ref="T13:W13"/>
    <mergeCell ref="T14:W14"/>
    <mergeCell ref="T15:W15"/>
    <mergeCell ref="T16:W16"/>
    <mergeCell ref="T17:W17"/>
    <mergeCell ref="T18:W18"/>
    <mergeCell ref="T19:W19"/>
    <mergeCell ref="T20:W20"/>
    <mergeCell ref="T21:W21"/>
    <mergeCell ref="T22:W22"/>
    <mergeCell ref="T23:W23"/>
    <mergeCell ref="T24:W24"/>
    <mergeCell ref="T25:W25"/>
    <mergeCell ref="G27:H27"/>
    <mergeCell ref="G28:H28"/>
    <mergeCell ref="G29:H29"/>
    <mergeCell ref="G30:H30"/>
    <mergeCell ref="G31:H31"/>
    <mergeCell ref="G32:H32"/>
    <mergeCell ref="G33:H33"/>
    <mergeCell ref="G34:H34"/>
    <mergeCell ref="G35:H35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D35:E35"/>
    <mergeCell ref="D36:E36"/>
    <mergeCell ref="D37:E37"/>
    <mergeCell ref="D38:E38"/>
    <mergeCell ref="D10:E10"/>
    <mergeCell ref="D11:E11"/>
    <mergeCell ref="D12:E12"/>
    <mergeCell ref="D13:E13"/>
    <mergeCell ref="D14:E14"/>
    <mergeCell ref="D15:E15"/>
    <mergeCell ref="D16:E16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9:E9"/>
    <mergeCell ref="T35:W35"/>
    <mergeCell ref="T36:W36"/>
    <mergeCell ref="T37:W37"/>
    <mergeCell ref="T38:W38"/>
    <mergeCell ref="U48:W48"/>
    <mergeCell ref="U47:W47"/>
    <mergeCell ref="U46:W46"/>
    <mergeCell ref="U45:W45"/>
    <mergeCell ref="U44:W44"/>
    <mergeCell ref="U43:W43"/>
    <mergeCell ref="U42:W42"/>
    <mergeCell ref="X44:Y44"/>
    <mergeCell ref="X45:Y45"/>
    <mergeCell ref="X46:Y46"/>
    <mergeCell ref="X47:Y47"/>
    <mergeCell ref="X48:Y48"/>
    <mergeCell ref="P48:Q48"/>
    <mergeCell ref="P40:T40"/>
    <mergeCell ref="R48:T48"/>
    <mergeCell ref="R41:T41"/>
    <mergeCell ref="R42:T42"/>
    <mergeCell ref="R43:T43"/>
    <mergeCell ref="R44:T44"/>
    <mergeCell ref="R45:T45"/>
    <mergeCell ref="R46:T46"/>
    <mergeCell ref="R47:T47"/>
    <mergeCell ref="P43:Q43"/>
    <mergeCell ref="P44:Q44"/>
    <mergeCell ref="P45:Q45"/>
    <mergeCell ref="P46:Q46"/>
    <mergeCell ref="P47:Q47"/>
    <mergeCell ref="P41:Q41"/>
    <mergeCell ref="P42:Q42"/>
    <mergeCell ref="A1:B2"/>
    <mergeCell ref="C5:AF5"/>
    <mergeCell ref="A6:B6"/>
    <mergeCell ref="L6:M7"/>
    <mergeCell ref="N6:N7"/>
    <mergeCell ref="O6:P7"/>
    <mergeCell ref="Q6:Q7"/>
    <mergeCell ref="R6:U7"/>
    <mergeCell ref="V6:W7"/>
    <mergeCell ref="C7:D7"/>
    <mergeCell ref="F6:J6"/>
    <mergeCell ref="F7:G7"/>
    <mergeCell ref="I7:J7"/>
    <mergeCell ref="C6:E6"/>
    <mergeCell ref="J4:P4"/>
    <mergeCell ref="D1:AJ2"/>
    <mergeCell ref="D8:E8"/>
    <mergeCell ref="G8:H8"/>
    <mergeCell ref="R9:S9"/>
    <mergeCell ref="R10:S10"/>
    <mergeCell ref="R11:S11"/>
    <mergeCell ref="R12:S12"/>
    <mergeCell ref="R13:S13"/>
    <mergeCell ref="AE6:AE8"/>
    <mergeCell ref="AA6:AA8"/>
    <mergeCell ref="X8:Y8"/>
    <mergeCell ref="AB8:AC8"/>
    <mergeCell ref="R8:S8"/>
    <mergeCell ref="Z6:Z8"/>
    <mergeCell ref="X6:Y7"/>
    <mergeCell ref="AB6:AC7"/>
    <mergeCell ref="AD6:AD8"/>
    <mergeCell ref="R19:S19"/>
    <mergeCell ref="R20:S20"/>
    <mergeCell ref="R21:S21"/>
    <mergeCell ref="R22:S22"/>
    <mergeCell ref="R23:S23"/>
    <mergeCell ref="R14:S14"/>
    <mergeCell ref="R15:S15"/>
    <mergeCell ref="R16:S16"/>
    <mergeCell ref="R17:S17"/>
    <mergeCell ref="R18:S18"/>
    <mergeCell ref="R29:S29"/>
    <mergeCell ref="R24:S24"/>
    <mergeCell ref="R25:S25"/>
    <mergeCell ref="R26:S26"/>
    <mergeCell ref="R27:S27"/>
    <mergeCell ref="R28:S28"/>
    <mergeCell ref="R33:S33"/>
    <mergeCell ref="X41:Y41"/>
    <mergeCell ref="X42:Y42"/>
    <mergeCell ref="X43:Y43"/>
    <mergeCell ref="U40:Y40"/>
    <mergeCell ref="U41:W41"/>
    <mergeCell ref="R30:S30"/>
    <mergeCell ref="R31:S31"/>
    <mergeCell ref="R38:S38"/>
    <mergeCell ref="R35:S35"/>
    <mergeCell ref="R36:S36"/>
    <mergeCell ref="R37:S37"/>
    <mergeCell ref="R34:S34"/>
    <mergeCell ref="R32:S32"/>
  </mergeCells>
  <conditionalFormatting sqref="G41">
    <cfRule type="cellIs" dxfId="5" priority="20" operator="lessThan">
      <formula>3</formula>
    </cfRule>
  </conditionalFormatting>
  <conditionalFormatting sqref="Y35:Z38 Y9:Y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9:AD3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ellIs" dxfId="4" priority="10" operator="greaterThan">
      <formula>50</formula>
    </cfRule>
    <cfRule type="colorScale" priority="11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3" priority="12" operator="greaterThan">
      <formula>50</formula>
    </cfRule>
    <cfRule type="cellIs" dxfId="2" priority="14" operator="greaterThan">
      <formula>50</formula>
    </cfRule>
  </conditionalFormatting>
  <conditionalFormatting sqref="X43:Y43">
    <cfRule type="cellIs" dxfId="1" priority="6" operator="greaterThan">
      <formula>50</formula>
    </cfRule>
    <cfRule type="colorScale" priority="8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9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0" priority="13" operator="greaterThan">
      <formula>50</formula>
    </cfRule>
  </conditionalFormatting>
  <conditionalFormatting sqref="AC9:AC29">
    <cfRule type="colorScale" priority="3">
      <colorScale>
        <cfvo type="num" val="1"/>
        <cfvo type="percentile" val="50"/>
        <cfvo type="num" val="5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Y9">
    <cfRule type="colorScale" priority="1">
      <colorScale>
        <cfvo type="num" val="1"/>
        <cfvo type="percentile" val="50"/>
        <cfvo type="num" val="5"/>
        <color rgb="FFF8696B"/>
        <color rgb="FFFFEB84"/>
        <color rgb="FF63BE7B"/>
      </colorScale>
    </cfRule>
    <cfRule type="expression" priority="2">
      <formula>$X$9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AC40"/>
  <sheetViews>
    <sheetView zoomScaleNormal="100" workbookViewId="0">
      <selection activeCell="AF25" sqref="AF25"/>
    </sheetView>
  </sheetViews>
  <sheetFormatPr defaultRowHeight="15" x14ac:dyDescent="0.25"/>
  <cols>
    <col min="1" max="1" width="6.42578125" style="81" customWidth="1"/>
    <col min="2" max="2" width="4.5703125" style="81" customWidth="1"/>
    <col min="3" max="3" width="4.7109375" style="81" customWidth="1"/>
    <col min="4" max="4" width="2.7109375" style="81" customWidth="1"/>
    <col min="5" max="5" width="4.140625" style="81" customWidth="1"/>
    <col min="6" max="6" width="2" style="81" customWidth="1"/>
    <col min="7" max="7" width="3.28515625" style="81" customWidth="1"/>
    <col min="8" max="8" width="6.85546875" style="81" customWidth="1"/>
    <col min="9" max="9" width="5" style="81" customWidth="1"/>
    <col min="10" max="10" width="5.28515625" style="81" customWidth="1"/>
    <col min="11" max="11" width="5.42578125" style="81" customWidth="1"/>
    <col min="12" max="12" width="4.5703125" style="81" customWidth="1"/>
    <col min="13" max="13" width="5.140625" style="81" customWidth="1"/>
    <col min="14" max="14" width="6.42578125" style="81" customWidth="1"/>
    <col min="15" max="15" width="5" style="81" customWidth="1"/>
    <col min="16" max="16" width="3.28515625" style="81" customWidth="1"/>
    <col min="17" max="17" width="4.5703125" style="81" customWidth="1"/>
    <col min="18" max="18" width="9.140625" style="81"/>
    <col min="19" max="19" width="6.42578125" style="81" customWidth="1"/>
    <col min="20" max="20" width="6.28515625" style="81" customWidth="1"/>
    <col min="21" max="21" width="6.5703125" style="81" customWidth="1"/>
    <col min="22" max="22" width="6.28515625" style="81" customWidth="1"/>
    <col min="23" max="23" width="5.5703125" style="81" customWidth="1"/>
    <col min="24" max="24" width="5.7109375" style="81" customWidth="1"/>
    <col min="25" max="25" width="5.85546875" style="81" customWidth="1"/>
    <col min="26" max="27" width="6" style="81" customWidth="1"/>
    <col min="28" max="28" width="5.85546875" style="81" customWidth="1"/>
    <col min="29" max="16384" width="9.140625" style="81"/>
  </cols>
  <sheetData>
    <row r="1" spans="1:29" ht="27" x14ac:dyDescent="0.25">
      <c r="A1" s="1" t="s">
        <v>22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27" x14ac:dyDescent="0.25">
      <c r="A2" s="57" t="s">
        <v>3</v>
      </c>
      <c r="B2" s="57"/>
      <c r="C2" s="57"/>
      <c r="D2" s="57"/>
      <c r="E2" s="57"/>
      <c r="F2" s="57"/>
      <c r="G2" s="57"/>
      <c r="H2" s="58"/>
      <c r="I2" s="58"/>
      <c r="J2" s="58"/>
      <c r="K2" s="58"/>
      <c r="L2" s="59"/>
      <c r="M2" s="59" t="s">
        <v>103</v>
      </c>
      <c r="N2" s="59" t="s">
        <v>104</v>
      </c>
      <c r="O2" s="59"/>
      <c r="P2" s="59"/>
      <c r="Q2" s="60"/>
      <c r="R2" s="1"/>
      <c r="S2" s="1"/>
      <c r="T2" s="1"/>
      <c r="U2" s="1"/>
      <c r="V2" s="1"/>
      <c r="W2" s="1"/>
      <c r="X2" s="72" t="s">
        <v>103</v>
      </c>
      <c r="Y2" s="1" t="s">
        <v>104</v>
      </c>
      <c r="Z2" s="1"/>
      <c r="AA2" s="1"/>
      <c r="AB2" s="1"/>
      <c r="AC2" s="1"/>
    </row>
    <row r="3" spans="1:29" ht="20.25" x14ac:dyDescent="0.25">
      <c r="A3" s="31"/>
      <c r="B3" s="26"/>
      <c r="C3" s="26"/>
      <c r="D3" s="26"/>
      <c r="E3" s="26"/>
      <c r="F3" s="26"/>
      <c r="G3" s="41"/>
      <c r="H3" s="414" t="s">
        <v>80</v>
      </c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  <c r="X3" s="415"/>
      <c r="Y3" s="415"/>
      <c r="Z3" s="415"/>
      <c r="AA3" s="415"/>
      <c r="AB3" s="415"/>
      <c r="AC3" s="416"/>
    </row>
    <row r="4" spans="1:29" ht="15" customHeight="1" x14ac:dyDescent="0.25">
      <c r="A4" s="417"/>
      <c r="B4" s="456"/>
      <c r="C4" s="456"/>
      <c r="D4" s="456"/>
      <c r="E4" s="456"/>
      <c r="F4" s="456"/>
      <c r="G4" s="419"/>
      <c r="H4" s="420" t="s">
        <v>121</v>
      </c>
      <c r="I4" s="421"/>
      <c r="J4" s="421"/>
      <c r="K4" s="421"/>
      <c r="L4" s="421"/>
      <c r="M4" s="421"/>
      <c r="N4" s="421"/>
      <c r="O4" s="421"/>
      <c r="P4" s="421"/>
      <c r="Q4" s="440"/>
      <c r="R4" s="424" t="s">
        <v>23</v>
      </c>
      <c r="S4" s="420" t="s">
        <v>120</v>
      </c>
      <c r="T4" s="421"/>
      <c r="U4" s="421"/>
      <c r="V4" s="421"/>
      <c r="W4" s="421"/>
      <c r="X4" s="421"/>
      <c r="Y4" s="421"/>
      <c r="Z4" s="421"/>
      <c r="AA4" s="421"/>
      <c r="AB4" s="440"/>
      <c r="AC4" s="424" t="s">
        <v>23</v>
      </c>
    </row>
    <row r="5" spans="1:29" x14ac:dyDescent="0.25">
      <c r="A5" s="417"/>
      <c r="B5" s="456"/>
      <c r="C5" s="456"/>
      <c r="D5" s="456"/>
      <c r="E5" s="456"/>
      <c r="F5" s="456"/>
      <c r="G5" s="419"/>
      <c r="H5" s="454"/>
      <c r="I5" s="441"/>
      <c r="J5" s="441"/>
      <c r="K5" s="441"/>
      <c r="L5" s="441"/>
      <c r="M5" s="441"/>
      <c r="N5" s="441"/>
      <c r="O5" s="441"/>
      <c r="P5" s="441"/>
      <c r="Q5" s="442"/>
      <c r="R5" s="425"/>
      <c r="S5" s="454"/>
      <c r="T5" s="441"/>
      <c r="U5" s="441"/>
      <c r="V5" s="441"/>
      <c r="W5" s="441"/>
      <c r="X5" s="441"/>
      <c r="Y5" s="441"/>
      <c r="Z5" s="441"/>
      <c r="AA5" s="441"/>
      <c r="AB5" s="442"/>
      <c r="AC5" s="425"/>
    </row>
    <row r="6" spans="1:29" ht="18" x14ac:dyDescent="0.25">
      <c r="A6" s="427" t="s">
        <v>26</v>
      </c>
      <c r="B6" s="428"/>
      <c r="C6" s="428"/>
      <c r="D6" s="428"/>
      <c r="E6" s="428"/>
      <c r="F6" s="428"/>
      <c r="G6" s="485"/>
      <c r="H6" s="44" t="s">
        <v>107</v>
      </c>
      <c r="I6" s="45" t="s">
        <v>108</v>
      </c>
      <c r="J6" s="45" t="s">
        <v>109</v>
      </c>
      <c r="K6" s="45" t="s">
        <v>110</v>
      </c>
      <c r="L6" s="45" t="s">
        <v>111</v>
      </c>
      <c r="M6" s="45" t="s">
        <v>112</v>
      </c>
      <c r="N6" s="45" t="s">
        <v>113</v>
      </c>
      <c r="O6" s="45" t="s">
        <v>114</v>
      </c>
      <c r="P6" s="45">
        <v>2</v>
      </c>
      <c r="Q6" s="29"/>
      <c r="R6" s="426"/>
      <c r="S6" s="51">
        <v>1</v>
      </c>
      <c r="T6" s="50">
        <v>2</v>
      </c>
      <c r="U6" s="50"/>
      <c r="V6" s="50"/>
      <c r="W6" s="50"/>
      <c r="X6" s="50"/>
      <c r="Y6" s="50"/>
      <c r="Z6" s="50"/>
      <c r="AA6" s="50"/>
      <c r="AB6" s="50"/>
      <c r="AC6" s="426"/>
    </row>
    <row r="7" spans="1:29" ht="27" customHeight="1" x14ac:dyDescent="0.25">
      <c r="A7" s="43" t="s">
        <v>8</v>
      </c>
      <c r="B7" s="461" t="s">
        <v>57</v>
      </c>
      <c r="C7" s="462"/>
      <c r="D7" s="462"/>
      <c r="E7" s="462"/>
      <c r="F7" s="462"/>
      <c r="G7" s="484"/>
      <c r="H7" s="298">
        <v>10</v>
      </c>
      <c r="I7" s="53">
        <v>10</v>
      </c>
      <c r="J7" s="53">
        <v>10</v>
      </c>
      <c r="K7" s="53">
        <v>10</v>
      </c>
      <c r="L7" s="53">
        <v>10</v>
      </c>
      <c r="M7" s="53">
        <v>10</v>
      </c>
      <c r="N7" s="53">
        <v>10</v>
      </c>
      <c r="O7" s="53">
        <v>10</v>
      </c>
      <c r="P7" s="53">
        <v>20</v>
      </c>
      <c r="Q7" s="53"/>
      <c r="R7" s="93">
        <f>IF(OR(SUM(H7:Q7)&gt;100,SUM(H7:Q7)&lt;0),"",SUM(H7:Q7))</f>
        <v>100</v>
      </c>
      <c r="S7" s="84"/>
      <c r="T7" s="85"/>
      <c r="U7" s="85"/>
      <c r="V7" s="85"/>
      <c r="W7" s="85"/>
      <c r="X7" s="85"/>
      <c r="Y7" s="85"/>
      <c r="Z7" s="85"/>
      <c r="AA7" s="54"/>
      <c r="AB7" s="54"/>
      <c r="AC7" s="93">
        <f>IF(OR(SUM(S7:AB7)&gt;100,SUM(S7:AB7)&lt;0),"",SUM(S7:AB7))</f>
        <v>0</v>
      </c>
    </row>
    <row r="8" spans="1:29" x14ac:dyDescent="0.25">
      <c r="A8" s="128">
        <f>IF('Avaliação Períodos'!A9=0,"",'Avaliação Períodos'!A9)</f>
        <v>1</v>
      </c>
      <c r="B8" s="410" t="str">
        <f>IF('Avaliação Períodos'!B9=0,"",'Avaliação Períodos'!B9)</f>
        <v>Ademar Monforte</v>
      </c>
      <c r="C8" s="411"/>
      <c r="D8" s="411"/>
      <c r="E8" s="411"/>
      <c r="F8" s="411"/>
      <c r="G8" s="434"/>
      <c r="H8" s="299">
        <v>10</v>
      </c>
      <c r="I8" s="279">
        <v>10</v>
      </c>
      <c r="J8" s="279">
        <v>10</v>
      </c>
      <c r="K8" s="279">
        <v>10</v>
      </c>
      <c r="L8" s="279">
        <v>10</v>
      </c>
      <c r="M8" s="279">
        <v>0</v>
      </c>
      <c r="N8" s="279">
        <v>0</v>
      </c>
      <c r="O8" s="279">
        <v>10</v>
      </c>
      <c r="P8" s="286">
        <v>0</v>
      </c>
      <c r="Q8" s="300"/>
      <c r="R8" s="46">
        <f t="shared" ref="R8:R37" si="0">IF(COUNT(H8:Q8)=0,"",SUM(H8:Q8))</f>
        <v>60</v>
      </c>
      <c r="S8" s="285"/>
      <c r="T8" s="286"/>
      <c r="U8" s="286"/>
      <c r="V8" s="286"/>
      <c r="W8" s="286"/>
      <c r="X8" s="286"/>
      <c r="Y8" s="286"/>
      <c r="Z8" s="286"/>
      <c r="AA8" s="286"/>
      <c r="AB8" s="286">
        <v>40</v>
      </c>
      <c r="AC8" s="39">
        <f t="shared" ref="AC8:AC37" si="1">IF(COUNT(S8:AB8)=0,"",SUM(S8:AB8))</f>
        <v>40</v>
      </c>
    </row>
    <row r="9" spans="1:29" x14ac:dyDescent="0.25">
      <c r="A9" s="129">
        <f>IF('Avaliação Períodos'!A10=0,"",'Avaliação Períodos'!A10)</f>
        <v>2</v>
      </c>
      <c r="B9" s="429" t="str">
        <f>IF('Avaliação Períodos'!B10=0,"",'Avaliação Períodos'!B10)</f>
        <v>Alexandre Simões</v>
      </c>
      <c r="C9" s="430"/>
      <c r="D9" s="430"/>
      <c r="E9" s="430"/>
      <c r="F9" s="430"/>
      <c r="G9" s="431"/>
      <c r="H9" s="301">
        <v>0</v>
      </c>
      <c r="I9" s="280">
        <v>0</v>
      </c>
      <c r="J9" s="280">
        <v>0</v>
      </c>
      <c r="K9" s="280">
        <v>10</v>
      </c>
      <c r="L9" s="280">
        <v>10</v>
      </c>
      <c r="M9" s="280">
        <v>0</v>
      </c>
      <c r="N9" s="280">
        <v>10</v>
      </c>
      <c r="O9" s="280">
        <v>0</v>
      </c>
      <c r="P9" s="288">
        <v>0</v>
      </c>
      <c r="Q9" s="302"/>
      <c r="R9" s="46">
        <f t="shared" si="0"/>
        <v>30</v>
      </c>
      <c r="S9" s="287"/>
      <c r="T9" s="288"/>
      <c r="U9" s="288"/>
      <c r="V9" s="288"/>
      <c r="W9" s="288"/>
      <c r="X9" s="288"/>
      <c r="Y9" s="288"/>
      <c r="Z9" s="288"/>
      <c r="AA9" s="288"/>
      <c r="AB9" s="288">
        <v>60</v>
      </c>
      <c r="AC9" s="39">
        <f t="shared" si="1"/>
        <v>60</v>
      </c>
    </row>
    <row r="10" spans="1:29" x14ac:dyDescent="0.25">
      <c r="A10" s="128">
        <f>IF('Avaliação Períodos'!A11=0,"",'Avaliação Períodos'!A11)</f>
        <v>3</v>
      </c>
      <c r="B10" s="410" t="str">
        <f>IF('Avaliação Períodos'!B11=0,"",'Avaliação Períodos'!B11)</f>
        <v>Ana Inácio</v>
      </c>
      <c r="C10" s="411"/>
      <c r="D10" s="411"/>
      <c r="E10" s="411"/>
      <c r="F10" s="411"/>
      <c r="G10" s="434"/>
      <c r="H10" s="293">
        <v>10</v>
      </c>
      <c r="I10" s="281">
        <v>10</v>
      </c>
      <c r="J10" s="281">
        <v>10</v>
      </c>
      <c r="K10" s="281">
        <v>10</v>
      </c>
      <c r="L10" s="281">
        <v>10</v>
      </c>
      <c r="M10" s="281">
        <v>10</v>
      </c>
      <c r="N10" s="281">
        <v>10</v>
      </c>
      <c r="O10" s="281">
        <v>0</v>
      </c>
      <c r="P10" s="291">
        <v>20</v>
      </c>
      <c r="Q10" s="303"/>
      <c r="R10" s="46">
        <f t="shared" si="0"/>
        <v>90</v>
      </c>
      <c r="S10" s="289"/>
      <c r="T10" s="290"/>
      <c r="U10" s="290"/>
      <c r="V10" s="290"/>
      <c r="W10" s="290"/>
      <c r="X10" s="290"/>
      <c r="Y10" s="290"/>
      <c r="Z10" s="290"/>
      <c r="AA10" s="291"/>
      <c r="AB10" s="290">
        <v>80</v>
      </c>
      <c r="AC10" s="39">
        <f t="shared" si="1"/>
        <v>80</v>
      </c>
    </row>
    <row r="11" spans="1:29" x14ac:dyDescent="0.25">
      <c r="A11" s="129">
        <f>IF('Avaliação Períodos'!A12=0,"",'Avaliação Períodos'!A12)</f>
        <v>4</v>
      </c>
      <c r="B11" s="429" t="str">
        <f>IF('Avaliação Períodos'!B12=0,"",'Avaliação Períodos'!B12)</f>
        <v>Ana Gomes</v>
      </c>
      <c r="C11" s="430"/>
      <c r="D11" s="430"/>
      <c r="E11" s="430"/>
      <c r="F11" s="430"/>
      <c r="G11" s="431"/>
      <c r="H11" s="301">
        <v>10</v>
      </c>
      <c r="I11" s="280">
        <v>10</v>
      </c>
      <c r="J11" s="280">
        <v>10</v>
      </c>
      <c r="K11" s="280">
        <v>10</v>
      </c>
      <c r="L11" s="280">
        <v>10</v>
      </c>
      <c r="M11" s="280">
        <v>10</v>
      </c>
      <c r="N11" s="280">
        <v>0</v>
      </c>
      <c r="O11" s="280">
        <v>10</v>
      </c>
      <c r="P11" s="288">
        <v>20</v>
      </c>
      <c r="Q11" s="302"/>
      <c r="R11" s="46">
        <f t="shared" si="0"/>
        <v>90</v>
      </c>
      <c r="S11" s="287"/>
      <c r="T11" s="288"/>
      <c r="U11" s="288"/>
      <c r="V11" s="288"/>
      <c r="W11" s="288"/>
      <c r="X11" s="288"/>
      <c r="Y11" s="288"/>
      <c r="Z11" s="288"/>
      <c r="AA11" s="288"/>
      <c r="AB11" s="288">
        <v>80</v>
      </c>
      <c r="AC11" s="39">
        <f t="shared" si="1"/>
        <v>80</v>
      </c>
    </row>
    <row r="12" spans="1:29" x14ac:dyDescent="0.25">
      <c r="A12" s="128">
        <f>IF('Avaliação Períodos'!A13=0,"",'Avaliação Períodos'!A13)</f>
        <v>5</v>
      </c>
      <c r="B12" s="410" t="str">
        <f>IF('Avaliação Períodos'!B13=0,"",'Avaliação Períodos'!B13)</f>
        <v>Bruna Lemos</v>
      </c>
      <c r="C12" s="411"/>
      <c r="D12" s="411"/>
      <c r="E12" s="411"/>
      <c r="F12" s="411"/>
      <c r="G12" s="434"/>
      <c r="H12" s="293">
        <v>10</v>
      </c>
      <c r="I12" s="281">
        <v>10</v>
      </c>
      <c r="J12" s="281">
        <v>0</v>
      </c>
      <c r="K12" s="281">
        <v>10</v>
      </c>
      <c r="L12" s="281">
        <v>10</v>
      </c>
      <c r="M12" s="281">
        <v>10</v>
      </c>
      <c r="N12" s="281">
        <v>10</v>
      </c>
      <c r="O12" s="281">
        <v>10</v>
      </c>
      <c r="P12" s="291">
        <v>0</v>
      </c>
      <c r="Q12" s="303"/>
      <c r="R12" s="46">
        <f t="shared" si="0"/>
        <v>70</v>
      </c>
      <c r="S12" s="289"/>
      <c r="T12" s="290"/>
      <c r="U12" s="290"/>
      <c r="V12" s="290"/>
      <c r="W12" s="290"/>
      <c r="X12" s="290"/>
      <c r="Y12" s="290"/>
      <c r="Z12" s="290"/>
      <c r="AA12" s="291"/>
      <c r="AB12" s="290">
        <v>40</v>
      </c>
      <c r="AC12" s="39">
        <f t="shared" si="1"/>
        <v>40</v>
      </c>
    </row>
    <row r="13" spans="1:29" x14ac:dyDescent="0.25">
      <c r="A13" s="129">
        <f>IF('Avaliação Períodos'!A14=0,"",'Avaliação Períodos'!A14)</f>
        <v>6</v>
      </c>
      <c r="B13" s="429" t="str">
        <f>IF('Avaliação Períodos'!B14=0,"",'Avaliação Períodos'!B14)</f>
        <v>Constança Abreu</v>
      </c>
      <c r="C13" s="430"/>
      <c r="D13" s="430"/>
      <c r="E13" s="430"/>
      <c r="F13" s="430"/>
      <c r="G13" s="431"/>
      <c r="H13" s="301">
        <v>10</v>
      </c>
      <c r="I13" s="280">
        <v>10</v>
      </c>
      <c r="J13" s="280">
        <v>10</v>
      </c>
      <c r="K13" s="280">
        <v>10</v>
      </c>
      <c r="L13" s="280">
        <v>0</v>
      </c>
      <c r="M13" s="280">
        <v>10</v>
      </c>
      <c r="N13" s="280">
        <v>0</v>
      </c>
      <c r="O13" s="280">
        <v>10</v>
      </c>
      <c r="P13" s="288">
        <v>0</v>
      </c>
      <c r="Q13" s="302"/>
      <c r="R13" s="46">
        <f t="shared" si="0"/>
        <v>60</v>
      </c>
      <c r="S13" s="287"/>
      <c r="T13" s="288"/>
      <c r="U13" s="288"/>
      <c r="V13" s="288"/>
      <c r="W13" s="288"/>
      <c r="X13" s="288"/>
      <c r="Y13" s="288"/>
      <c r="Z13" s="288"/>
      <c r="AA13" s="288"/>
      <c r="AB13" s="288">
        <v>40</v>
      </c>
      <c r="AC13" s="39">
        <f t="shared" si="1"/>
        <v>40</v>
      </c>
    </row>
    <row r="14" spans="1:29" x14ac:dyDescent="0.25">
      <c r="A14" s="128">
        <f>IF('Avaliação Períodos'!A15=0,"",'Avaliação Períodos'!A15)</f>
        <v>7</v>
      </c>
      <c r="B14" s="410" t="str">
        <f>IF('Avaliação Períodos'!B15=0,"",'Avaliação Períodos'!B15)</f>
        <v>Cristiano Emídio</v>
      </c>
      <c r="C14" s="411"/>
      <c r="D14" s="411"/>
      <c r="E14" s="411"/>
      <c r="F14" s="411"/>
      <c r="G14" s="434"/>
      <c r="H14" s="293">
        <v>10</v>
      </c>
      <c r="I14" s="281">
        <v>10</v>
      </c>
      <c r="J14" s="281">
        <v>10</v>
      </c>
      <c r="K14" s="281">
        <v>10</v>
      </c>
      <c r="L14" s="281">
        <v>10</v>
      </c>
      <c r="M14" s="281">
        <v>0</v>
      </c>
      <c r="N14" s="281">
        <v>0</v>
      </c>
      <c r="O14" s="281">
        <v>0</v>
      </c>
      <c r="P14" s="291">
        <v>0</v>
      </c>
      <c r="Q14" s="303"/>
      <c r="R14" s="46">
        <f t="shared" si="0"/>
        <v>50</v>
      </c>
      <c r="S14" s="289"/>
      <c r="T14" s="290"/>
      <c r="U14" s="290"/>
      <c r="V14" s="290"/>
      <c r="W14" s="290"/>
      <c r="X14" s="290"/>
      <c r="Y14" s="290"/>
      <c r="Z14" s="290"/>
      <c r="AA14" s="291"/>
      <c r="AB14" s="290">
        <v>60</v>
      </c>
      <c r="AC14" s="39">
        <f t="shared" si="1"/>
        <v>60</v>
      </c>
    </row>
    <row r="15" spans="1:29" x14ac:dyDescent="0.25">
      <c r="A15" s="129">
        <f>IF('Avaliação Períodos'!A16=0,"",'Avaliação Períodos'!A16)</f>
        <v>8</v>
      </c>
      <c r="B15" s="429" t="str">
        <f>IF('Avaliação Períodos'!B16=0,"",'Avaliação Períodos'!B16)</f>
        <v>Edgar Gonçalves</v>
      </c>
      <c r="C15" s="430"/>
      <c r="D15" s="430"/>
      <c r="E15" s="430"/>
      <c r="F15" s="430"/>
      <c r="G15" s="431"/>
      <c r="H15" s="301">
        <v>0</v>
      </c>
      <c r="I15" s="280">
        <v>10</v>
      </c>
      <c r="J15" s="280">
        <v>10</v>
      </c>
      <c r="K15" s="280">
        <v>10</v>
      </c>
      <c r="L15" s="280">
        <v>0</v>
      </c>
      <c r="M15" s="280">
        <v>0</v>
      </c>
      <c r="N15" s="280">
        <v>0</v>
      </c>
      <c r="O15" s="280">
        <v>0</v>
      </c>
      <c r="P15" s="288">
        <v>0</v>
      </c>
      <c r="Q15" s="302"/>
      <c r="R15" s="46">
        <f t="shared" si="0"/>
        <v>30</v>
      </c>
      <c r="S15" s="287"/>
      <c r="T15" s="288"/>
      <c r="U15" s="292"/>
      <c r="V15" s="288"/>
      <c r="W15" s="288"/>
      <c r="X15" s="288"/>
      <c r="Y15" s="288"/>
      <c r="Z15" s="288"/>
      <c r="AA15" s="288"/>
      <c r="AB15" s="288">
        <v>40</v>
      </c>
      <c r="AC15" s="39">
        <f t="shared" si="1"/>
        <v>40</v>
      </c>
    </row>
    <row r="16" spans="1:29" x14ac:dyDescent="0.25">
      <c r="A16" s="128">
        <f>IF('Avaliação Períodos'!A17=0,"",'Avaliação Períodos'!A17)</f>
        <v>9</v>
      </c>
      <c r="B16" s="410" t="str">
        <f>IF('Avaliação Períodos'!B17=0,"",'Avaliação Períodos'!B17)</f>
        <v>Fábio Trino</v>
      </c>
      <c r="C16" s="411"/>
      <c r="D16" s="411"/>
      <c r="E16" s="411"/>
      <c r="F16" s="411"/>
      <c r="G16" s="434"/>
      <c r="H16" s="293">
        <v>10</v>
      </c>
      <c r="I16" s="281">
        <v>10</v>
      </c>
      <c r="J16" s="281">
        <v>0</v>
      </c>
      <c r="K16" s="281">
        <v>10</v>
      </c>
      <c r="L16" s="281">
        <v>10</v>
      </c>
      <c r="M16" s="281">
        <v>0</v>
      </c>
      <c r="N16" s="281">
        <v>10</v>
      </c>
      <c r="O16" s="281">
        <v>10</v>
      </c>
      <c r="P16" s="291">
        <v>0</v>
      </c>
      <c r="Q16" s="303"/>
      <c r="R16" s="46">
        <f t="shared" si="0"/>
        <v>60</v>
      </c>
      <c r="S16" s="289"/>
      <c r="T16" s="290"/>
      <c r="U16" s="290"/>
      <c r="V16" s="290"/>
      <c r="W16" s="290"/>
      <c r="X16" s="290"/>
      <c r="Y16" s="290"/>
      <c r="Z16" s="290"/>
      <c r="AA16" s="291"/>
      <c r="AB16" s="290">
        <v>60</v>
      </c>
      <c r="AC16" s="39">
        <f t="shared" si="1"/>
        <v>60</v>
      </c>
    </row>
    <row r="17" spans="1:29" x14ac:dyDescent="0.25">
      <c r="A17" s="129">
        <f>IF('Avaliação Períodos'!A18=0,"",'Avaliação Períodos'!A18)</f>
        <v>10</v>
      </c>
      <c r="B17" s="429" t="str">
        <f>IF('Avaliação Períodos'!B18=0,"",'Avaliação Períodos'!B18)</f>
        <v>Francisco Pedrosa</v>
      </c>
      <c r="C17" s="430"/>
      <c r="D17" s="430"/>
      <c r="E17" s="430"/>
      <c r="F17" s="430"/>
      <c r="G17" s="431"/>
      <c r="H17" s="301">
        <v>0</v>
      </c>
      <c r="I17" s="280">
        <v>0</v>
      </c>
      <c r="J17" s="280">
        <v>10</v>
      </c>
      <c r="K17" s="280">
        <v>0</v>
      </c>
      <c r="L17" s="280">
        <v>10</v>
      </c>
      <c r="M17" s="280">
        <v>0</v>
      </c>
      <c r="N17" s="280">
        <v>0</v>
      </c>
      <c r="O17" s="280">
        <v>0</v>
      </c>
      <c r="P17" s="288">
        <v>0</v>
      </c>
      <c r="Q17" s="302"/>
      <c r="R17" s="46">
        <f t="shared" si="0"/>
        <v>20</v>
      </c>
      <c r="S17" s="287"/>
      <c r="T17" s="288"/>
      <c r="U17" s="288"/>
      <c r="V17" s="288"/>
      <c r="W17" s="288"/>
      <c r="X17" s="288"/>
      <c r="Y17" s="288"/>
      <c r="Z17" s="288"/>
      <c r="AA17" s="288"/>
      <c r="AB17" s="288">
        <v>40</v>
      </c>
      <c r="AC17" s="39">
        <f t="shared" si="1"/>
        <v>40</v>
      </c>
    </row>
    <row r="18" spans="1:29" x14ac:dyDescent="0.25">
      <c r="A18" s="128">
        <f>IF('Avaliação Períodos'!A19=0,"",'Avaliação Períodos'!A19)</f>
        <v>11</v>
      </c>
      <c r="B18" s="410" t="str">
        <f>IF('Avaliação Períodos'!B19=0,"",'Avaliação Períodos'!B19)</f>
        <v>Francisco Miranda</v>
      </c>
      <c r="C18" s="411"/>
      <c r="D18" s="411"/>
      <c r="E18" s="411"/>
      <c r="F18" s="411"/>
      <c r="G18" s="434"/>
      <c r="H18" s="293">
        <v>10</v>
      </c>
      <c r="I18" s="281">
        <v>0</v>
      </c>
      <c r="J18" s="281">
        <v>0</v>
      </c>
      <c r="K18" s="281">
        <v>10</v>
      </c>
      <c r="L18" s="281">
        <v>0</v>
      </c>
      <c r="M18" s="281">
        <v>10</v>
      </c>
      <c r="N18" s="281">
        <v>0</v>
      </c>
      <c r="O18" s="281">
        <v>0</v>
      </c>
      <c r="P18" s="290">
        <v>0</v>
      </c>
      <c r="Q18" s="303"/>
      <c r="R18" s="46">
        <f t="shared" si="0"/>
        <v>30</v>
      </c>
      <c r="S18" s="293"/>
      <c r="T18" s="290"/>
      <c r="U18" s="290"/>
      <c r="V18" s="290"/>
      <c r="W18" s="290"/>
      <c r="X18" s="290"/>
      <c r="Y18" s="290"/>
      <c r="Z18" s="290"/>
      <c r="AA18" s="290"/>
      <c r="AB18" s="290">
        <v>40</v>
      </c>
      <c r="AC18" s="39">
        <f t="shared" si="1"/>
        <v>40</v>
      </c>
    </row>
    <row r="19" spans="1:29" x14ac:dyDescent="0.25">
      <c r="A19" s="129">
        <f>IF('Avaliação Períodos'!A20=0,"",'Avaliação Períodos'!A20)</f>
        <v>12</v>
      </c>
      <c r="B19" s="429" t="str">
        <f>IF('Avaliação Períodos'!B20=0,"",'Avaliação Períodos'!B20)</f>
        <v>Francisco Mota</v>
      </c>
      <c r="C19" s="430"/>
      <c r="D19" s="430"/>
      <c r="E19" s="430"/>
      <c r="F19" s="430"/>
      <c r="G19" s="431"/>
      <c r="H19" s="301">
        <v>10</v>
      </c>
      <c r="I19" s="280">
        <v>0</v>
      </c>
      <c r="J19" s="280">
        <v>10</v>
      </c>
      <c r="K19" s="280">
        <v>0</v>
      </c>
      <c r="L19" s="280">
        <v>0</v>
      </c>
      <c r="M19" s="280">
        <v>10</v>
      </c>
      <c r="N19" s="280">
        <v>10</v>
      </c>
      <c r="O19" s="280">
        <v>0</v>
      </c>
      <c r="P19" s="288">
        <v>20</v>
      </c>
      <c r="Q19" s="302"/>
      <c r="R19" s="46">
        <f t="shared" si="0"/>
        <v>60</v>
      </c>
      <c r="S19" s="287"/>
      <c r="T19" s="288"/>
      <c r="U19" s="288"/>
      <c r="V19" s="288"/>
      <c r="W19" s="288"/>
      <c r="X19" s="288"/>
      <c r="Y19" s="288"/>
      <c r="Z19" s="288"/>
      <c r="AA19" s="288"/>
      <c r="AB19" s="288">
        <v>40</v>
      </c>
      <c r="AC19" s="39">
        <f t="shared" si="1"/>
        <v>40</v>
      </c>
    </row>
    <row r="20" spans="1:29" x14ac:dyDescent="0.25">
      <c r="A20" s="128">
        <f>IF('Avaliação Períodos'!A21=0,"",'Avaliação Períodos'!A21)</f>
        <v>13</v>
      </c>
      <c r="B20" s="410" t="str">
        <f>IF('Avaliação Períodos'!B21=0,"",'Avaliação Períodos'!B21)</f>
        <v>Francisco Marques</v>
      </c>
      <c r="C20" s="411"/>
      <c r="D20" s="411"/>
      <c r="E20" s="411"/>
      <c r="F20" s="411"/>
      <c r="G20" s="434"/>
      <c r="H20" s="293">
        <v>10</v>
      </c>
      <c r="I20" s="281">
        <v>0</v>
      </c>
      <c r="J20" s="281">
        <v>10</v>
      </c>
      <c r="K20" s="281">
        <v>0</v>
      </c>
      <c r="L20" s="281">
        <v>10</v>
      </c>
      <c r="M20" s="281">
        <v>10</v>
      </c>
      <c r="N20" s="281">
        <v>10</v>
      </c>
      <c r="O20" s="281">
        <v>0</v>
      </c>
      <c r="P20" s="290">
        <v>0</v>
      </c>
      <c r="Q20" s="303"/>
      <c r="R20" s="46">
        <f t="shared" si="0"/>
        <v>50</v>
      </c>
      <c r="S20" s="293"/>
      <c r="T20" s="290"/>
      <c r="U20" s="290"/>
      <c r="V20" s="290"/>
      <c r="W20" s="290"/>
      <c r="X20" s="290"/>
      <c r="Y20" s="290"/>
      <c r="Z20" s="290"/>
      <c r="AA20" s="290"/>
      <c r="AB20" s="290">
        <v>20</v>
      </c>
      <c r="AC20" s="39">
        <f t="shared" si="1"/>
        <v>20</v>
      </c>
    </row>
    <row r="21" spans="1:29" x14ac:dyDescent="0.25">
      <c r="A21" s="129">
        <f>IF('Avaliação Períodos'!A22=0,"",'Avaliação Períodos'!A22)</f>
        <v>14</v>
      </c>
      <c r="B21" s="429" t="str">
        <f>IF('Avaliação Períodos'!B22=0,"",'Avaliação Períodos'!B22)</f>
        <v>Jamila Portilha</v>
      </c>
      <c r="C21" s="430"/>
      <c r="D21" s="430"/>
      <c r="E21" s="430"/>
      <c r="F21" s="430"/>
      <c r="G21" s="431"/>
      <c r="H21" s="301">
        <v>10</v>
      </c>
      <c r="I21" s="280">
        <v>10</v>
      </c>
      <c r="J21" s="280">
        <v>10</v>
      </c>
      <c r="K21" s="280">
        <v>10</v>
      </c>
      <c r="L21" s="280">
        <v>10</v>
      </c>
      <c r="M21" s="280">
        <v>10</v>
      </c>
      <c r="N21" s="280">
        <v>0</v>
      </c>
      <c r="O21" s="280">
        <v>10</v>
      </c>
      <c r="P21" s="288">
        <v>20</v>
      </c>
      <c r="Q21" s="302"/>
      <c r="R21" s="46">
        <f t="shared" si="0"/>
        <v>90</v>
      </c>
      <c r="S21" s="287"/>
      <c r="T21" s="288"/>
      <c r="U21" s="288"/>
      <c r="V21" s="288"/>
      <c r="W21" s="288"/>
      <c r="X21" s="288"/>
      <c r="Y21" s="288"/>
      <c r="Z21" s="288"/>
      <c r="AA21" s="288"/>
      <c r="AB21" s="288">
        <v>40</v>
      </c>
      <c r="AC21" s="39">
        <f t="shared" si="1"/>
        <v>40</v>
      </c>
    </row>
    <row r="22" spans="1:29" x14ac:dyDescent="0.25">
      <c r="A22" s="128">
        <v>15</v>
      </c>
      <c r="B22" s="410" t="str">
        <f>IF('Avaliação Períodos'!B23=0,"",'Avaliação Períodos'!B23)</f>
        <v>Joelma Emídio</v>
      </c>
      <c r="C22" s="411"/>
      <c r="D22" s="411"/>
      <c r="E22" s="411"/>
      <c r="F22" s="411"/>
      <c r="G22" s="434"/>
      <c r="H22" s="293">
        <v>0</v>
      </c>
      <c r="I22" s="281">
        <v>0</v>
      </c>
      <c r="J22" s="281">
        <v>0</v>
      </c>
      <c r="K22" s="281">
        <v>0</v>
      </c>
      <c r="L22" s="281">
        <v>0</v>
      </c>
      <c r="M22" s="281">
        <v>0</v>
      </c>
      <c r="N22" s="281">
        <v>0</v>
      </c>
      <c r="O22" s="281">
        <v>0</v>
      </c>
      <c r="P22" s="290">
        <v>0</v>
      </c>
      <c r="Q22" s="303"/>
      <c r="R22" s="46">
        <f t="shared" si="0"/>
        <v>0</v>
      </c>
      <c r="S22" s="293"/>
      <c r="T22" s="290"/>
      <c r="U22" s="290"/>
      <c r="V22" s="290"/>
      <c r="W22" s="290"/>
      <c r="X22" s="290"/>
      <c r="Y22" s="290"/>
      <c r="Z22" s="290"/>
      <c r="AA22" s="290"/>
      <c r="AB22" s="290">
        <v>60</v>
      </c>
      <c r="AC22" s="39">
        <f t="shared" si="1"/>
        <v>60</v>
      </c>
    </row>
    <row r="23" spans="1:29" x14ac:dyDescent="0.25">
      <c r="A23" s="129">
        <f>IF('Avaliação Períodos'!A24=0,"",'Avaliação Períodos'!A24)</f>
        <v>16</v>
      </c>
      <c r="B23" s="429" t="str">
        <f>IF('Avaliação Períodos'!B24=0,"",'Avaliação Períodos'!B24)</f>
        <v>José Garcia</v>
      </c>
      <c r="C23" s="430"/>
      <c r="D23" s="430"/>
      <c r="E23" s="430"/>
      <c r="F23" s="430"/>
      <c r="G23" s="431"/>
      <c r="H23" s="301">
        <v>0</v>
      </c>
      <c r="I23" s="280">
        <v>0</v>
      </c>
      <c r="J23" s="280">
        <v>0</v>
      </c>
      <c r="K23" s="280">
        <v>10</v>
      </c>
      <c r="L23" s="280">
        <v>0</v>
      </c>
      <c r="M23" s="280">
        <v>10</v>
      </c>
      <c r="N23" s="280">
        <v>0</v>
      </c>
      <c r="O23" s="280">
        <v>10</v>
      </c>
      <c r="P23" s="288">
        <v>0</v>
      </c>
      <c r="Q23" s="302"/>
      <c r="R23" s="46">
        <f t="shared" si="0"/>
        <v>30</v>
      </c>
      <c r="S23" s="287"/>
      <c r="T23" s="288"/>
      <c r="U23" s="288"/>
      <c r="V23" s="288"/>
      <c r="W23" s="288"/>
      <c r="X23" s="288"/>
      <c r="Y23" s="288"/>
      <c r="Z23" s="288"/>
      <c r="AA23" s="288"/>
      <c r="AB23" s="288">
        <v>20</v>
      </c>
      <c r="AC23" s="39">
        <f t="shared" si="1"/>
        <v>20</v>
      </c>
    </row>
    <row r="24" spans="1:29" x14ac:dyDescent="0.25">
      <c r="A24" s="128">
        <f>IF('Avaliação Períodos'!A25=0,"",'Avaliação Períodos'!A25)</f>
        <v>17</v>
      </c>
      <c r="B24" s="410" t="str">
        <f>IF('Avaliação Períodos'!B25=0,"",'Avaliação Períodos'!B25)</f>
        <v>Leonor Gomes</v>
      </c>
      <c r="C24" s="411"/>
      <c r="D24" s="411"/>
      <c r="E24" s="411"/>
      <c r="F24" s="411"/>
      <c r="G24" s="434"/>
      <c r="H24" s="293">
        <v>10</v>
      </c>
      <c r="I24" s="281">
        <v>10</v>
      </c>
      <c r="J24" s="281">
        <v>10</v>
      </c>
      <c r="K24" s="281">
        <v>10</v>
      </c>
      <c r="L24" s="281">
        <v>10</v>
      </c>
      <c r="M24" s="281">
        <v>10</v>
      </c>
      <c r="N24" s="281">
        <v>0</v>
      </c>
      <c r="O24" s="281">
        <v>10</v>
      </c>
      <c r="P24" s="290">
        <v>20</v>
      </c>
      <c r="Q24" s="303"/>
      <c r="R24" s="46">
        <f t="shared" si="0"/>
        <v>90</v>
      </c>
      <c r="S24" s="293"/>
      <c r="T24" s="290"/>
      <c r="U24" s="290"/>
      <c r="V24" s="290"/>
      <c r="W24" s="290"/>
      <c r="X24" s="290"/>
      <c r="Y24" s="290"/>
      <c r="Z24" s="290"/>
      <c r="AA24" s="290"/>
      <c r="AB24" s="290">
        <v>80</v>
      </c>
      <c r="AC24" s="39">
        <f t="shared" si="1"/>
        <v>80</v>
      </c>
    </row>
    <row r="25" spans="1:29" x14ac:dyDescent="0.25">
      <c r="A25" s="129">
        <f>IF('Avaliação Períodos'!A26=0,"",'Avaliação Períodos'!A26)</f>
        <v>18</v>
      </c>
      <c r="B25" s="429" t="str">
        <f>IF('Avaliação Períodos'!B26=0,"",'Avaliação Períodos'!B26)</f>
        <v>Martim Santos</v>
      </c>
      <c r="C25" s="430"/>
      <c r="D25" s="430"/>
      <c r="E25" s="430"/>
      <c r="F25" s="430"/>
      <c r="G25" s="431"/>
      <c r="H25" s="301">
        <v>10</v>
      </c>
      <c r="I25" s="280">
        <v>10</v>
      </c>
      <c r="J25" s="280">
        <v>10</v>
      </c>
      <c r="K25" s="280">
        <v>10</v>
      </c>
      <c r="L25" s="280">
        <v>0</v>
      </c>
      <c r="M25" s="280">
        <v>10</v>
      </c>
      <c r="N25" s="280">
        <v>0</v>
      </c>
      <c r="O25" s="280">
        <v>10</v>
      </c>
      <c r="P25" s="288">
        <v>0</v>
      </c>
      <c r="Q25" s="302"/>
      <c r="R25" s="46">
        <f t="shared" si="0"/>
        <v>60</v>
      </c>
      <c r="S25" s="287"/>
      <c r="T25" s="288"/>
      <c r="U25" s="288"/>
      <c r="V25" s="288"/>
      <c r="W25" s="288"/>
      <c r="X25" s="288"/>
      <c r="Y25" s="288"/>
      <c r="Z25" s="288"/>
      <c r="AA25" s="288"/>
      <c r="AB25" s="288">
        <v>0</v>
      </c>
      <c r="AC25" s="39">
        <f t="shared" si="1"/>
        <v>0</v>
      </c>
    </row>
    <row r="26" spans="1:29" x14ac:dyDescent="0.25">
      <c r="A26" s="128">
        <f>IF('Avaliação Períodos'!A27=0,"",'Avaliação Períodos'!A27)</f>
        <v>19</v>
      </c>
      <c r="B26" s="410" t="str">
        <f>IF('Avaliação Períodos'!B27=0,"",'Avaliação Períodos'!B27)</f>
        <v>Nikole Lage</v>
      </c>
      <c r="C26" s="411"/>
      <c r="D26" s="411"/>
      <c r="E26" s="411"/>
      <c r="F26" s="411"/>
      <c r="G26" s="434"/>
      <c r="H26" s="293">
        <v>0</v>
      </c>
      <c r="I26" s="281">
        <v>10</v>
      </c>
      <c r="J26" s="281">
        <v>10</v>
      </c>
      <c r="K26" s="281">
        <v>0</v>
      </c>
      <c r="L26" s="281">
        <v>0</v>
      </c>
      <c r="M26" s="281">
        <v>0</v>
      </c>
      <c r="N26" s="281">
        <v>0</v>
      </c>
      <c r="O26" s="281">
        <v>10</v>
      </c>
      <c r="P26" s="290">
        <v>0</v>
      </c>
      <c r="Q26" s="303"/>
      <c r="R26" s="46">
        <f t="shared" si="0"/>
        <v>30</v>
      </c>
      <c r="S26" s="293"/>
      <c r="T26" s="290"/>
      <c r="U26" s="290"/>
      <c r="V26" s="290"/>
      <c r="W26" s="290"/>
      <c r="X26" s="290"/>
      <c r="Y26" s="290"/>
      <c r="Z26" s="290"/>
      <c r="AA26" s="290"/>
      <c r="AB26" s="290">
        <v>0</v>
      </c>
      <c r="AC26" s="39">
        <f t="shared" si="1"/>
        <v>0</v>
      </c>
    </row>
    <row r="27" spans="1:29" x14ac:dyDescent="0.25">
      <c r="A27" s="129">
        <f>IF('Avaliação Períodos'!A28=0,"",'Avaliação Períodos'!A28)</f>
        <v>20</v>
      </c>
      <c r="B27" s="429" t="str">
        <f>IF('Avaliação Períodos'!B28=0,"",'Avaliação Períodos'!B28)</f>
        <v>Tatiana Gomes</v>
      </c>
      <c r="C27" s="430"/>
      <c r="D27" s="430"/>
      <c r="E27" s="430"/>
      <c r="F27" s="430"/>
      <c r="G27" s="431"/>
      <c r="H27" s="301">
        <v>10</v>
      </c>
      <c r="I27" s="280">
        <v>10</v>
      </c>
      <c r="J27" s="280">
        <v>0</v>
      </c>
      <c r="K27" s="280">
        <v>10</v>
      </c>
      <c r="L27" s="280">
        <v>10</v>
      </c>
      <c r="M27" s="280">
        <v>10</v>
      </c>
      <c r="N27" s="280">
        <v>0</v>
      </c>
      <c r="O27" s="280">
        <v>10</v>
      </c>
      <c r="P27" s="288">
        <v>0</v>
      </c>
      <c r="Q27" s="302"/>
      <c r="R27" s="46">
        <f t="shared" si="0"/>
        <v>60</v>
      </c>
      <c r="S27" s="287"/>
      <c r="T27" s="288"/>
      <c r="U27" s="288"/>
      <c r="V27" s="288"/>
      <c r="W27" s="288"/>
      <c r="X27" s="288"/>
      <c r="Y27" s="288"/>
      <c r="Z27" s="288"/>
      <c r="AA27" s="288"/>
      <c r="AB27" s="288">
        <v>40</v>
      </c>
      <c r="AC27" s="39">
        <f t="shared" si="1"/>
        <v>40</v>
      </c>
    </row>
    <row r="28" spans="1:29" x14ac:dyDescent="0.25">
      <c r="A28" s="128">
        <f>IF('Avaliação Períodos'!A29=0,"",'Avaliação Períodos'!A29)</f>
        <v>21</v>
      </c>
      <c r="B28" s="410" t="str">
        <f>IF('Avaliação Períodos'!B29=0,"",'Avaliação Períodos'!B29)</f>
        <v>Manuel Ascenso</v>
      </c>
      <c r="C28" s="411"/>
      <c r="D28" s="411"/>
      <c r="E28" s="411"/>
      <c r="F28" s="411"/>
      <c r="G28" s="434"/>
      <c r="H28" s="293">
        <v>10</v>
      </c>
      <c r="I28" s="281">
        <v>10</v>
      </c>
      <c r="J28" s="281">
        <v>10</v>
      </c>
      <c r="K28" s="281">
        <v>10</v>
      </c>
      <c r="L28" s="281">
        <v>10</v>
      </c>
      <c r="M28" s="281">
        <v>10</v>
      </c>
      <c r="N28" s="281">
        <v>10</v>
      </c>
      <c r="O28" s="281">
        <v>10</v>
      </c>
      <c r="P28" s="290">
        <v>20</v>
      </c>
      <c r="Q28" s="303"/>
      <c r="R28" s="46">
        <f t="shared" si="0"/>
        <v>100</v>
      </c>
      <c r="S28" s="293"/>
      <c r="T28" s="290"/>
      <c r="U28" s="290"/>
      <c r="V28" s="290"/>
      <c r="W28" s="290"/>
      <c r="X28" s="290"/>
      <c r="Y28" s="290"/>
      <c r="Z28" s="290"/>
      <c r="AA28" s="290"/>
      <c r="AB28" s="290">
        <v>100</v>
      </c>
      <c r="AC28" s="39">
        <f t="shared" si="1"/>
        <v>100</v>
      </c>
    </row>
    <row r="29" spans="1:29" x14ac:dyDescent="0.25">
      <c r="A29" s="129" t="str">
        <f>IF('Avaliação Períodos'!A30=0,"",'Avaliação Períodos'!A30)</f>
        <v/>
      </c>
      <c r="B29" s="429" t="str">
        <f>IF('Avaliação Períodos'!B30=0,"",'Avaliação Períodos'!B30)</f>
        <v>Ana Ramos</v>
      </c>
      <c r="C29" s="430"/>
      <c r="D29" s="430"/>
      <c r="E29" s="430"/>
      <c r="F29" s="430"/>
      <c r="G29" s="431"/>
      <c r="H29" s="301"/>
      <c r="I29" s="280"/>
      <c r="J29" s="280"/>
      <c r="K29" s="280"/>
      <c r="L29" s="280"/>
      <c r="M29" s="280"/>
      <c r="N29" s="280"/>
      <c r="O29" s="280"/>
      <c r="P29" s="295"/>
      <c r="Q29" s="304"/>
      <c r="R29" s="46">
        <v>0</v>
      </c>
      <c r="S29" s="294"/>
      <c r="T29" s="295"/>
      <c r="U29" s="295"/>
      <c r="V29" s="295"/>
      <c r="W29" s="295"/>
      <c r="X29" s="295"/>
      <c r="Y29" s="295"/>
      <c r="Z29" s="295"/>
      <c r="AA29" s="295"/>
      <c r="AB29" s="295">
        <v>0</v>
      </c>
      <c r="AC29" s="39">
        <f t="shared" si="1"/>
        <v>0</v>
      </c>
    </row>
    <row r="30" spans="1:29" x14ac:dyDescent="0.25">
      <c r="A30" s="128" t="str">
        <f>IF('Avaliação Períodos'!A31=0,"",'Avaliação Períodos'!A31)</f>
        <v/>
      </c>
      <c r="B30" s="410" t="str">
        <f>IF('Avaliação Períodos'!B31=0,"",'Avaliação Períodos'!B31)</f>
        <v/>
      </c>
      <c r="C30" s="411"/>
      <c r="D30" s="411"/>
      <c r="E30" s="411"/>
      <c r="F30" s="411"/>
      <c r="G30" s="434"/>
      <c r="H30" s="293"/>
      <c r="I30" s="281"/>
      <c r="J30" s="281"/>
      <c r="K30" s="281"/>
      <c r="L30" s="281"/>
      <c r="M30" s="281"/>
      <c r="N30" s="281"/>
      <c r="O30" s="281"/>
      <c r="P30" s="290"/>
      <c r="Q30" s="303"/>
      <c r="R30" s="46" t="str">
        <f t="shared" si="0"/>
        <v/>
      </c>
      <c r="S30" s="293"/>
      <c r="T30" s="290"/>
      <c r="U30" s="290"/>
      <c r="V30" s="290"/>
      <c r="W30" s="290"/>
      <c r="X30" s="290"/>
      <c r="Y30" s="290"/>
      <c r="Z30" s="290"/>
      <c r="AA30" s="290"/>
      <c r="AB30" s="290"/>
      <c r="AC30" s="39" t="str">
        <f t="shared" si="1"/>
        <v/>
      </c>
    </row>
    <row r="31" spans="1:29" x14ac:dyDescent="0.25">
      <c r="A31" s="129" t="str">
        <f>IF('Avaliação Períodos'!A32=0,"",'Avaliação Períodos'!A32)</f>
        <v/>
      </c>
      <c r="B31" s="429" t="str">
        <f>IF('Avaliação Períodos'!B32=0,"",'Avaliação Períodos'!B32)</f>
        <v/>
      </c>
      <c r="C31" s="430"/>
      <c r="D31" s="430"/>
      <c r="E31" s="430"/>
      <c r="F31" s="430"/>
      <c r="G31" s="431"/>
      <c r="H31" s="301"/>
      <c r="I31" s="280"/>
      <c r="J31" s="280"/>
      <c r="K31" s="280"/>
      <c r="L31" s="280"/>
      <c r="M31" s="280"/>
      <c r="N31" s="280"/>
      <c r="O31" s="280"/>
      <c r="P31" s="288"/>
      <c r="Q31" s="302"/>
      <c r="R31" s="46" t="str">
        <f t="shared" si="0"/>
        <v/>
      </c>
      <c r="S31" s="287"/>
      <c r="T31" s="288"/>
      <c r="U31" s="288"/>
      <c r="V31" s="288"/>
      <c r="W31" s="288"/>
      <c r="X31" s="288"/>
      <c r="Y31" s="288"/>
      <c r="Z31" s="288"/>
      <c r="AA31" s="288"/>
      <c r="AB31" s="288"/>
      <c r="AC31" s="39" t="str">
        <f t="shared" si="1"/>
        <v/>
      </c>
    </row>
    <row r="32" spans="1:29" x14ac:dyDescent="0.25">
      <c r="A32" s="128" t="str">
        <f>IF('Avaliação Períodos'!A33=0,"",'Avaliação Períodos'!A33)</f>
        <v/>
      </c>
      <c r="B32" s="410" t="str">
        <f>IF('Avaliação Períodos'!B33=0,"",'Avaliação Períodos'!B33)</f>
        <v/>
      </c>
      <c r="C32" s="411"/>
      <c r="D32" s="411"/>
      <c r="E32" s="411"/>
      <c r="F32" s="411"/>
      <c r="G32" s="434"/>
      <c r="H32" s="293"/>
      <c r="I32" s="281"/>
      <c r="J32" s="281"/>
      <c r="K32" s="281"/>
      <c r="L32" s="281"/>
      <c r="M32" s="281"/>
      <c r="N32" s="281"/>
      <c r="O32" s="281"/>
      <c r="P32" s="290"/>
      <c r="Q32" s="303"/>
      <c r="R32" s="46" t="str">
        <f t="shared" si="0"/>
        <v/>
      </c>
      <c r="S32" s="293"/>
      <c r="T32" s="290"/>
      <c r="U32" s="290"/>
      <c r="V32" s="290"/>
      <c r="W32" s="290"/>
      <c r="X32" s="290"/>
      <c r="Y32" s="290"/>
      <c r="Z32" s="290"/>
      <c r="AA32" s="290"/>
      <c r="AB32" s="290"/>
      <c r="AC32" s="39" t="str">
        <f t="shared" si="1"/>
        <v/>
      </c>
    </row>
    <row r="33" spans="1:29" x14ac:dyDescent="0.25">
      <c r="A33" s="129" t="str">
        <f>IF('Avaliação Períodos'!A34=0,"",'Avaliação Períodos'!A34)</f>
        <v/>
      </c>
      <c r="B33" s="429" t="str">
        <f>IF('Avaliação Períodos'!B34=0,"",'Avaliação Períodos'!B34)</f>
        <v/>
      </c>
      <c r="C33" s="430"/>
      <c r="D33" s="430"/>
      <c r="E33" s="430"/>
      <c r="F33" s="430"/>
      <c r="G33" s="431"/>
      <c r="H33" s="301"/>
      <c r="I33" s="280"/>
      <c r="J33" s="280"/>
      <c r="K33" s="280"/>
      <c r="L33" s="280"/>
      <c r="M33" s="280"/>
      <c r="N33" s="280"/>
      <c r="O33" s="280"/>
      <c r="P33" s="288"/>
      <c r="Q33" s="302"/>
      <c r="R33" s="46" t="str">
        <f t="shared" si="0"/>
        <v/>
      </c>
      <c r="S33" s="287"/>
      <c r="T33" s="288"/>
      <c r="U33" s="288"/>
      <c r="V33" s="288"/>
      <c r="W33" s="288"/>
      <c r="X33" s="288"/>
      <c r="Y33" s="288"/>
      <c r="Z33" s="288"/>
      <c r="AA33" s="288"/>
      <c r="AB33" s="288"/>
      <c r="AC33" s="39" t="str">
        <f t="shared" si="1"/>
        <v/>
      </c>
    </row>
    <row r="34" spans="1:29" x14ac:dyDescent="0.25">
      <c r="A34" s="128" t="str">
        <f>IF('Avaliação Períodos'!A35=0,"",'Avaliação Períodos'!A35)</f>
        <v/>
      </c>
      <c r="B34" s="410" t="str">
        <f>IF('Avaliação Períodos'!B35=0,"",'Avaliação Períodos'!B35)</f>
        <v/>
      </c>
      <c r="C34" s="411"/>
      <c r="D34" s="411"/>
      <c r="E34" s="411"/>
      <c r="F34" s="411"/>
      <c r="G34" s="434"/>
      <c r="H34" s="305"/>
      <c r="I34" s="281"/>
      <c r="J34" s="281"/>
      <c r="K34" s="281"/>
      <c r="L34" s="281"/>
      <c r="M34" s="281"/>
      <c r="N34" s="281"/>
      <c r="O34" s="281"/>
      <c r="P34" s="290"/>
      <c r="Q34" s="303"/>
      <c r="R34" s="46" t="str">
        <f t="shared" si="0"/>
        <v/>
      </c>
      <c r="S34" s="293"/>
      <c r="T34" s="290"/>
      <c r="U34" s="290"/>
      <c r="V34" s="290"/>
      <c r="W34" s="290"/>
      <c r="X34" s="290"/>
      <c r="Y34" s="290"/>
      <c r="Z34" s="290"/>
      <c r="AA34" s="290"/>
      <c r="AB34" s="290"/>
      <c r="AC34" s="39" t="str">
        <f t="shared" si="1"/>
        <v/>
      </c>
    </row>
    <row r="35" spans="1:29" x14ac:dyDescent="0.25">
      <c r="A35" s="129" t="str">
        <f>IF('Avaliação Períodos'!A36=0,"",'Avaliação Períodos'!A36)</f>
        <v/>
      </c>
      <c r="B35" s="429" t="str">
        <f>IF('Avaliação Períodos'!B36=0,"",'Avaliação Períodos'!B36)</f>
        <v/>
      </c>
      <c r="C35" s="430"/>
      <c r="D35" s="430"/>
      <c r="E35" s="430"/>
      <c r="F35" s="430"/>
      <c r="G35" s="431"/>
      <c r="H35" s="282"/>
      <c r="I35" s="280"/>
      <c r="J35" s="280"/>
      <c r="K35" s="280"/>
      <c r="L35" s="280"/>
      <c r="M35" s="280"/>
      <c r="N35" s="280"/>
      <c r="O35" s="280"/>
      <c r="P35" s="288"/>
      <c r="Q35" s="302"/>
      <c r="R35" s="46" t="str">
        <f t="shared" si="0"/>
        <v/>
      </c>
      <c r="S35" s="287"/>
      <c r="T35" s="288"/>
      <c r="U35" s="288"/>
      <c r="V35" s="288"/>
      <c r="W35" s="288"/>
      <c r="X35" s="288"/>
      <c r="Y35" s="288"/>
      <c r="Z35" s="288"/>
      <c r="AA35" s="288"/>
      <c r="AB35" s="288"/>
      <c r="AC35" s="39" t="str">
        <f t="shared" si="1"/>
        <v/>
      </c>
    </row>
    <row r="36" spans="1:29" x14ac:dyDescent="0.25">
      <c r="A36" s="130" t="str">
        <f>IF('Avaliação Períodos'!A37=0,"",'Avaliação Períodos'!A37)</f>
        <v/>
      </c>
      <c r="B36" s="410" t="str">
        <f>IF('Avaliação Períodos'!B37=0,"",'Avaliação Períodos'!B37)</f>
        <v/>
      </c>
      <c r="C36" s="411"/>
      <c r="D36" s="411"/>
      <c r="E36" s="411"/>
      <c r="F36" s="411"/>
      <c r="G36" s="434"/>
      <c r="H36" s="305"/>
      <c r="I36" s="281"/>
      <c r="J36" s="281"/>
      <c r="K36" s="281"/>
      <c r="L36" s="281"/>
      <c r="M36" s="281"/>
      <c r="N36" s="281"/>
      <c r="O36" s="281"/>
      <c r="P36" s="290"/>
      <c r="Q36" s="303"/>
      <c r="R36" s="46" t="str">
        <f t="shared" si="0"/>
        <v/>
      </c>
      <c r="S36" s="293"/>
      <c r="T36" s="290"/>
      <c r="U36" s="290"/>
      <c r="V36" s="290"/>
      <c r="W36" s="290"/>
      <c r="X36" s="290"/>
      <c r="Y36" s="290"/>
      <c r="Z36" s="290"/>
      <c r="AA36" s="290"/>
      <c r="AB36" s="290"/>
      <c r="AC36" s="39" t="str">
        <f t="shared" si="1"/>
        <v/>
      </c>
    </row>
    <row r="37" spans="1:29" x14ac:dyDescent="0.25">
      <c r="A37" s="131" t="str">
        <f>IF('Avaliação Períodos'!A38=0,"",'Avaliação Períodos'!A38)</f>
        <v/>
      </c>
      <c r="B37" s="429" t="str">
        <f>IF('Avaliação Períodos'!B38=0,"",'Avaliação Períodos'!B38)</f>
        <v xml:space="preserve"> </v>
      </c>
      <c r="C37" s="430"/>
      <c r="D37" s="430"/>
      <c r="E37" s="430"/>
      <c r="F37" s="430"/>
      <c r="G37" s="431"/>
      <c r="H37" s="283"/>
      <c r="I37" s="284"/>
      <c r="J37" s="284"/>
      <c r="K37" s="284"/>
      <c r="L37" s="284"/>
      <c r="M37" s="284"/>
      <c r="N37" s="284"/>
      <c r="O37" s="284"/>
      <c r="P37" s="297"/>
      <c r="Q37" s="306"/>
      <c r="R37" s="67" t="str">
        <f t="shared" si="0"/>
        <v/>
      </c>
      <c r="S37" s="296"/>
      <c r="T37" s="297"/>
      <c r="U37" s="297"/>
      <c r="V37" s="297"/>
      <c r="W37" s="297"/>
      <c r="X37" s="297"/>
      <c r="Y37" s="297"/>
      <c r="Z37" s="297"/>
      <c r="AA37" s="297"/>
      <c r="AB37" s="297"/>
      <c r="AC37" s="39" t="str">
        <f t="shared" si="1"/>
        <v/>
      </c>
    </row>
    <row r="38" spans="1:2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435" t="s">
        <v>53</v>
      </c>
      <c r="P38" s="436"/>
      <c r="Q38" s="437"/>
      <c r="R38" s="183">
        <f>IF(COUNT(R8:R37)=0,"",AVERAGE(R8:R37))</f>
        <v>52.727272727272727</v>
      </c>
      <c r="S38" s="47"/>
      <c r="T38" s="47"/>
      <c r="U38" s="56"/>
      <c r="V38" s="47"/>
      <c r="W38" s="47"/>
      <c r="X38" s="47"/>
      <c r="Y38" s="47"/>
      <c r="Z38" s="435" t="s">
        <v>53</v>
      </c>
      <c r="AA38" s="436"/>
      <c r="AB38" s="437"/>
      <c r="AC38" s="155">
        <f>IF(COUNT(AC8:AC37)=0,"",AVERAGE(AC8:AC37))</f>
        <v>44.545454545454547</v>
      </c>
    </row>
    <row r="39" spans="1:2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435" t="s">
        <v>54</v>
      </c>
      <c r="P39" s="436"/>
      <c r="Q39" s="437"/>
      <c r="R39" s="156">
        <f>COUNTIF(R8:R37,"&lt;50")</f>
        <v>8</v>
      </c>
      <c r="S39" s="48"/>
      <c r="T39" s="48"/>
      <c r="U39" s="48"/>
      <c r="V39" s="48"/>
      <c r="W39" s="48"/>
      <c r="X39" s="48"/>
      <c r="Y39" s="48"/>
      <c r="Z39" s="435" t="s">
        <v>54</v>
      </c>
      <c r="AA39" s="436"/>
      <c r="AB39" s="437"/>
      <c r="AC39" s="156">
        <f>COUNTIF(AC8:AC37,"&lt;50")</f>
        <v>14</v>
      </c>
    </row>
    <row r="40" spans="1:2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435" t="s">
        <v>55</v>
      </c>
      <c r="P40" s="436"/>
      <c r="Q40" s="437"/>
      <c r="R40" s="157">
        <f>IF(COUNT(R8:R37)=0,"",R39/(COUNT(R8:R37))*100)</f>
        <v>36.363636363636367</v>
      </c>
      <c r="S40" s="49"/>
      <c r="T40" s="49"/>
      <c r="U40" s="49"/>
      <c r="V40" s="49"/>
      <c r="W40" s="49"/>
      <c r="X40" s="49"/>
      <c r="Y40" s="49"/>
      <c r="Z40" s="435" t="s">
        <v>55</v>
      </c>
      <c r="AA40" s="436"/>
      <c r="AB40" s="437"/>
      <c r="AC40" s="157">
        <f>IF(COUNT(AC8:AC37)=0,"",AC39/(COUNT(AC8:AC37))*100)</f>
        <v>63.636363636363633</v>
      </c>
    </row>
  </sheetData>
  <sheetProtection algorithmName="SHA-512" hashValue="bK6XVHAe+T9U7EM7PgKtFoYokWnZZaBkuy3/ru8io8UNKvx30uoCR+VfFcCYldQs2N+QA6iwwyeMe6oCfHDsdg==" saltValue="Cayl1EULfHJHaoAsbBrZeg==" spinCount="100000" sheet="1" objects="1" scenarios="1"/>
  <mergeCells count="44">
    <mergeCell ref="Z40:AB40"/>
    <mergeCell ref="O38:Q38"/>
    <mergeCell ref="O39:Q39"/>
    <mergeCell ref="O40:Q40"/>
    <mergeCell ref="Z38:AB38"/>
    <mergeCell ref="Z39:AB39"/>
    <mergeCell ref="B36:G36"/>
    <mergeCell ref="B30:G30"/>
    <mergeCell ref="B19:G19"/>
    <mergeCell ref="B20:G20"/>
    <mergeCell ref="B21:G21"/>
    <mergeCell ref="B31:G31"/>
    <mergeCell ref="B32:G32"/>
    <mergeCell ref="B33:G33"/>
    <mergeCell ref="B34:G34"/>
    <mergeCell ref="B35:G35"/>
    <mergeCell ref="B24:G24"/>
    <mergeCell ref="B25:G25"/>
    <mergeCell ref="B26:G26"/>
    <mergeCell ref="B37:G37"/>
    <mergeCell ref="B8:G8"/>
    <mergeCell ref="B9:G9"/>
    <mergeCell ref="B10:G10"/>
    <mergeCell ref="B11:G11"/>
    <mergeCell ref="B12:G12"/>
    <mergeCell ref="B27:G27"/>
    <mergeCell ref="B28:G28"/>
    <mergeCell ref="B29:G29"/>
    <mergeCell ref="B13:G13"/>
    <mergeCell ref="B14:G14"/>
    <mergeCell ref="B15:G15"/>
    <mergeCell ref="B16:G16"/>
    <mergeCell ref="B17:G17"/>
    <mergeCell ref="B22:G22"/>
    <mergeCell ref="B23:G23"/>
    <mergeCell ref="B18:G18"/>
    <mergeCell ref="B7:G7"/>
    <mergeCell ref="H3:AC3"/>
    <mergeCell ref="A4:G5"/>
    <mergeCell ref="H4:Q5"/>
    <mergeCell ref="R4:R6"/>
    <mergeCell ref="S4:AB5"/>
    <mergeCell ref="AC4:AC6"/>
    <mergeCell ref="A6:G6"/>
  </mergeCells>
  <dataValidations count="5">
    <dataValidation type="decimal" operator="lessThanOrEqual" allowBlank="1" showErrorMessage="1" errorTitle="Erro." error="Ultrapassou cotação máxima." sqref="S8:AB37" xr:uid="{00000000-0002-0000-0100-000000000000}">
      <formula1>S$7</formula1>
    </dataValidation>
    <dataValidation type="decimal" operator="lessThan" allowBlank="1" showInputMessage="1" showErrorMessage="1" sqref="AC8:AC37" xr:uid="{00000000-0002-0000-0100-000001000000}">
      <formula1>AC$7</formula1>
    </dataValidation>
    <dataValidation type="decimal" operator="lessThanOrEqual" allowBlank="1" showInputMessage="1" showErrorMessage="1" errorTitle="ERRO!" error="A pergunta não vale tanto!..." sqref="R8:R37" xr:uid="{00000000-0002-0000-0100-000002000000}">
      <formula1>R$7</formula1>
    </dataValidation>
    <dataValidation type="decimal" operator="lessThanOrEqual" allowBlank="1" showInputMessage="1" showErrorMessage="1" errorTitle="Erro." error="Ultrapassou cotação máxima." sqref="H8:Q37" xr:uid="{00000000-0002-0000-0100-000003000000}">
      <formula1>H$7</formula1>
    </dataValidation>
    <dataValidation type="decimal" operator="lessThanOrEqual" allowBlank="1" showErrorMessage="1" errorTitle="ERRO!" error="A pergunta não vale tanto!" sqref="Q6" xr:uid="{00000000-0002-0000-0100-000004000000}">
      <formula1>Q$7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C41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R46" sqref="R46"/>
    </sheetView>
  </sheetViews>
  <sheetFormatPr defaultRowHeight="15" x14ac:dyDescent="0.25"/>
  <cols>
    <col min="1" max="1" width="7" style="81" customWidth="1"/>
    <col min="2" max="2" width="2.42578125" style="81" customWidth="1"/>
    <col min="3" max="3" width="9.140625" style="81" hidden="1" customWidth="1"/>
    <col min="4" max="4" width="1.5703125" style="81" customWidth="1"/>
    <col min="5" max="5" width="7.5703125" style="81" customWidth="1"/>
    <col min="6" max="6" width="5.140625" style="81" customWidth="1"/>
    <col min="7" max="7" width="5" style="81" customWidth="1"/>
    <col min="8" max="12" width="9.140625" style="81" customWidth="1"/>
    <col min="13" max="13" width="9.42578125" style="81" customWidth="1"/>
    <col min="14" max="15" width="9.85546875" style="81" customWidth="1"/>
    <col min="16" max="21" width="9.140625" style="81"/>
    <col min="22" max="23" width="10.28515625" style="81" customWidth="1"/>
    <col min="24" max="16384" width="9.140625" style="81"/>
  </cols>
  <sheetData>
    <row r="1" spans="1:29" ht="27" x14ac:dyDescent="0.25">
      <c r="A1" s="1" t="s">
        <v>22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9" ht="27" x14ac:dyDescent="0.25">
      <c r="A2" s="4" t="s">
        <v>2</v>
      </c>
      <c r="B2" s="1"/>
      <c r="C2" s="1"/>
      <c r="D2" s="1"/>
      <c r="E2" s="1"/>
      <c r="F2" s="1"/>
      <c r="G2" s="1"/>
      <c r="H2" s="1"/>
      <c r="I2" s="1"/>
      <c r="J2" s="1"/>
      <c r="K2" s="1" t="s">
        <v>106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9" ht="20.25" customHeight="1" x14ac:dyDescent="0.3">
      <c r="A3" s="452"/>
      <c r="B3" s="453"/>
      <c r="C3" s="453"/>
      <c r="D3" s="453"/>
      <c r="E3" s="453"/>
      <c r="F3" s="453"/>
      <c r="G3" s="453"/>
      <c r="H3" s="455" t="s">
        <v>81</v>
      </c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6"/>
      <c r="X3" s="3"/>
      <c r="Y3" s="3"/>
      <c r="Z3" s="3"/>
    </row>
    <row r="4" spans="1:29" ht="15.75" customHeight="1" x14ac:dyDescent="0.25">
      <c r="A4" s="7"/>
      <c r="B4" s="8"/>
      <c r="C4" s="8"/>
      <c r="D4" s="418"/>
      <c r="E4" s="418"/>
      <c r="F4" s="418"/>
      <c r="G4" s="419"/>
      <c r="H4" s="420" t="s">
        <v>121</v>
      </c>
      <c r="I4" s="421"/>
      <c r="J4" s="421"/>
      <c r="K4" s="421"/>
      <c r="L4" s="421"/>
      <c r="M4" s="421"/>
      <c r="N4" s="421"/>
      <c r="O4" s="440"/>
      <c r="P4" s="420" t="s">
        <v>120</v>
      </c>
      <c r="Q4" s="421"/>
      <c r="R4" s="421"/>
      <c r="S4" s="421"/>
      <c r="T4" s="421"/>
      <c r="U4" s="421"/>
      <c r="V4" s="421"/>
      <c r="W4" s="440"/>
      <c r="X4" s="6"/>
      <c r="Y4" s="6"/>
      <c r="Z4" s="6"/>
      <c r="AA4" s="6"/>
      <c r="AB4" s="6"/>
      <c r="AC4" s="2"/>
    </row>
    <row r="5" spans="1:29" ht="15.75" customHeight="1" x14ac:dyDescent="0.25">
      <c r="A5" s="7"/>
      <c r="B5" s="8"/>
      <c r="C5" s="8"/>
      <c r="D5" s="418"/>
      <c r="E5" s="418"/>
      <c r="F5" s="418"/>
      <c r="G5" s="419"/>
      <c r="H5" s="454"/>
      <c r="I5" s="441"/>
      <c r="J5" s="441"/>
      <c r="K5" s="441"/>
      <c r="L5" s="441"/>
      <c r="M5" s="441"/>
      <c r="N5" s="441"/>
      <c r="O5" s="442"/>
      <c r="P5" s="454"/>
      <c r="Q5" s="441"/>
      <c r="R5" s="441"/>
      <c r="S5" s="441"/>
      <c r="T5" s="441"/>
      <c r="U5" s="441"/>
      <c r="V5" s="441"/>
      <c r="W5" s="442"/>
      <c r="X5" s="6"/>
      <c r="Y5" s="6"/>
      <c r="Z5" s="6"/>
      <c r="AA5" s="6"/>
      <c r="AB5" s="6"/>
      <c r="AC5" s="2"/>
    </row>
    <row r="6" spans="1:29" ht="28.5" customHeight="1" x14ac:dyDescent="0.25">
      <c r="A6" s="9"/>
      <c r="B6" s="42"/>
      <c r="C6" s="42"/>
      <c r="D6" s="456" t="s">
        <v>26</v>
      </c>
      <c r="E6" s="456"/>
      <c r="F6" s="456"/>
      <c r="G6" s="419"/>
      <c r="H6" s="180">
        <v>1</v>
      </c>
      <c r="I6" s="181"/>
      <c r="J6" s="181"/>
      <c r="K6" s="181"/>
      <c r="L6" s="181"/>
      <c r="M6" s="182"/>
      <c r="N6" s="70" t="s">
        <v>78</v>
      </c>
      <c r="O6" s="70" t="s">
        <v>79</v>
      </c>
      <c r="P6" s="71">
        <v>1</v>
      </c>
      <c r="Q6" s="68"/>
      <c r="R6" s="68"/>
      <c r="S6" s="68"/>
      <c r="T6" s="68"/>
      <c r="U6" s="69"/>
      <c r="V6" s="70" t="s">
        <v>78</v>
      </c>
      <c r="W6" s="70" t="s">
        <v>79</v>
      </c>
      <c r="X6" s="438"/>
      <c r="Y6" s="438"/>
      <c r="Z6" s="76"/>
      <c r="AA6" s="10"/>
      <c r="AB6" s="2"/>
    </row>
    <row r="7" spans="1:29" ht="28.5" customHeight="1" x14ac:dyDescent="0.25">
      <c r="A7" s="32" t="s">
        <v>8</v>
      </c>
      <c r="B7" s="412" t="s">
        <v>57</v>
      </c>
      <c r="C7" s="413"/>
      <c r="D7" s="413"/>
      <c r="E7" s="413"/>
      <c r="F7" s="413"/>
      <c r="G7" s="439"/>
      <c r="H7" s="62">
        <v>100</v>
      </c>
      <c r="I7" s="63"/>
      <c r="J7" s="63"/>
      <c r="K7" s="63"/>
      <c r="L7" s="63"/>
      <c r="M7" s="88"/>
      <c r="N7" s="93">
        <f>IF(OR(SUM(H7:M7)&gt;100,SUM(H7:M7)&lt;0),"",SUM(H7:M7))</f>
        <v>100</v>
      </c>
      <c r="O7" s="85">
        <v>100</v>
      </c>
      <c r="P7" s="62">
        <v>100</v>
      </c>
      <c r="Q7" s="63"/>
      <c r="R7" s="63"/>
      <c r="S7" s="63"/>
      <c r="T7" s="63"/>
      <c r="U7" s="63"/>
      <c r="V7" s="94">
        <f>IF(OR(SUM(P7:U7)&gt;100,SUM(P7:U7)&lt;0),"",SUM(P7:U7))</f>
        <v>100</v>
      </c>
      <c r="W7" s="64">
        <v>100</v>
      </c>
      <c r="AB7" s="2"/>
    </row>
    <row r="8" spans="1:29" ht="15" customHeight="1" x14ac:dyDescent="0.25">
      <c r="A8" s="128">
        <f>IF('Avaliação Períodos'!A9=0,"",'Avaliação Períodos'!A9)</f>
        <v>1</v>
      </c>
      <c r="B8" s="443" t="str">
        <f>IF('Avaliação Períodos'!B9=0,"",'Avaliação Períodos'!B9)</f>
        <v>Ademar Monforte</v>
      </c>
      <c r="C8" s="444"/>
      <c r="D8" s="444"/>
      <c r="E8" s="444"/>
      <c r="F8" s="444"/>
      <c r="G8" s="445"/>
      <c r="H8" s="184">
        <v>80</v>
      </c>
      <c r="I8" s="132"/>
      <c r="J8" s="132"/>
      <c r="K8" s="132"/>
      <c r="L8" s="133"/>
      <c r="M8" s="133"/>
      <c r="N8" s="13">
        <f>IF(COUNT(H8:M8)=0,"",SUM(H8:M8))</f>
        <v>80</v>
      </c>
      <c r="O8" s="90">
        <v>55</v>
      </c>
      <c r="P8" s="152"/>
      <c r="Q8" s="153"/>
      <c r="R8" s="153"/>
      <c r="S8" s="153"/>
      <c r="T8" s="153"/>
      <c r="U8" s="153">
        <v>70</v>
      </c>
      <c r="V8" s="13">
        <f>IF(COUNT(P8:U8)=0,"",SUM(P8:U8))</f>
        <v>70</v>
      </c>
      <c r="W8" s="92">
        <v>55</v>
      </c>
      <c r="AB8" s="2"/>
    </row>
    <row r="9" spans="1:29" ht="15" customHeight="1" x14ac:dyDescent="0.25">
      <c r="A9" s="129">
        <f>IF('Avaliação Períodos'!A10=0,"",'Avaliação Períodos'!A10)</f>
        <v>2</v>
      </c>
      <c r="B9" s="446" t="str">
        <f>IF('Avaliação Períodos'!B10=0,"",'Avaliação Períodos'!B10)</f>
        <v>Alexandre Simões</v>
      </c>
      <c r="C9" s="447"/>
      <c r="D9" s="447"/>
      <c r="E9" s="447"/>
      <c r="F9" s="447"/>
      <c r="G9" s="448"/>
      <c r="H9" s="134">
        <v>60</v>
      </c>
      <c r="I9" s="135"/>
      <c r="J9" s="135"/>
      <c r="K9" s="135"/>
      <c r="L9" s="136"/>
      <c r="M9" s="137"/>
      <c r="N9" s="13">
        <f>IF(COUNT(H9:M9)=0,"",SUM(H9:M9))</f>
        <v>60</v>
      </c>
      <c r="O9" s="90">
        <v>50</v>
      </c>
      <c r="P9" s="134"/>
      <c r="Q9" s="135"/>
      <c r="R9" s="135"/>
      <c r="S9" s="135"/>
      <c r="T9" s="135"/>
      <c r="U9" s="135">
        <v>70</v>
      </c>
      <c r="V9" s="13">
        <f>IF(COUNT(P9:U9)=0,"",SUM(P9:U9))</f>
        <v>70</v>
      </c>
      <c r="W9" s="92">
        <v>55</v>
      </c>
      <c r="AB9" s="2"/>
    </row>
    <row r="10" spans="1:29" ht="15" customHeight="1" x14ac:dyDescent="0.25">
      <c r="A10" s="128">
        <f>IF('Avaliação Períodos'!A11=0,"",'Avaliação Períodos'!A11)</f>
        <v>3</v>
      </c>
      <c r="B10" s="449" t="str">
        <f>IF('Avaliação Períodos'!B11=0,"",'Avaliação Períodos'!B11)</f>
        <v>Ana Inácio</v>
      </c>
      <c r="C10" s="450"/>
      <c r="D10" s="450"/>
      <c r="E10" s="450"/>
      <c r="F10" s="450"/>
      <c r="G10" s="451"/>
      <c r="H10" s="138">
        <v>90</v>
      </c>
      <c r="I10" s="139"/>
      <c r="J10" s="139"/>
      <c r="K10" s="139"/>
      <c r="L10" s="140"/>
      <c r="M10" s="140"/>
      <c r="N10" s="13">
        <f t="shared" ref="N10:N37" si="0">IF(COUNT(H10:M10)=0,"",SUM(H10:M10))</f>
        <v>90</v>
      </c>
      <c r="O10" s="90">
        <v>70</v>
      </c>
      <c r="P10" s="138"/>
      <c r="Q10" s="139"/>
      <c r="R10" s="139"/>
      <c r="S10" s="139"/>
      <c r="T10" s="139"/>
      <c r="U10" s="139">
        <v>56</v>
      </c>
      <c r="V10" s="13">
        <f t="shared" ref="V10:V37" si="1">IF(COUNT(P10:U10)=0,"",SUM(P10:U10))</f>
        <v>56</v>
      </c>
      <c r="W10" s="92">
        <v>70</v>
      </c>
      <c r="AB10" s="2"/>
    </row>
    <row r="11" spans="1:29" ht="15" customHeight="1" x14ac:dyDescent="0.25">
      <c r="A11" s="129">
        <f>IF('Avaliação Períodos'!A12=0,"",'Avaliação Períodos'!A12)</f>
        <v>4</v>
      </c>
      <c r="B11" s="446" t="str">
        <f>IF('Avaliação Períodos'!B12=0,"",'Avaliação Períodos'!B12)</f>
        <v>Ana Gomes</v>
      </c>
      <c r="C11" s="447"/>
      <c r="D11" s="447"/>
      <c r="E11" s="447"/>
      <c r="F11" s="447"/>
      <c r="G11" s="448"/>
      <c r="H11" s="141">
        <v>70</v>
      </c>
      <c r="I11" s="142"/>
      <c r="J11" s="142"/>
      <c r="K11" s="142"/>
      <c r="L11" s="143"/>
      <c r="M11" s="143"/>
      <c r="N11" s="13">
        <f t="shared" si="0"/>
        <v>70</v>
      </c>
      <c r="O11" s="90">
        <v>65</v>
      </c>
      <c r="P11" s="141"/>
      <c r="Q11" s="142"/>
      <c r="R11" s="142"/>
      <c r="S11" s="142"/>
      <c r="T11" s="142"/>
      <c r="U11" s="142">
        <v>56</v>
      </c>
      <c r="V11" s="13">
        <f t="shared" si="1"/>
        <v>56</v>
      </c>
      <c r="W11" s="92">
        <v>56</v>
      </c>
      <c r="AB11" s="2"/>
    </row>
    <row r="12" spans="1:29" ht="15" customHeight="1" x14ac:dyDescent="0.25">
      <c r="A12" s="128">
        <f>IF('Avaliação Períodos'!A13=0,"",'Avaliação Períodos'!A13)</f>
        <v>5</v>
      </c>
      <c r="B12" s="449" t="str">
        <f>IF('Avaliação Períodos'!B13=0,"",'Avaliação Períodos'!B13)</f>
        <v>Bruna Lemos</v>
      </c>
      <c r="C12" s="450"/>
      <c r="D12" s="450"/>
      <c r="E12" s="450"/>
      <c r="F12" s="450"/>
      <c r="G12" s="451"/>
      <c r="H12" s="138">
        <v>80</v>
      </c>
      <c r="I12" s="139"/>
      <c r="J12" s="139"/>
      <c r="K12" s="139"/>
      <c r="L12" s="140"/>
      <c r="M12" s="140"/>
      <c r="N12" s="13">
        <f t="shared" si="0"/>
        <v>80</v>
      </c>
      <c r="O12" s="90">
        <v>50</v>
      </c>
      <c r="P12" s="138"/>
      <c r="Q12" s="139"/>
      <c r="R12" s="139"/>
      <c r="S12" s="139"/>
      <c r="T12" s="139"/>
      <c r="U12" s="139">
        <v>14</v>
      </c>
      <c r="V12" s="13">
        <f t="shared" si="1"/>
        <v>14</v>
      </c>
      <c r="W12" s="92">
        <v>40</v>
      </c>
      <c r="AB12" s="2"/>
    </row>
    <row r="13" spans="1:29" ht="15" customHeight="1" x14ac:dyDescent="0.25">
      <c r="A13" s="129">
        <f>IF('Avaliação Períodos'!A14=0,"",'Avaliação Períodos'!A14)</f>
        <v>6</v>
      </c>
      <c r="B13" s="446" t="str">
        <f>IF('Avaliação Períodos'!B14=0,"",'Avaliação Períodos'!B14)</f>
        <v>Constança Abreu</v>
      </c>
      <c r="C13" s="447"/>
      <c r="D13" s="447"/>
      <c r="E13" s="447"/>
      <c r="F13" s="447"/>
      <c r="G13" s="448"/>
      <c r="H13" s="141">
        <v>90</v>
      </c>
      <c r="I13" s="142"/>
      <c r="J13" s="142"/>
      <c r="K13" s="142"/>
      <c r="L13" s="143"/>
      <c r="M13" s="143"/>
      <c r="N13" s="13">
        <f t="shared" si="0"/>
        <v>90</v>
      </c>
      <c r="O13" s="90">
        <v>80</v>
      </c>
      <c r="P13" s="141"/>
      <c r="Q13" s="142"/>
      <c r="R13" s="142"/>
      <c r="S13" s="142"/>
      <c r="T13" s="142"/>
      <c r="U13" s="142">
        <v>100</v>
      </c>
      <c r="V13" s="13">
        <f t="shared" si="1"/>
        <v>100</v>
      </c>
      <c r="W13" s="92">
        <v>75</v>
      </c>
      <c r="AB13" s="2"/>
    </row>
    <row r="14" spans="1:29" ht="15" customHeight="1" x14ac:dyDescent="0.25">
      <c r="A14" s="128">
        <f>IF('Avaliação Períodos'!A15=0,"",'Avaliação Períodos'!A15)</f>
        <v>7</v>
      </c>
      <c r="B14" s="449" t="str">
        <f>IF('Avaliação Períodos'!B15=0,"",'Avaliação Períodos'!B15)</f>
        <v>Cristiano Emídio</v>
      </c>
      <c r="C14" s="450"/>
      <c r="D14" s="450"/>
      <c r="E14" s="450"/>
      <c r="F14" s="450"/>
      <c r="G14" s="451"/>
      <c r="H14" s="138">
        <v>70</v>
      </c>
      <c r="I14" s="139"/>
      <c r="J14" s="139"/>
      <c r="K14" s="139"/>
      <c r="L14" s="140"/>
      <c r="M14" s="140"/>
      <c r="N14" s="13">
        <f t="shared" si="0"/>
        <v>70</v>
      </c>
      <c r="O14" s="90">
        <v>30</v>
      </c>
      <c r="P14" s="138"/>
      <c r="Q14" s="139"/>
      <c r="R14" s="139"/>
      <c r="S14" s="139"/>
      <c r="T14" s="139"/>
      <c r="U14" s="139">
        <v>1</v>
      </c>
      <c r="V14" s="13">
        <f t="shared" si="1"/>
        <v>1</v>
      </c>
      <c r="W14" s="92">
        <v>1</v>
      </c>
      <c r="AB14" s="2"/>
    </row>
    <row r="15" spans="1:29" ht="15" customHeight="1" x14ac:dyDescent="0.25">
      <c r="A15" s="129">
        <f>IF('Avaliação Períodos'!A16=0,"",'Avaliação Períodos'!A16)</f>
        <v>8</v>
      </c>
      <c r="B15" s="429" t="str">
        <f>IF('Avaliação Períodos'!B16=0,"",'Avaliação Períodos'!B16)</f>
        <v>Edgar Gonçalves</v>
      </c>
      <c r="C15" s="430"/>
      <c r="D15" s="430"/>
      <c r="E15" s="430"/>
      <c r="F15" s="430"/>
      <c r="G15" s="431"/>
      <c r="H15" s="141">
        <v>90</v>
      </c>
      <c r="I15" s="142"/>
      <c r="J15" s="144"/>
      <c r="K15" s="142"/>
      <c r="L15" s="143"/>
      <c r="M15" s="143"/>
      <c r="N15" s="13">
        <f t="shared" si="0"/>
        <v>90</v>
      </c>
      <c r="O15" s="90">
        <v>70</v>
      </c>
      <c r="P15" s="141"/>
      <c r="Q15" s="142"/>
      <c r="R15" s="144"/>
      <c r="S15" s="142"/>
      <c r="T15" s="142"/>
      <c r="U15" s="142">
        <v>100</v>
      </c>
      <c r="V15" s="13">
        <f t="shared" si="1"/>
        <v>100</v>
      </c>
      <c r="W15" s="92">
        <v>65</v>
      </c>
      <c r="AB15" s="2"/>
    </row>
    <row r="16" spans="1:29" ht="15" customHeight="1" x14ac:dyDescent="0.25">
      <c r="A16" s="128">
        <f>IF('Avaliação Períodos'!A17=0,"",'Avaliação Períodos'!A17)</f>
        <v>9</v>
      </c>
      <c r="B16" s="410" t="str">
        <f>IF('Avaliação Períodos'!B17=0,"",'Avaliação Períodos'!B17)</f>
        <v>Fábio Trino</v>
      </c>
      <c r="C16" s="411"/>
      <c r="D16" s="411"/>
      <c r="E16" s="411"/>
      <c r="F16" s="411"/>
      <c r="G16" s="434"/>
      <c r="H16" s="138">
        <v>80</v>
      </c>
      <c r="I16" s="139"/>
      <c r="J16" s="139"/>
      <c r="K16" s="139"/>
      <c r="L16" s="140"/>
      <c r="M16" s="140"/>
      <c r="N16" s="13">
        <f t="shared" si="0"/>
        <v>80</v>
      </c>
      <c r="O16" s="90">
        <v>80</v>
      </c>
      <c r="P16" s="138"/>
      <c r="Q16" s="139"/>
      <c r="R16" s="139"/>
      <c r="S16" s="139"/>
      <c r="T16" s="139"/>
      <c r="U16" s="139">
        <v>57</v>
      </c>
      <c r="V16" s="13">
        <f t="shared" si="1"/>
        <v>57</v>
      </c>
      <c r="W16" s="92">
        <v>55</v>
      </c>
      <c r="AB16" s="2"/>
    </row>
    <row r="17" spans="1:28" ht="15" customHeight="1" x14ac:dyDescent="0.25">
      <c r="A17" s="129">
        <f>IF('Avaliação Períodos'!A18=0,"",'Avaliação Períodos'!A18)</f>
        <v>10</v>
      </c>
      <c r="B17" s="429" t="str">
        <f>IF('Avaliação Períodos'!B18=0,"",'Avaliação Períodos'!B18)</f>
        <v>Francisco Pedrosa</v>
      </c>
      <c r="C17" s="430"/>
      <c r="D17" s="430"/>
      <c r="E17" s="430"/>
      <c r="F17" s="430"/>
      <c r="G17" s="431"/>
      <c r="H17" s="141">
        <v>90</v>
      </c>
      <c r="I17" s="142"/>
      <c r="J17" s="142"/>
      <c r="K17" s="142"/>
      <c r="L17" s="143"/>
      <c r="M17" s="143"/>
      <c r="N17" s="13">
        <f t="shared" si="0"/>
        <v>90</v>
      </c>
      <c r="O17" s="90">
        <v>60</v>
      </c>
      <c r="P17" s="141"/>
      <c r="Q17" s="142"/>
      <c r="R17" s="142"/>
      <c r="S17" s="142"/>
      <c r="T17" s="142"/>
      <c r="U17" s="142">
        <v>100</v>
      </c>
      <c r="V17" s="13">
        <f t="shared" si="1"/>
        <v>100</v>
      </c>
      <c r="W17" s="92">
        <v>55</v>
      </c>
      <c r="X17" s="2"/>
      <c r="Y17" s="2"/>
      <c r="Z17" s="2"/>
      <c r="AA17" s="2"/>
      <c r="AB17" s="2"/>
    </row>
    <row r="18" spans="1:28" ht="15" customHeight="1" x14ac:dyDescent="0.25">
      <c r="A18" s="128">
        <f>IF('Avaliação Períodos'!A19=0,"",'Avaliação Períodos'!A19)</f>
        <v>11</v>
      </c>
      <c r="B18" s="410" t="str">
        <f>IF('Avaliação Períodos'!B19=0,"",'Avaliação Períodos'!B19)</f>
        <v>Francisco Miranda</v>
      </c>
      <c r="C18" s="411"/>
      <c r="D18" s="411"/>
      <c r="E18" s="411"/>
      <c r="F18" s="411"/>
      <c r="G18" s="434"/>
      <c r="H18" s="145">
        <v>70</v>
      </c>
      <c r="I18" s="139"/>
      <c r="J18" s="139"/>
      <c r="K18" s="139"/>
      <c r="L18" s="140"/>
      <c r="M18" s="140"/>
      <c r="N18" s="13">
        <f t="shared" si="0"/>
        <v>70</v>
      </c>
      <c r="O18" s="90">
        <v>40</v>
      </c>
      <c r="P18" s="145"/>
      <c r="Q18" s="139"/>
      <c r="R18" s="139"/>
      <c r="S18" s="139"/>
      <c r="T18" s="139"/>
      <c r="U18" s="139">
        <v>56</v>
      </c>
      <c r="V18" s="13">
        <f t="shared" si="1"/>
        <v>56</v>
      </c>
      <c r="W18" s="92">
        <v>45</v>
      </c>
      <c r="AB18" s="2"/>
    </row>
    <row r="19" spans="1:28" ht="15" customHeight="1" x14ac:dyDescent="0.25">
      <c r="A19" s="129">
        <f>IF('Avaliação Períodos'!A20=0,"",'Avaliação Períodos'!A20)</f>
        <v>12</v>
      </c>
      <c r="B19" s="429" t="str">
        <f>IF('Avaliação Períodos'!B20=0,"",'Avaliação Períodos'!B20)</f>
        <v>Francisco Mota</v>
      </c>
      <c r="C19" s="430"/>
      <c r="D19" s="430"/>
      <c r="E19" s="430"/>
      <c r="F19" s="430"/>
      <c r="G19" s="431"/>
      <c r="H19" s="141">
        <v>80</v>
      </c>
      <c r="I19" s="142"/>
      <c r="J19" s="142"/>
      <c r="K19" s="142"/>
      <c r="L19" s="143"/>
      <c r="M19" s="143"/>
      <c r="N19" s="13">
        <f t="shared" si="0"/>
        <v>80</v>
      </c>
      <c r="O19" s="90">
        <v>80</v>
      </c>
      <c r="P19" s="141"/>
      <c r="Q19" s="142"/>
      <c r="R19" s="142"/>
      <c r="S19" s="142"/>
      <c r="T19" s="142"/>
      <c r="U19" s="142">
        <v>100</v>
      </c>
      <c r="V19" s="13">
        <f t="shared" si="1"/>
        <v>100</v>
      </c>
      <c r="W19" s="92">
        <v>65</v>
      </c>
      <c r="AB19" s="2"/>
    </row>
    <row r="20" spans="1:28" ht="15" customHeight="1" x14ac:dyDescent="0.25">
      <c r="A20" s="128">
        <f>IF('Avaliação Períodos'!A21=0,"",'Avaliação Períodos'!A21)</f>
        <v>13</v>
      </c>
      <c r="B20" s="410" t="str">
        <f>IF('Avaliação Períodos'!B21=0,"",'Avaliação Períodos'!B21)</f>
        <v>Francisco Marques</v>
      </c>
      <c r="C20" s="411"/>
      <c r="D20" s="411"/>
      <c r="E20" s="411"/>
      <c r="F20" s="411"/>
      <c r="G20" s="434"/>
      <c r="H20" s="145">
        <v>90</v>
      </c>
      <c r="I20" s="139"/>
      <c r="J20" s="139"/>
      <c r="K20" s="139"/>
      <c r="L20" s="140"/>
      <c r="M20" s="140"/>
      <c r="N20" s="13">
        <f t="shared" si="0"/>
        <v>90</v>
      </c>
      <c r="O20" s="90">
        <v>60</v>
      </c>
      <c r="P20" s="145"/>
      <c r="Q20" s="139"/>
      <c r="R20" s="139"/>
      <c r="S20" s="139"/>
      <c r="T20" s="139"/>
      <c r="U20" s="139">
        <v>100</v>
      </c>
      <c r="V20" s="13">
        <f t="shared" si="1"/>
        <v>100</v>
      </c>
      <c r="W20" s="92">
        <v>60</v>
      </c>
      <c r="AB20" s="22"/>
    </row>
    <row r="21" spans="1:28" ht="15" customHeight="1" x14ac:dyDescent="0.25">
      <c r="A21" s="129">
        <f>IF('Avaliação Períodos'!A22=0,"",'Avaliação Períodos'!A22)</f>
        <v>14</v>
      </c>
      <c r="B21" s="429" t="str">
        <f>IF('Avaliação Períodos'!B22=0,"",'Avaliação Períodos'!B22)</f>
        <v>Jamila Portilha</v>
      </c>
      <c r="C21" s="430"/>
      <c r="D21" s="430"/>
      <c r="E21" s="430"/>
      <c r="F21" s="430"/>
      <c r="G21" s="431"/>
      <c r="H21" s="141">
        <v>100</v>
      </c>
      <c r="I21" s="142"/>
      <c r="J21" s="142"/>
      <c r="K21" s="142"/>
      <c r="L21" s="143"/>
      <c r="M21" s="143"/>
      <c r="N21" s="13">
        <f t="shared" si="0"/>
        <v>100</v>
      </c>
      <c r="O21" s="90">
        <v>90</v>
      </c>
      <c r="P21" s="141"/>
      <c r="Q21" s="142"/>
      <c r="R21" s="142"/>
      <c r="S21" s="142"/>
      <c r="T21" s="142"/>
      <c r="U21" s="142">
        <v>100</v>
      </c>
      <c r="V21" s="13">
        <f t="shared" si="1"/>
        <v>100</v>
      </c>
      <c r="W21" s="92">
        <v>80</v>
      </c>
      <c r="AB21" s="22"/>
    </row>
    <row r="22" spans="1:28" ht="15" customHeight="1" x14ac:dyDescent="0.25">
      <c r="A22" s="128">
        <f>IF('Avaliação Períodos'!A23=0,"",'Avaliação Períodos'!A23)</f>
        <v>15</v>
      </c>
      <c r="B22" s="410" t="str">
        <f>IF('Avaliação Períodos'!B23=0,"",'Avaliação Períodos'!B23)</f>
        <v>Joelma Emídio</v>
      </c>
      <c r="C22" s="411"/>
      <c r="D22" s="411"/>
      <c r="E22" s="411"/>
      <c r="F22" s="411"/>
      <c r="G22" s="434"/>
      <c r="H22" s="145">
        <v>80</v>
      </c>
      <c r="I22" s="139"/>
      <c r="J22" s="139"/>
      <c r="K22" s="139"/>
      <c r="L22" s="140"/>
      <c r="M22" s="140"/>
      <c r="N22" s="13">
        <f t="shared" si="0"/>
        <v>80</v>
      </c>
      <c r="O22" s="90">
        <v>30</v>
      </c>
      <c r="P22" s="145"/>
      <c r="Q22" s="139"/>
      <c r="R22" s="139"/>
      <c r="S22" s="139"/>
      <c r="T22" s="139"/>
      <c r="U22" s="139">
        <v>1</v>
      </c>
      <c r="V22" s="13">
        <f t="shared" si="1"/>
        <v>1</v>
      </c>
      <c r="W22" s="92">
        <v>1</v>
      </c>
      <c r="AB22" s="2"/>
    </row>
    <row r="23" spans="1:28" ht="15" customHeight="1" x14ac:dyDescent="0.25">
      <c r="A23" s="129">
        <f>IF('Avaliação Períodos'!A24=0,"",'Avaliação Períodos'!A24)</f>
        <v>16</v>
      </c>
      <c r="B23" s="429" t="str">
        <f>IF('Avaliação Períodos'!B24=0,"",'Avaliação Períodos'!B24)</f>
        <v>José Garcia</v>
      </c>
      <c r="C23" s="430"/>
      <c r="D23" s="430"/>
      <c r="E23" s="430"/>
      <c r="F23" s="430"/>
      <c r="G23" s="431"/>
      <c r="H23" s="141">
        <v>90</v>
      </c>
      <c r="I23" s="142"/>
      <c r="J23" s="142"/>
      <c r="K23" s="142"/>
      <c r="L23" s="143"/>
      <c r="M23" s="143"/>
      <c r="N23" s="13">
        <f t="shared" si="0"/>
        <v>90</v>
      </c>
      <c r="O23" s="90">
        <v>40</v>
      </c>
      <c r="P23" s="141"/>
      <c r="Q23" s="142"/>
      <c r="R23" s="142"/>
      <c r="S23" s="142"/>
      <c r="T23" s="142"/>
      <c r="U23" s="142">
        <v>43</v>
      </c>
      <c r="V23" s="13">
        <f t="shared" si="1"/>
        <v>43</v>
      </c>
      <c r="W23" s="92">
        <v>40</v>
      </c>
      <c r="AB23" s="2"/>
    </row>
    <row r="24" spans="1:28" ht="16.5" customHeight="1" x14ac:dyDescent="0.25">
      <c r="A24" s="128">
        <f>IF('Avaliação Períodos'!A25=0,"",'Avaliação Períodos'!A25)</f>
        <v>17</v>
      </c>
      <c r="B24" s="410" t="str">
        <f>IF('Avaliação Períodos'!B25=0,"",'Avaliação Períodos'!B25)</f>
        <v>Leonor Gomes</v>
      </c>
      <c r="C24" s="411"/>
      <c r="D24" s="411"/>
      <c r="E24" s="411"/>
      <c r="F24" s="411"/>
      <c r="G24" s="434"/>
      <c r="H24" s="145">
        <v>90</v>
      </c>
      <c r="I24" s="139"/>
      <c r="J24" s="139"/>
      <c r="K24" s="139"/>
      <c r="L24" s="140"/>
      <c r="M24" s="140"/>
      <c r="N24" s="13">
        <f t="shared" si="0"/>
        <v>90</v>
      </c>
      <c r="O24" s="90">
        <v>75</v>
      </c>
      <c r="P24" s="145"/>
      <c r="Q24" s="139"/>
      <c r="R24" s="139"/>
      <c r="S24" s="139"/>
      <c r="T24" s="139"/>
      <c r="U24" s="139">
        <v>85</v>
      </c>
      <c r="V24" s="13">
        <f t="shared" si="1"/>
        <v>85</v>
      </c>
      <c r="W24" s="92">
        <v>75</v>
      </c>
      <c r="AB24" s="2"/>
    </row>
    <row r="25" spans="1:28" ht="15" customHeight="1" x14ac:dyDescent="0.25">
      <c r="A25" s="129">
        <f>IF('Avaliação Períodos'!A26=0,"",'Avaliação Períodos'!A26)</f>
        <v>18</v>
      </c>
      <c r="B25" s="429" t="str">
        <f>IF('Avaliação Períodos'!B26=0,"",'Avaliação Períodos'!B26)</f>
        <v>Martim Santos</v>
      </c>
      <c r="C25" s="430"/>
      <c r="D25" s="430"/>
      <c r="E25" s="430"/>
      <c r="F25" s="430"/>
      <c r="G25" s="431"/>
      <c r="H25" s="141">
        <v>80</v>
      </c>
      <c r="I25" s="142"/>
      <c r="J25" s="142"/>
      <c r="K25" s="142"/>
      <c r="L25" s="143"/>
      <c r="M25" s="143"/>
      <c r="N25" s="13">
        <f t="shared" si="0"/>
        <v>80</v>
      </c>
      <c r="O25" s="90">
        <v>55</v>
      </c>
      <c r="P25" s="141"/>
      <c r="Q25" s="142"/>
      <c r="R25" s="142"/>
      <c r="S25" s="142"/>
      <c r="T25" s="142"/>
      <c r="U25" s="142">
        <v>56</v>
      </c>
      <c r="V25" s="13">
        <f t="shared" si="1"/>
        <v>56</v>
      </c>
      <c r="W25" s="92">
        <v>55</v>
      </c>
      <c r="AB25" s="2"/>
    </row>
    <row r="26" spans="1:28" ht="15" customHeight="1" x14ac:dyDescent="0.25">
      <c r="A26" s="128">
        <f>IF('Avaliação Períodos'!A27=0,"",'Avaliação Períodos'!A27)</f>
        <v>19</v>
      </c>
      <c r="B26" s="410" t="str">
        <f>IF('Avaliação Períodos'!B27=0,"",'Avaliação Períodos'!B27)</f>
        <v>Nikole Lage</v>
      </c>
      <c r="C26" s="411"/>
      <c r="D26" s="411"/>
      <c r="E26" s="411"/>
      <c r="F26" s="411"/>
      <c r="G26" s="434"/>
      <c r="H26" s="145">
        <v>90</v>
      </c>
      <c r="I26" s="139"/>
      <c r="J26" s="139"/>
      <c r="K26" s="139"/>
      <c r="L26" s="140"/>
      <c r="M26" s="140"/>
      <c r="N26" s="13">
        <f t="shared" si="0"/>
        <v>90</v>
      </c>
      <c r="O26" s="90">
        <v>40</v>
      </c>
      <c r="P26" s="145"/>
      <c r="Q26" s="139"/>
      <c r="R26" s="139"/>
      <c r="S26" s="139"/>
      <c r="T26" s="139"/>
      <c r="U26" s="139">
        <v>28</v>
      </c>
      <c r="V26" s="13">
        <f t="shared" si="1"/>
        <v>28</v>
      </c>
      <c r="W26" s="92">
        <v>40</v>
      </c>
      <c r="AB26" s="2"/>
    </row>
    <row r="27" spans="1:28" ht="15" customHeight="1" x14ac:dyDescent="0.25">
      <c r="A27" s="129">
        <f>IF('Avaliação Períodos'!A28=0,"",'Avaliação Períodos'!A28)</f>
        <v>20</v>
      </c>
      <c r="B27" s="429" t="str">
        <f>IF('Avaliação Períodos'!B28=0,"",'Avaliação Períodos'!B28)</f>
        <v>Tatiana Gomes</v>
      </c>
      <c r="C27" s="430"/>
      <c r="D27" s="430"/>
      <c r="E27" s="430"/>
      <c r="F27" s="430"/>
      <c r="G27" s="431"/>
      <c r="H27" s="141">
        <v>90</v>
      </c>
      <c r="I27" s="142"/>
      <c r="J27" s="142"/>
      <c r="K27" s="142"/>
      <c r="L27" s="143"/>
      <c r="M27" s="143"/>
      <c r="N27" s="13">
        <f t="shared" si="0"/>
        <v>90</v>
      </c>
      <c r="O27" s="90">
        <v>70</v>
      </c>
      <c r="P27" s="141"/>
      <c r="Q27" s="142"/>
      <c r="R27" s="142"/>
      <c r="S27" s="142"/>
      <c r="T27" s="142"/>
      <c r="U27" s="142">
        <v>86</v>
      </c>
      <c r="V27" s="13">
        <f t="shared" si="1"/>
        <v>86</v>
      </c>
      <c r="W27" s="92">
        <v>80</v>
      </c>
      <c r="AB27" s="2"/>
    </row>
    <row r="28" spans="1:28" ht="15" customHeight="1" x14ac:dyDescent="0.25">
      <c r="A28" s="128">
        <f>IF('Avaliação Períodos'!A29=0,"",'Avaliação Períodos'!A29)</f>
        <v>21</v>
      </c>
      <c r="B28" s="410" t="str">
        <f>IF('Avaliação Períodos'!B29=0,"",'Avaliação Períodos'!B29)</f>
        <v>Manuel Ascenso</v>
      </c>
      <c r="C28" s="411"/>
      <c r="D28" s="411"/>
      <c r="E28" s="411"/>
      <c r="F28" s="411"/>
      <c r="G28" s="434"/>
      <c r="H28" s="145">
        <v>90</v>
      </c>
      <c r="I28" s="139"/>
      <c r="J28" s="139"/>
      <c r="K28" s="139"/>
      <c r="L28" s="140"/>
      <c r="M28" s="140"/>
      <c r="N28" s="13">
        <f t="shared" si="0"/>
        <v>90</v>
      </c>
      <c r="O28" s="90">
        <v>90</v>
      </c>
      <c r="P28" s="145"/>
      <c r="Q28" s="139"/>
      <c r="R28" s="139"/>
      <c r="S28" s="139"/>
      <c r="T28" s="139"/>
      <c r="U28" s="139">
        <v>86</v>
      </c>
      <c r="V28" s="13">
        <f t="shared" si="1"/>
        <v>86</v>
      </c>
      <c r="W28" s="92">
        <v>90</v>
      </c>
      <c r="AB28" s="2"/>
    </row>
    <row r="29" spans="1:28" ht="15" customHeight="1" x14ac:dyDescent="0.25">
      <c r="A29" s="129" t="str">
        <f>IF('Avaliação Períodos'!A30=0,"",'Avaliação Períodos'!A30)</f>
        <v/>
      </c>
      <c r="B29" s="429" t="str">
        <f>IF('Avaliação Períodos'!B30=0,"",'Avaliação Períodos'!B30)</f>
        <v>Ana Ramos</v>
      </c>
      <c r="C29" s="430"/>
      <c r="D29" s="430"/>
      <c r="E29" s="430"/>
      <c r="F29" s="430"/>
      <c r="G29" s="431"/>
      <c r="H29" s="146"/>
      <c r="I29" s="147"/>
      <c r="J29" s="147"/>
      <c r="K29" s="147"/>
      <c r="L29" s="148"/>
      <c r="M29" s="148"/>
      <c r="N29" s="13" t="str">
        <f t="shared" si="0"/>
        <v/>
      </c>
      <c r="O29" s="90"/>
      <c r="P29" s="146"/>
      <c r="Q29" s="147"/>
      <c r="R29" s="147"/>
      <c r="S29" s="147"/>
      <c r="T29" s="147"/>
      <c r="U29" s="147"/>
      <c r="V29" s="13" t="str">
        <f t="shared" si="1"/>
        <v/>
      </c>
      <c r="W29" s="92"/>
      <c r="AB29" s="2"/>
    </row>
    <row r="30" spans="1:28" ht="15" customHeight="1" x14ac:dyDescent="0.25">
      <c r="A30" s="128" t="str">
        <f>IF('Avaliação Períodos'!A31=0,"",'Avaliação Períodos'!A31)</f>
        <v/>
      </c>
      <c r="B30" s="410" t="str">
        <f>IF('Avaliação Períodos'!B31=0,"",'Avaliação Períodos'!B31)</f>
        <v/>
      </c>
      <c r="C30" s="411"/>
      <c r="D30" s="411"/>
      <c r="E30" s="411"/>
      <c r="F30" s="411"/>
      <c r="G30" s="434"/>
      <c r="H30" s="145"/>
      <c r="I30" s="139"/>
      <c r="J30" s="139"/>
      <c r="K30" s="139"/>
      <c r="L30" s="140"/>
      <c r="M30" s="140"/>
      <c r="N30" s="13" t="str">
        <f t="shared" si="0"/>
        <v/>
      </c>
      <c r="O30" s="90"/>
      <c r="P30" s="145"/>
      <c r="Q30" s="139"/>
      <c r="R30" s="139"/>
      <c r="S30" s="139"/>
      <c r="T30" s="139"/>
      <c r="U30" s="139"/>
      <c r="V30" s="13" t="str">
        <f t="shared" si="1"/>
        <v/>
      </c>
      <c r="W30" s="92"/>
      <c r="AB30" s="2"/>
    </row>
    <row r="31" spans="1:28" ht="15" customHeight="1" x14ac:dyDescent="0.25">
      <c r="A31" s="129" t="str">
        <f>IF('Avaliação Períodos'!A32=0,"",'Avaliação Períodos'!A32)</f>
        <v/>
      </c>
      <c r="B31" s="429" t="str">
        <f>IF('Avaliação Períodos'!B32=0,"",'Avaliação Períodos'!B32)</f>
        <v/>
      </c>
      <c r="C31" s="430"/>
      <c r="D31" s="430"/>
      <c r="E31" s="430"/>
      <c r="F31" s="430"/>
      <c r="G31" s="431"/>
      <c r="H31" s="141"/>
      <c r="I31" s="142"/>
      <c r="J31" s="142"/>
      <c r="K31" s="142"/>
      <c r="L31" s="143"/>
      <c r="M31" s="143"/>
      <c r="N31" s="13" t="str">
        <f t="shared" si="0"/>
        <v/>
      </c>
      <c r="O31" s="90"/>
      <c r="P31" s="141"/>
      <c r="Q31" s="142"/>
      <c r="R31" s="142"/>
      <c r="S31" s="142"/>
      <c r="T31" s="142"/>
      <c r="U31" s="142"/>
      <c r="V31" s="13" t="str">
        <f t="shared" si="1"/>
        <v/>
      </c>
      <c r="W31" s="92"/>
      <c r="AB31" s="2"/>
    </row>
    <row r="32" spans="1:28" ht="15" customHeight="1" x14ac:dyDescent="0.25">
      <c r="A32" s="128" t="str">
        <f>IF('Avaliação Períodos'!A33=0,"",'Avaliação Períodos'!A33)</f>
        <v/>
      </c>
      <c r="B32" s="410" t="str">
        <f>IF('Avaliação Períodos'!B33=0,"",'Avaliação Períodos'!B33)</f>
        <v/>
      </c>
      <c r="C32" s="411"/>
      <c r="D32" s="411"/>
      <c r="E32" s="411"/>
      <c r="F32" s="411"/>
      <c r="G32" s="434"/>
      <c r="H32" s="145"/>
      <c r="I32" s="139"/>
      <c r="J32" s="139"/>
      <c r="K32" s="139"/>
      <c r="L32" s="140"/>
      <c r="M32" s="140"/>
      <c r="N32" s="13" t="str">
        <f t="shared" si="0"/>
        <v/>
      </c>
      <c r="O32" s="90"/>
      <c r="P32" s="145"/>
      <c r="Q32" s="139"/>
      <c r="R32" s="139"/>
      <c r="S32" s="139"/>
      <c r="T32" s="139"/>
      <c r="U32" s="139"/>
      <c r="V32" s="13" t="str">
        <f t="shared" si="1"/>
        <v/>
      </c>
      <c r="W32" s="92"/>
      <c r="X32" s="25"/>
      <c r="Y32" s="25"/>
      <c r="Z32" s="25"/>
      <c r="AA32" s="25"/>
      <c r="AB32" s="2"/>
    </row>
    <row r="33" spans="1:28" ht="15" customHeight="1" x14ac:dyDescent="0.25">
      <c r="A33" s="129" t="str">
        <f>IF('Avaliação Períodos'!A34=0,"",'Avaliação Períodos'!A34)</f>
        <v/>
      </c>
      <c r="B33" s="429" t="str">
        <f>IF('Avaliação Períodos'!B34=0,"",'Avaliação Períodos'!B34)</f>
        <v/>
      </c>
      <c r="C33" s="430"/>
      <c r="D33" s="430"/>
      <c r="E33" s="430"/>
      <c r="F33" s="430"/>
      <c r="G33" s="431"/>
      <c r="H33" s="141"/>
      <c r="I33" s="142"/>
      <c r="J33" s="142"/>
      <c r="K33" s="142"/>
      <c r="L33" s="143"/>
      <c r="M33" s="143"/>
      <c r="N33" s="13" t="str">
        <f t="shared" si="0"/>
        <v/>
      </c>
      <c r="O33" s="90"/>
      <c r="P33" s="141"/>
      <c r="Q33" s="142"/>
      <c r="R33" s="142"/>
      <c r="S33" s="142"/>
      <c r="T33" s="142"/>
      <c r="U33" s="142"/>
      <c r="V33" s="13" t="str">
        <f t="shared" si="1"/>
        <v/>
      </c>
      <c r="W33" s="92"/>
      <c r="X33" s="25"/>
      <c r="Y33" s="25"/>
      <c r="Z33" s="25"/>
      <c r="AA33" s="25"/>
      <c r="AB33" s="2"/>
    </row>
    <row r="34" spans="1:28" ht="15" customHeight="1" x14ac:dyDescent="0.25">
      <c r="A34" s="128" t="str">
        <f>IF('Avaliação Períodos'!A35=0,"",'Avaliação Períodos'!A35)</f>
        <v/>
      </c>
      <c r="B34" s="410" t="str">
        <f>IF('Avaliação Períodos'!B35=0,"",'Avaliação Períodos'!B35)</f>
        <v/>
      </c>
      <c r="C34" s="411"/>
      <c r="D34" s="411"/>
      <c r="E34" s="411"/>
      <c r="F34" s="411"/>
      <c r="G34" s="434"/>
      <c r="H34" s="145"/>
      <c r="I34" s="139"/>
      <c r="J34" s="139"/>
      <c r="K34" s="139"/>
      <c r="L34" s="140"/>
      <c r="M34" s="140"/>
      <c r="N34" s="13" t="str">
        <f t="shared" si="0"/>
        <v/>
      </c>
      <c r="O34" s="90"/>
      <c r="P34" s="145"/>
      <c r="Q34" s="139"/>
      <c r="R34" s="139"/>
      <c r="S34" s="139"/>
      <c r="T34" s="139"/>
      <c r="U34" s="139"/>
      <c r="V34" s="13" t="str">
        <f t="shared" si="1"/>
        <v/>
      </c>
      <c r="W34" s="92"/>
      <c r="X34" s="25"/>
      <c r="Y34" s="25"/>
      <c r="Z34" s="25"/>
      <c r="AA34" s="25"/>
      <c r="AB34" s="2"/>
    </row>
    <row r="35" spans="1:28" ht="15" customHeight="1" x14ac:dyDescent="0.25">
      <c r="A35" s="129" t="str">
        <f>IF('Avaliação Períodos'!A36=0,"",'Avaliação Períodos'!A36)</f>
        <v/>
      </c>
      <c r="B35" s="429" t="str">
        <f>IF('Avaliação Períodos'!B36=0,"",'Avaliação Períodos'!B36)</f>
        <v/>
      </c>
      <c r="C35" s="430"/>
      <c r="D35" s="430"/>
      <c r="E35" s="430"/>
      <c r="F35" s="430"/>
      <c r="G35" s="431"/>
      <c r="H35" s="141"/>
      <c r="I35" s="142"/>
      <c r="J35" s="142"/>
      <c r="K35" s="142"/>
      <c r="L35" s="143"/>
      <c r="M35" s="143"/>
      <c r="N35" s="13" t="str">
        <f t="shared" si="0"/>
        <v/>
      </c>
      <c r="O35" s="90"/>
      <c r="P35" s="141"/>
      <c r="Q35" s="142"/>
      <c r="R35" s="142"/>
      <c r="S35" s="142"/>
      <c r="T35" s="142"/>
      <c r="U35" s="142"/>
      <c r="V35" s="13" t="str">
        <f t="shared" si="1"/>
        <v/>
      </c>
      <c r="W35" s="92"/>
      <c r="X35" s="25"/>
      <c r="Y35" s="25"/>
      <c r="Z35" s="25"/>
      <c r="AA35" s="25"/>
      <c r="AB35" s="2"/>
    </row>
    <row r="36" spans="1:28" ht="15" customHeight="1" x14ac:dyDescent="0.25">
      <c r="A36" s="130" t="str">
        <f>IF('Avaliação Períodos'!A37=0,"",'Avaliação Períodos'!A37)</f>
        <v/>
      </c>
      <c r="B36" s="410" t="str">
        <f>IF('Avaliação Períodos'!B37=0,"",'Avaliação Períodos'!B37)</f>
        <v/>
      </c>
      <c r="C36" s="411"/>
      <c r="D36" s="411"/>
      <c r="E36" s="411"/>
      <c r="F36" s="411"/>
      <c r="G36" s="434"/>
      <c r="H36" s="149"/>
      <c r="I36" s="150"/>
      <c r="J36" s="150"/>
      <c r="K36" s="150"/>
      <c r="L36" s="150"/>
      <c r="M36" s="151"/>
      <c r="N36" s="13" t="str">
        <f t="shared" si="0"/>
        <v/>
      </c>
      <c r="O36" s="90"/>
      <c r="P36" s="149"/>
      <c r="Q36" s="150"/>
      <c r="R36" s="150"/>
      <c r="S36" s="150"/>
      <c r="T36" s="150"/>
      <c r="U36" s="150"/>
      <c r="V36" s="13" t="str">
        <f t="shared" si="1"/>
        <v/>
      </c>
      <c r="W36" s="92"/>
      <c r="X36" s="25"/>
      <c r="Y36" s="25"/>
      <c r="Z36" s="25"/>
      <c r="AA36" s="25"/>
      <c r="AB36" s="2"/>
    </row>
    <row r="37" spans="1:28" ht="15" customHeight="1" x14ac:dyDescent="0.25">
      <c r="A37" s="131" t="str">
        <f>IF('Avaliação Períodos'!A38=0,"",'Avaliação Períodos'!A38)</f>
        <v/>
      </c>
      <c r="B37" s="429" t="str">
        <f>IF('Avaliação Períodos'!B38=0,"",'Avaliação Períodos'!B38)</f>
        <v xml:space="preserve"> </v>
      </c>
      <c r="C37" s="430"/>
      <c r="D37" s="430"/>
      <c r="E37" s="430"/>
      <c r="F37" s="430"/>
      <c r="G37" s="431"/>
      <c r="H37" s="159"/>
      <c r="I37" s="154"/>
      <c r="J37" s="154"/>
      <c r="K37" s="154"/>
      <c r="L37" s="154"/>
      <c r="M37" s="160"/>
      <c r="N37" s="30" t="str">
        <f t="shared" si="0"/>
        <v/>
      </c>
      <c r="O37" s="91"/>
      <c r="P37" s="159"/>
      <c r="Q37" s="154"/>
      <c r="R37" s="154"/>
      <c r="S37" s="154"/>
      <c r="T37" s="154"/>
      <c r="U37" s="154"/>
      <c r="V37" s="30" t="str">
        <f t="shared" si="1"/>
        <v/>
      </c>
      <c r="W37" s="92"/>
      <c r="X37" s="25"/>
      <c r="Y37" s="25"/>
      <c r="Z37" s="25"/>
      <c r="AA37" s="25"/>
      <c r="AB37" s="2"/>
    </row>
    <row r="38" spans="1:28" x14ac:dyDescent="0.25">
      <c r="A38" s="2"/>
      <c r="B38" s="2"/>
      <c r="C38" s="2"/>
      <c r="D38" s="2"/>
      <c r="E38" s="2"/>
      <c r="F38" s="2"/>
      <c r="G38" s="2"/>
      <c r="I38" s="435" t="s">
        <v>53</v>
      </c>
      <c r="J38" s="436"/>
      <c r="K38" s="436"/>
      <c r="L38" s="436"/>
      <c r="M38" s="437"/>
      <c r="N38" s="155">
        <f>IF(COUNT(N8:N37)=0,"",AVERAGE(N8:N37))</f>
        <v>83.333333333333329</v>
      </c>
      <c r="O38" s="155">
        <f>IF(COUNT(O8:O37)=0,"",AVERAGE(O8:O37))</f>
        <v>60.952380952380949</v>
      </c>
      <c r="Q38" s="435" t="s">
        <v>53</v>
      </c>
      <c r="R38" s="436"/>
      <c r="S38" s="436"/>
      <c r="T38" s="436"/>
      <c r="U38" s="437"/>
      <c r="V38" s="155">
        <f>IF(COUNT(V8:V37)=0,"",AVERAGE(V8:V37))</f>
        <v>65</v>
      </c>
      <c r="W38" s="155">
        <f>IF(COUNT(W8:W37)=0,"",AVERAGE(W8:W37))</f>
        <v>55.142857142857146</v>
      </c>
    </row>
    <row r="39" spans="1:28" x14ac:dyDescent="0.25">
      <c r="A39" s="2"/>
      <c r="B39" s="2"/>
      <c r="C39" s="2"/>
      <c r="D39" s="2"/>
      <c r="E39" s="2"/>
      <c r="F39" s="2"/>
      <c r="G39" s="2"/>
      <c r="I39" s="435" t="s">
        <v>54</v>
      </c>
      <c r="J39" s="436"/>
      <c r="K39" s="436"/>
      <c r="L39" s="436"/>
      <c r="M39" s="437"/>
      <c r="N39" s="156">
        <f>COUNTIF(N8:N37,"&lt;50")</f>
        <v>0</v>
      </c>
      <c r="O39" s="156">
        <f>COUNTIF(O8:O37,"&lt;50")</f>
        <v>5</v>
      </c>
      <c r="Q39" s="435" t="s">
        <v>54</v>
      </c>
      <c r="R39" s="436"/>
      <c r="S39" s="436"/>
      <c r="T39" s="436"/>
      <c r="U39" s="437"/>
      <c r="V39" s="156">
        <f>COUNTIF(V8:V37,"&lt;50")</f>
        <v>5</v>
      </c>
      <c r="W39" s="156">
        <f>COUNTIF(W8:W37,"&lt;50")</f>
        <v>6</v>
      </c>
    </row>
    <row r="40" spans="1:28" x14ac:dyDescent="0.25">
      <c r="A40" s="2"/>
      <c r="B40" s="2"/>
      <c r="C40" s="2"/>
      <c r="D40" s="2"/>
      <c r="E40" s="2"/>
      <c r="F40" s="2"/>
      <c r="G40" s="2"/>
      <c r="I40" s="435" t="s">
        <v>55</v>
      </c>
      <c r="J40" s="436"/>
      <c r="K40" s="436"/>
      <c r="L40" s="436"/>
      <c r="M40" s="437"/>
      <c r="N40" s="157">
        <f>IF(COUNT(N8:N37)=0,"",N39/(COUNT(N8:N37))*100)</f>
        <v>0</v>
      </c>
      <c r="O40" s="157">
        <f>IF(COUNT(O8:O37)=0,"",O39/(COUNT(O8:O37))*100)</f>
        <v>23.809523809523807</v>
      </c>
      <c r="Q40" s="435" t="s">
        <v>55</v>
      </c>
      <c r="R40" s="436"/>
      <c r="S40" s="436"/>
      <c r="T40" s="436"/>
      <c r="U40" s="437"/>
      <c r="V40" s="157">
        <f>IF(COUNT(V8:V37)=0,"",V39/(COUNT(V8:V37))*100)</f>
        <v>23.809523809523807</v>
      </c>
      <c r="W40" s="157">
        <f>IF(COUNT(W8:W37)=0,"",W39/(COUNT(W8:W37))*100)</f>
        <v>28.571428571428569</v>
      </c>
    </row>
    <row r="41" spans="1:2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</sheetData>
  <sheetProtection algorithmName="SHA-512" hashValue="OXNfuI5bIxLI2axkPWEHm0GXfO+140YmqbK9wddiZ/jret+Fqw8w4XAXBwCzPbO91PRvOHBLYJkzX9joUAwzdw==" saltValue="r6M0JHM+ZgiPSAI1qI0Y1g==" spinCount="100000" sheet="1" objects="1" scenarios="1"/>
  <dataConsolidate link="1"/>
  <mergeCells count="44">
    <mergeCell ref="A3:G3"/>
    <mergeCell ref="H4:O5"/>
    <mergeCell ref="P4:W5"/>
    <mergeCell ref="H3:W3"/>
    <mergeCell ref="D6:G6"/>
    <mergeCell ref="X6:Y6"/>
    <mergeCell ref="B7:G7"/>
    <mergeCell ref="D4:G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B22:G22"/>
    <mergeCell ref="B23:G23"/>
    <mergeCell ref="B24:G24"/>
    <mergeCell ref="B20:G20"/>
    <mergeCell ref="B21:G21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Q40:U40"/>
    <mergeCell ref="I38:M38"/>
    <mergeCell ref="I39:M39"/>
    <mergeCell ref="I40:M40"/>
    <mergeCell ref="Q38:U38"/>
    <mergeCell ref="Q39:U39"/>
  </mergeCells>
  <dataValidations count="6">
    <dataValidation type="decimal" operator="lessThanOrEqual" allowBlank="1" showErrorMessage="1" errorTitle="Erro." error="Ultrapassou cotação máxima." sqref="H8:M37 P8:U36" xr:uid="{00000000-0002-0000-0200-000000000000}">
      <formula1>H$7</formula1>
    </dataValidation>
    <dataValidation type="decimal" operator="lessThanOrEqual" allowBlank="1" showErrorMessage="1" errorTitle="ERRO!" error="A pergunta não vale tanto!" sqref="P37" xr:uid="{00000000-0002-0000-0200-000001000000}">
      <formula1>P$7</formula1>
    </dataValidation>
    <dataValidation type="decimal" operator="lessThanOrEqual" allowBlank="1" showInputMessage="1" showErrorMessage="1" errorTitle="ERRO!" error="A pergunta não vale tanto!..." sqref="Q37:U37 N8:N37" xr:uid="{00000000-0002-0000-0200-000002000000}">
      <formula1>N$7</formula1>
    </dataValidation>
    <dataValidation type="decimal" operator="lessThanOrEqual" showInputMessage="1" showErrorMessage="1" sqref="V8:V37" xr:uid="{00000000-0002-0000-0200-000004000000}">
      <formula1>V$7</formula1>
    </dataValidation>
    <dataValidation type="decimal" operator="lessThanOrEqual" allowBlank="1" showInputMessage="1" showErrorMessage="1" errorTitle="Erro." error="Ultrapassou cotação máxima." sqref="O8:O37" xr:uid="{00000000-0002-0000-0200-000005000000}">
      <formula1>O$7</formula1>
    </dataValidation>
    <dataValidation type="decimal" operator="lessThanOrEqual" showInputMessage="1" showErrorMessage="1" errorTitle="Erro" error="Ultrapassou cotação máxima." sqref="W8:W37" xr:uid="{00000000-0002-0000-0200-000006000000}">
      <formula1>W$7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AL57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AM11" sqref="AM11"/>
    </sheetView>
  </sheetViews>
  <sheetFormatPr defaultRowHeight="15" x14ac:dyDescent="0.25"/>
  <cols>
    <col min="1" max="1" width="5.7109375" style="81" customWidth="1"/>
    <col min="2" max="2" width="9.140625" style="81" hidden="1" customWidth="1"/>
    <col min="3" max="3" width="9.140625" style="81"/>
    <col min="4" max="4" width="8" style="81" customWidth="1"/>
    <col min="5" max="6" width="9.140625" style="81" hidden="1" customWidth="1"/>
    <col min="7" max="15" width="5.85546875" style="81" customWidth="1"/>
    <col min="16" max="16" width="5.5703125" style="81" customWidth="1"/>
    <col min="17" max="17" width="4.5703125" style="81" customWidth="1"/>
    <col min="18" max="18" width="4.28515625" style="81" customWidth="1"/>
    <col min="19" max="19" width="4.7109375" style="81" customWidth="1"/>
    <col min="20" max="20" width="4.42578125" style="81" customWidth="1"/>
    <col min="21" max="21" width="4.85546875" style="81" customWidth="1"/>
    <col min="22" max="22" width="9.140625" style="81"/>
    <col min="23" max="23" width="5" style="81" customWidth="1"/>
    <col min="24" max="24" width="6" style="81" customWidth="1"/>
    <col min="25" max="25" width="5.28515625" style="81" customWidth="1"/>
    <col min="26" max="26" width="6.42578125" style="81" customWidth="1"/>
    <col min="27" max="28" width="6.28515625" style="81" customWidth="1"/>
    <col min="29" max="29" width="6" style="81" customWidth="1"/>
    <col min="30" max="30" width="6.140625" style="81" customWidth="1"/>
    <col min="31" max="31" width="6" style="81" customWidth="1"/>
    <col min="32" max="32" width="6.28515625" style="81" customWidth="1"/>
    <col min="33" max="33" width="5.85546875" style="81" customWidth="1"/>
    <col min="34" max="35" width="6.140625" style="81" customWidth="1"/>
    <col min="36" max="37" width="7.7109375" style="81" customWidth="1"/>
    <col min="38" max="16384" width="9.140625" style="81"/>
  </cols>
  <sheetData>
    <row r="1" spans="1:38" ht="27" x14ac:dyDescent="0.25">
      <c r="A1" s="1" t="s">
        <v>22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</row>
    <row r="2" spans="1:38" ht="27" x14ac:dyDescent="0.25">
      <c r="A2" s="57" t="s">
        <v>24</v>
      </c>
      <c r="B2" s="57"/>
      <c r="C2" s="57"/>
      <c r="D2" s="57"/>
      <c r="E2" s="57"/>
      <c r="F2" s="57"/>
      <c r="G2" s="57"/>
      <c r="H2" s="58"/>
      <c r="I2" s="58"/>
      <c r="J2" s="58"/>
      <c r="K2" s="58"/>
      <c r="L2" s="59"/>
      <c r="M2" s="59"/>
      <c r="N2" s="59"/>
      <c r="O2" s="59"/>
      <c r="P2" s="59"/>
      <c r="Q2" s="60"/>
      <c r="R2" s="60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5"/>
    </row>
    <row r="3" spans="1:38" ht="20.25" x14ac:dyDescent="0.25">
      <c r="A3" s="31"/>
      <c r="B3" s="26"/>
      <c r="C3" s="26"/>
      <c r="D3" s="26"/>
      <c r="E3" s="26"/>
      <c r="F3" s="26"/>
      <c r="G3" s="41"/>
      <c r="H3" s="414" t="s">
        <v>58</v>
      </c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  <c r="X3" s="415"/>
      <c r="Y3" s="415"/>
      <c r="Z3" s="415"/>
      <c r="AA3" s="415"/>
      <c r="AB3" s="415"/>
      <c r="AC3" s="415"/>
      <c r="AD3" s="415"/>
      <c r="AE3" s="415"/>
      <c r="AF3" s="415"/>
      <c r="AG3" s="415"/>
      <c r="AH3" s="415"/>
      <c r="AI3" s="415"/>
      <c r="AJ3" s="415"/>
      <c r="AK3" s="416"/>
    </row>
    <row r="4" spans="1:38" ht="15" customHeight="1" x14ac:dyDescent="0.25">
      <c r="A4" s="417"/>
      <c r="B4" s="418"/>
      <c r="C4" s="418"/>
      <c r="D4" s="418"/>
      <c r="E4" s="418"/>
      <c r="F4" s="418"/>
      <c r="G4" s="419"/>
      <c r="H4" s="420" t="s">
        <v>121</v>
      </c>
      <c r="I4" s="421"/>
      <c r="J4" s="421"/>
      <c r="K4" s="421"/>
      <c r="L4" s="421"/>
      <c r="M4" s="421"/>
      <c r="N4" s="421"/>
      <c r="O4" s="421"/>
      <c r="P4" s="421"/>
      <c r="Q4" s="421"/>
      <c r="R4" s="421"/>
      <c r="S4" s="421"/>
      <c r="T4" s="421"/>
      <c r="U4" s="440"/>
      <c r="V4" s="424" t="s">
        <v>23</v>
      </c>
      <c r="W4" s="420" t="s">
        <v>120</v>
      </c>
      <c r="X4" s="421"/>
      <c r="Y4" s="421"/>
      <c r="Z4" s="421"/>
      <c r="AA4" s="421"/>
      <c r="AB4" s="421"/>
      <c r="AC4" s="421"/>
      <c r="AD4" s="421"/>
      <c r="AE4" s="421"/>
      <c r="AF4" s="421"/>
      <c r="AG4" s="421"/>
      <c r="AH4" s="421"/>
      <c r="AI4" s="421"/>
      <c r="AJ4" s="440"/>
      <c r="AK4" s="424" t="s">
        <v>23</v>
      </c>
    </row>
    <row r="5" spans="1:38" ht="15" customHeight="1" x14ac:dyDescent="0.25">
      <c r="A5" s="417"/>
      <c r="B5" s="418"/>
      <c r="C5" s="418"/>
      <c r="D5" s="418"/>
      <c r="E5" s="418"/>
      <c r="F5" s="418"/>
      <c r="G5" s="419"/>
      <c r="H5" s="422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60"/>
      <c r="V5" s="425"/>
      <c r="W5" s="422"/>
      <c r="X5" s="423"/>
      <c r="Y5" s="423"/>
      <c r="Z5" s="423"/>
      <c r="AA5" s="423"/>
      <c r="AB5" s="423"/>
      <c r="AC5" s="423"/>
      <c r="AD5" s="423"/>
      <c r="AE5" s="423"/>
      <c r="AF5" s="423"/>
      <c r="AG5" s="423"/>
      <c r="AH5" s="423"/>
      <c r="AI5" s="423"/>
      <c r="AJ5" s="460"/>
      <c r="AK5" s="425"/>
    </row>
    <row r="6" spans="1:38" ht="18" x14ac:dyDescent="0.25">
      <c r="A6" s="427" t="s">
        <v>26</v>
      </c>
      <c r="B6" s="428"/>
      <c r="C6" s="428"/>
      <c r="D6" s="428"/>
      <c r="E6" s="428"/>
      <c r="F6" s="428"/>
      <c r="G6" s="428"/>
      <c r="H6" s="161">
        <v>1</v>
      </c>
      <c r="I6" s="162">
        <v>2</v>
      </c>
      <c r="J6" s="162"/>
      <c r="K6" s="162">
        <v>3</v>
      </c>
      <c r="L6" s="162" t="s">
        <v>115</v>
      </c>
      <c r="M6" s="162" t="s">
        <v>27</v>
      </c>
      <c r="N6" s="162" t="s">
        <v>116</v>
      </c>
      <c r="O6" s="162" t="s">
        <v>117</v>
      </c>
      <c r="P6" s="162"/>
      <c r="Q6" s="163"/>
      <c r="R6" s="163"/>
      <c r="S6" s="163"/>
      <c r="T6" s="163"/>
      <c r="U6" s="164"/>
      <c r="V6" s="426"/>
      <c r="W6" s="51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2"/>
      <c r="AK6" s="426"/>
    </row>
    <row r="7" spans="1:38" ht="37.5" customHeight="1" x14ac:dyDescent="0.25">
      <c r="A7" s="43" t="s">
        <v>8</v>
      </c>
      <c r="C7" s="461" t="s">
        <v>57</v>
      </c>
      <c r="D7" s="462"/>
      <c r="E7" s="462"/>
      <c r="F7" s="462"/>
      <c r="G7" s="462"/>
      <c r="H7" s="73">
        <v>20</v>
      </c>
      <c r="I7" s="75">
        <v>12</v>
      </c>
      <c r="J7" s="75">
        <v>8</v>
      </c>
      <c r="K7" s="75">
        <v>10</v>
      </c>
      <c r="L7" s="75">
        <v>10</v>
      </c>
      <c r="M7" s="75">
        <v>10</v>
      </c>
      <c r="N7" s="75">
        <v>10</v>
      </c>
      <c r="O7" s="75">
        <v>12</v>
      </c>
      <c r="P7" s="75">
        <v>8</v>
      </c>
      <c r="Q7" s="75"/>
      <c r="R7" s="74"/>
      <c r="S7" s="53"/>
      <c r="T7" s="53"/>
      <c r="U7" s="87"/>
      <c r="V7" s="93">
        <f>IF(OR(SUM(H7:U7)&gt;100,SUM(H7:U7)&lt;0),"",SUM(H7:U7))</f>
        <v>100</v>
      </c>
      <c r="W7" s="84"/>
      <c r="X7" s="85"/>
      <c r="Y7" s="85"/>
      <c r="Z7" s="85"/>
      <c r="AA7" s="85"/>
      <c r="AB7" s="85"/>
      <c r="AC7" s="85"/>
      <c r="AD7" s="85"/>
      <c r="AE7" s="63"/>
      <c r="AF7" s="63"/>
      <c r="AG7" s="54"/>
      <c r="AH7" s="54"/>
      <c r="AI7" s="54"/>
      <c r="AJ7" s="55"/>
      <c r="AK7" s="93">
        <f>IF(OR(SUM(W7:AJ7)&gt;100,SUM(W7:AJ7)&lt;0),"",SUM(W7:AJ7))</f>
        <v>0</v>
      </c>
    </row>
    <row r="8" spans="1:38" x14ac:dyDescent="0.25">
      <c r="A8" s="128">
        <f>IF('Avaliação Períodos'!A9=0,"",'Avaliação Períodos'!A9)</f>
        <v>1</v>
      </c>
      <c r="B8" s="432" t="str">
        <f>IF('Avaliação Períodos'!B9=0,"",'Avaliação Períodos'!B9)</f>
        <v>Ademar Monforte</v>
      </c>
      <c r="C8" s="433"/>
      <c r="D8" s="433"/>
      <c r="E8" s="433"/>
      <c r="F8" s="433"/>
      <c r="G8" s="433"/>
      <c r="H8" s="174">
        <v>15</v>
      </c>
      <c r="I8" s="185">
        <v>9</v>
      </c>
      <c r="J8" s="185">
        <v>4</v>
      </c>
      <c r="K8" s="185">
        <v>0</v>
      </c>
      <c r="L8" s="185">
        <v>0</v>
      </c>
      <c r="M8" s="185">
        <v>10</v>
      </c>
      <c r="N8" s="185">
        <v>10</v>
      </c>
      <c r="O8" s="185">
        <v>9</v>
      </c>
      <c r="P8" s="132">
        <v>4</v>
      </c>
      <c r="Q8" s="132"/>
      <c r="R8" s="132"/>
      <c r="S8" s="132"/>
      <c r="T8" s="132"/>
      <c r="U8" s="165"/>
      <c r="V8" s="46">
        <f>IF(COUNT(H8:U8)=0,"",SUM(H8:U8))</f>
        <v>61</v>
      </c>
      <c r="W8" s="152"/>
      <c r="X8" s="152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>
        <v>70</v>
      </c>
      <c r="AK8" s="39">
        <f>IF(COUNT(W8:AJ8)=0,"",SUM(W8:AJ8))</f>
        <v>70</v>
      </c>
    </row>
    <row r="9" spans="1:38" x14ac:dyDescent="0.25">
      <c r="A9" s="129">
        <f>IF('Avaliação Períodos'!A10=0,"",'Avaliação Períodos'!A10)</f>
        <v>2</v>
      </c>
      <c r="B9" s="429" t="str">
        <f>IF('Avaliação Períodos'!B10=0,"",'Avaliação Períodos'!B10)</f>
        <v>Alexandre Simões</v>
      </c>
      <c r="C9" s="430"/>
      <c r="D9" s="430"/>
      <c r="E9" s="430"/>
      <c r="F9" s="430"/>
      <c r="G9" s="431"/>
      <c r="H9" s="175">
        <v>0</v>
      </c>
      <c r="I9" s="176">
        <v>3</v>
      </c>
      <c r="J9" s="176">
        <v>2</v>
      </c>
      <c r="K9" s="176">
        <v>0</v>
      </c>
      <c r="L9" s="176">
        <v>0</v>
      </c>
      <c r="M9" s="176">
        <v>0</v>
      </c>
      <c r="N9" s="176">
        <v>10</v>
      </c>
      <c r="O9" s="176">
        <v>6</v>
      </c>
      <c r="P9" s="142">
        <v>2</v>
      </c>
      <c r="Q9" s="142"/>
      <c r="R9" s="142"/>
      <c r="S9" s="142"/>
      <c r="T9" s="142"/>
      <c r="U9" s="166"/>
      <c r="V9" s="46">
        <f t="shared" ref="V9:V37" si="0">IF(COUNT(H9:U9)=0,"",SUM(H9:U9))</f>
        <v>23</v>
      </c>
      <c r="W9" s="141"/>
      <c r="X9" s="141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>
        <v>50</v>
      </c>
      <c r="AK9" s="39">
        <f t="shared" ref="AK9:AK37" si="1">IF(COUNT(W9:AJ9)=0,"",SUM(W9:AJ9))</f>
        <v>50</v>
      </c>
    </row>
    <row r="10" spans="1:38" x14ac:dyDescent="0.25">
      <c r="A10" s="128">
        <f>IF('Avaliação Períodos'!A11=0,"",'Avaliação Períodos'!A11)</f>
        <v>3</v>
      </c>
      <c r="B10" s="410" t="str">
        <f>IF('Avaliação Períodos'!B11=0,"",'Avaliação Períodos'!B11)</f>
        <v>Ana Inácio</v>
      </c>
      <c r="C10" s="411"/>
      <c r="D10" s="411"/>
      <c r="E10" s="411"/>
      <c r="F10" s="411"/>
      <c r="G10" s="434"/>
      <c r="H10" s="174">
        <v>20</v>
      </c>
      <c r="I10" s="177">
        <v>6</v>
      </c>
      <c r="J10" s="177">
        <v>4</v>
      </c>
      <c r="K10" s="177">
        <v>10</v>
      </c>
      <c r="L10" s="177">
        <v>0</v>
      </c>
      <c r="M10" s="177">
        <v>0</v>
      </c>
      <c r="N10" s="177">
        <v>0</v>
      </c>
      <c r="O10" s="177">
        <v>12</v>
      </c>
      <c r="P10" s="167">
        <v>8</v>
      </c>
      <c r="Q10" s="139"/>
      <c r="R10" s="139"/>
      <c r="S10" s="139"/>
      <c r="T10" s="139"/>
      <c r="U10" s="168"/>
      <c r="V10" s="46">
        <f t="shared" si="0"/>
        <v>60</v>
      </c>
      <c r="W10" s="138"/>
      <c r="X10" s="138"/>
      <c r="Y10" s="139"/>
      <c r="Z10" s="139"/>
      <c r="AA10" s="139"/>
      <c r="AB10" s="139"/>
      <c r="AC10" s="139"/>
      <c r="AD10" s="139"/>
      <c r="AE10" s="139"/>
      <c r="AF10" s="167"/>
      <c r="AG10" s="139"/>
      <c r="AH10" s="139"/>
      <c r="AI10" s="139"/>
      <c r="AJ10" s="139">
        <v>90</v>
      </c>
      <c r="AK10" s="39">
        <f t="shared" si="1"/>
        <v>90</v>
      </c>
    </row>
    <row r="11" spans="1:38" x14ac:dyDescent="0.25">
      <c r="A11" s="129">
        <f>IF('Avaliação Períodos'!A12=0,"",'Avaliação Períodos'!A12)</f>
        <v>4</v>
      </c>
      <c r="B11" s="429" t="str">
        <f>IF('Avaliação Períodos'!B12=0,"",'Avaliação Períodos'!B12)</f>
        <v>Ana Gomes</v>
      </c>
      <c r="C11" s="430"/>
      <c r="D11" s="430"/>
      <c r="E11" s="430"/>
      <c r="F11" s="430"/>
      <c r="G11" s="431"/>
      <c r="H11" s="175">
        <v>20</v>
      </c>
      <c r="I11" s="176">
        <v>0</v>
      </c>
      <c r="J11" s="176">
        <v>0</v>
      </c>
      <c r="K11" s="176">
        <v>0</v>
      </c>
      <c r="L11" s="176">
        <v>10</v>
      </c>
      <c r="M11" s="176">
        <v>10</v>
      </c>
      <c r="N11" s="176">
        <v>10</v>
      </c>
      <c r="O11" s="176">
        <v>6</v>
      </c>
      <c r="P11" s="142">
        <v>4</v>
      </c>
      <c r="Q11" s="142"/>
      <c r="R11" s="142"/>
      <c r="S11" s="142"/>
      <c r="T11" s="142"/>
      <c r="U11" s="166"/>
      <c r="V11" s="46">
        <f t="shared" si="0"/>
        <v>60</v>
      </c>
      <c r="W11" s="141"/>
      <c r="X11" s="141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>
        <v>60</v>
      </c>
      <c r="AK11" s="39">
        <f t="shared" si="1"/>
        <v>60</v>
      </c>
    </row>
    <row r="12" spans="1:38" x14ac:dyDescent="0.25">
      <c r="A12" s="128">
        <f>IF('Avaliação Períodos'!A13=0,"",'Avaliação Períodos'!A13)</f>
        <v>5</v>
      </c>
      <c r="B12" s="410" t="str">
        <f>IF('Avaliação Períodos'!B13=0,"",'Avaliação Períodos'!B13)</f>
        <v>Bruna Lemos</v>
      </c>
      <c r="C12" s="411"/>
      <c r="D12" s="411"/>
      <c r="E12" s="411"/>
      <c r="F12" s="411"/>
      <c r="G12" s="434"/>
      <c r="H12" s="174">
        <v>20</v>
      </c>
      <c r="I12" s="177">
        <v>12</v>
      </c>
      <c r="J12" s="177">
        <v>8</v>
      </c>
      <c r="K12" s="177">
        <v>0</v>
      </c>
      <c r="L12" s="177">
        <v>0</v>
      </c>
      <c r="M12" s="177">
        <v>0</v>
      </c>
      <c r="N12" s="177"/>
      <c r="O12" s="177"/>
      <c r="P12" s="167"/>
      <c r="Q12" s="139">
        <v>20</v>
      </c>
      <c r="R12" s="139"/>
      <c r="S12" s="139"/>
      <c r="T12" s="139"/>
      <c r="U12" s="168"/>
      <c r="V12" s="46">
        <f t="shared" si="0"/>
        <v>60</v>
      </c>
      <c r="W12" s="138"/>
      <c r="X12" s="138"/>
      <c r="Y12" s="139"/>
      <c r="Z12" s="139"/>
      <c r="AA12" s="139"/>
      <c r="AB12" s="139"/>
      <c r="AC12" s="139"/>
      <c r="AD12" s="139"/>
      <c r="AE12" s="139"/>
      <c r="AF12" s="167"/>
      <c r="AG12" s="139"/>
      <c r="AH12" s="139"/>
      <c r="AI12" s="139"/>
      <c r="AJ12" s="139">
        <v>55</v>
      </c>
      <c r="AK12" s="39">
        <f t="shared" si="1"/>
        <v>55</v>
      </c>
    </row>
    <row r="13" spans="1:38" x14ac:dyDescent="0.25">
      <c r="A13" s="129">
        <f>IF('Avaliação Períodos'!A14=0,"",'Avaliação Períodos'!A14)</f>
        <v>6</v>
      </c>
      <c r="B13" s="429" t="str">
        <f>IF('Avaliação Períodos'!B14=0,"",'Avaliação Períodos'!B14)</f>
        <v>Constança Abreu</v>
      </c>
      <c r="C13" s="430"/>
      <c r="D13" s="430"/>
      <c r="E13" s="430"/>
      <c r="F13" s="430"/>
      <c r="G13" s="431"/>
      <c r="H13" s="175">
        <v>10</v>
      </c>
      <c r="I13" s="176">
        <v>9</v>
      </c>
      <c r="J13" s="176">
        <v>6</v>
      </c>
      <c r="K13" s="176">
        <v>0</v>
      </c>
      <c r="L13" s="176">
        <v>10</v>
      </c>
      <c r="M13" s="176">
        <v>10</v>
      </c>
      <c r="N13" s="176">
        <v>10</v>
      </c>
      <c r="O13" s="176">
        <v>12</v>
      </c>
      <c r="P13" s="142">
        <v>6</v>
      </c>
      <c r="Q13" s="142"/>
      <c r="R13" s="142"/>
      <c r="S13" s="142"/>
      <c r="T13" s="142"/>
      <c r="U13" s="166"/>
      <c r="V13" s="46">
        <f t="shared" si="0"/>
        <v>73</v>
      </c>
      <c r="W13" s="141"/>
      <c r="X13" s="141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>
        <v>76</v>
      </c>
      <c r="AK13" s="39">
        <f t="shared" si="1"/>
        <v>76</v>
      </c>
    </row>
    <row r="14" spans="1:38" x14ac:dyDescent="0.25">
      <c r="A14" s="128">
        <f>IF('Avaliação Períodos'!A15=0,"",'Avaliação Períodos'!A15)</f>
        <v>7</v>
      </c>
      <c r="B14" s="410" t="str">
        <f>IF('Avaliação Períodos'!B15=0,"",'Avaliação Períodos'!B15)</f>
        <v>Cristiano Emídio</v>
      </c>
      <c r="C14" s="411"/>
      <c r="D14" s="411"/>
      <c r="E14" s="411"/>
      <c r="F14" s="411"/>
      <c r="G14" s="434"/>
      <c r="H14" s="174"/>
      <c r="I14" s="177"/>
      <c r="J14" s="177"/>
      <c r="K14" s="177"/>
      <c r="L14" s="177"/>
      <c r="M14" s="177"/>
      <c r="N14" s="177"/>
      <c r="O14" s="177"/>
      <c r="P14" s="167"/>
      <c r="Q14" s="139"/>
      <c r="R14" s="139"/>
      <c r="S14" s="139"/>
      <c r="T14" s="139"/>
      <c r="U14" s="168">
        <v>0</v>
      </c>
      <c r="V14" s="46">
        <f t="shared" si="0"/>
        <v>0</v>
      </c>
      <c r="W14" s="138"/>
      <c r="X14" s="138"/>
      <c r="Y14" s="139"/>
      <c r="Z14" s="139"/>
      <c r="AA14" s="139"/>
      <c r="AB14" s="139"/>
      <c r="AC14" s="139"/>
      <c r="AD14" s="139"/>
      <c r="AE14" s="139"/>
      <c r="AF14" s="167"/>
      <c r="AG14" s="139"/>
      <c r="AH14" s="139"/>
      <c r="AI14" s="139"/>
      <c r="AJ14" s="139">
        <v>17</v>
      </c>
      <c r="AK14" s="39">
        <f t="shared" si="1"/>
        <v>17</v>
      </c>
    </row>
    <row r="15" spans="1:38" x14ac:dyDescent="0.25">
      <c r="A15" s="129">
        <f>IF('Avaliação Períodos'!A16=0,"",'Avaliação Períodos'!A16)</f>
        <v>8</v>
      </c>
      <c r="B15" s="429" t="str">
        <f>IF('Avaliação Períodos'!B16=0,"",'Avaliação Períodos'!B16)</f>
        <v>Edgar Gonçalves</v>
      </c>
      <c r="C15" s="430"/>
      <c r="D15" s="430"/>
      <c r="E15" s="430"/>
      <c r="F15" s="430"/>
      <c r="G15" s="431"/>
      <c r="H15" s="175">
        <v>20</v>
      </c>
      <c r="I15" s="176">
        <v>6</v>
      </c>
      <c r="J15" s="176">
        <v>4</v>
      </c>
      <c r="K15" s="176">
        <v>0</v>
      </c>
      <c r="L15" s="176">
        <v>0</v>
      </c>
      <c r="M15" s="176">
        <v>0</v>
      </c>
      <c r="N15" s="176">
        <v>10</v>
      </c>
      <c r="O15" s="176">
        <v>6</v>
      </c>
      <c r="P15" s="142">
        <v>4</v>
      </c>
      <c r="Q15" s="142"/>
      <c r="R15" s="144"/>
      <c r="S15" s="142"/>
      <c r="T15" s="142"/>
      <c r="U15" s="166"/>
      <c r="V15" s="46">
        <f t="shared" si="0"/>
        <v>50</v>
      </c>
      <c r="W15" s="141"/>
      <c r="X15" s="141"/>
      <c r="Y15" s="142"/>
      <c r="Z15" s="144"/>
      <c r="AA15" s="142"/>
      <c r="AB15" s="142"/>
      <c r="AC15" s="142"/>
      <c r="AD15" s="142"/>
      <c r="AE15" s="142"/>
      <c r="AF15" s="142"/>
      <c r="AG15" s="142"/>
      <c r="AH15" s="144"/>
      <c r="AI15" s="142"/>
      <c r="AJ15" s="142">
        <v>52</v>
      </c>
      <c r="AK15" s="39">
        <f t="shared" si="1"/>
        <v>52</v>
      </c>
    </row>
    <row r="16" spans="1:38" x14ac:dyDescent="0.25">
      <c r="A16" s="128">
        <f>IF('Avaliação Períodos'!A17=0,"",'Avaliação Períodos'!A17)</f>
        <v>9</v>
      </c>
      <c r="B16" s="410" t="str">
        <f>IF('Avaliação Períodos'!B17=0,"",'Avaliação Períodos'!B17)</f>
        <v>Fábio Trino</v>
      </c>
      <c r="C16" s="411"/>
      <c r="D16" s="411"/>
      <c r="E16" s="411"/>
      <c r="F16" s="411"/>
      <c r="G16" s="434"/>
      <c r="H16" s="174">
        <v>20</v>
      </c>
      <c r="I16" s="177">
        <v>12</v>
      </c>
      <c r="J16" s="177">
        <v>8</v>
      </c>
      <c r="K16" s="177">
        <v>0</v>
      </c>
      <c r="L16" s="177">
        <v>10</v>
      </c>
      <c r="M16" s="177">
        <v>10</v>
      </c>
      <c r="N16" s="177">
        <v>10</v>
      </c>
      <c r="O16" s="177">
        <v>12</v>
      </c>
      <c r="P16" s="167">
        <v>8</v>
      </c>
      <c r="Q16" s="139"/>
      <c r="R16" s="139"/>
      <c r="S16" s="139"/>
      <c r="T16" s="139"/>
      <c r="U16" s="168"/>
      <c r="V16" s="46">
        <f t="shared" si="0"/>
        <v>90</v>
      </c>
      <c r="W16" s="138"/>
      <c r="X16" s="138"/>
      <c r="Y16" s="139"/>
      <c r="Z16" s="139"/>
      <c r="AA16" s="139"/>
      <c r="AB16" s="139"/>
      <c r="AC16" s="139"/>
      <c r="AD16" s="139"/>
      <c r="AE16" s="139"/>
      <c r="AF16" s="167"/>
      <c r="AG16" s="139"/>
      <c r="AH16" s="139"/>
      <c r="AI16" s="139"/>
      <c r="AJ16" s="139">
        <v>61</v>
      </c>
      <c r="AK16" s="39">
        <f t="shared" si="1"/>
        <v>61</v>
      </c>
    </row>
    <row r="17" spans="1:37" x14ac:dyDescent="0.25">
      <c r="A17" s="129">
        <f>IF('Avaliação Períodos'!A18=0,"",'Avaliação Períodos'!A18)</f>
        <v>10</v>
      </c>
      <c r="B17" s="429" t="str">
        <f>IF('Avaliação Períodos'!B18=0,"",'Avaliação Períodos'!B18)</f>
        <v>Francisco Pedrosa</v>
      </c>
      <c r="C17" s="430"/>
      <c r="D17" s="430"/>
      <c r="E17" s="430"/>
      <c r="F17" s="430"/>
      <c r="G17" s="431"/>
      <c r="H17" s="175">
        <v>10</v>
      </c>
      <c r="I17" s="176">
        <v>6</v>
      </c>
      <c r="J17" s="176">
        <v>4</v>
      </c>
      <c r="K17" s="176">
        <v>0</v>
      </c>
      <c r="L17" s="176">
        <v>0</v>
      </c>
      <c r="M17" s="176">
        <v>0</v>
      </c>
      <c r="N17" s="176">
        <v>0</v>
      </c>
      <c r="O17" s="176">
        <v>12</v>
      </c>
      <c r="P17" s="142">
        <v>6</v>
      </c>
      <c r="Q17" s="142"/>
      <c r="R17" s="142"/>
      <c r="S17" s="142"/>
      <c r="T17" s="142"/>
      <c r="U17" s="166"/>
      <c r="V17" s="46">
        <f t="shared" si="0"/>
        <v>38</v>
      </c>
      <c r="W17" s="141"/>
      <c r="X17" s="141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>
        <v>65</v>
      </c>
      <c r="AK17" s="39">
        <f t="shared" si="1"/>
        <v>65</v>
      </c>
    </row>
    <row r="18" spans="1:37" x14ac:dyDescent="0.25">
      <c r="A18" s="128">
        <f>IF('Avaliação Períodos'!A19=0,"",'Avaliação Períodos'!A19)</f>
        <v>11</v>
      </c>
      <c r="B18" s="410" t="str">
        <f>IF('Avaliação Períodos'!B19=0,"",'Avaliação Períodos'!B19)</f>
        <v>Francisco Miranda</v>
      </c>
      <c r="C18" s="411"/>
      <c r="D18" s="411"/>
      <c r="E18" s="411"/>
      <c r="F18" s="411"/>
      <c r="G18" s="434"/>
      <c r="H18" s="174">
        <v>20</v>
      </c>
      <c r="I18" s="177">
        <v>12</v>
      </c>
      <c r="J18" s="177">
        <v>6</v>
      </c>
      <c r="K18" s="177">
        <v>0</v>
      </c>
      <c r="L18" s="177">
        <v>0</v>
      </c>
      <c r="M18" s="177">
        <v>0</v>
      </c>
      <c r="N18" s="177">
        <v>0</v>
      </c>
      <c r="O18" s="177">
        <v>6</v>
      </c>
      <c r="P18" s="139">
        <v>2</v>
      </c>
      <c r="Q18" s="139"/>
      <c r="R18" s="139"/>
      <c r="S18" s="139"/>
      <c r="T18" s="139"/>
      <c r="U18" s="168"/>
      <c r="V18" s="46">
        <f t="shared" si="0"/>
        <v>46</v>
      </c>
      <c r="W18" s="145"/>
      <c r="X18" s="145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>
        <v>6</v>
      </c>
      <c r="AK18" s="39">
        <f t="shared" si="1"/>
        <v>6</v>
      </c>
    </row>
    <row r="19" spans="1:37" x14ac:dyDescent="0.25">
      <c r="A19" s="129">
        <f>IF('Avaliação Períodos'!A20=0,"",'Avaliação Períodos'!A20)</f>
        <v>12</v>
      </c>
      <c r="B19" s="429" t="str">
        <f>IF('Avaliação Períodos'!B20=0,"",'Avaliação Períodos'!B20)</f>
        <v>Francisco Mota</v>
      </c>
      <c r="C19" s="430"/>
      <c r="D19" s="430"/>
      <c r="E19" s="430"/>
      <c r="F19" s="430"/>
      <c r="G19" s="431"/>
      <c r="H19" s="175">
        <v>15</v>
      </c>
      <c r="I19" s="176">
        <v>6</v>
      </c>
      <c r="J19" s="176">
        <v>4</v>
      </c>
      <c r="K19" s="176">
        <v>5</v>
      </c>
      <c r="L19" s="176">
        <v>0</v>
      </c>
      <c r="M19" s="176">
        <v>10</v>
      </c>
      <c r="N19" s="176">
        <v>10</v>
      </c>
      <c r="O19" s="176">
        <v>3</v>
      </c>
      <c r="P19" s="142">
        <v>2</v>
      </c>
      <c r="Q19" s="142"/>
      <c r="R19" s="142"/>
      <c r="S19" s="142"/>
      <c r="T19" s="142"/>
      <c r="U19" s="166"/>
      <c r="V19" s="46">
        <f t="shared" si="0"/>
        <v>55</v>
      </c>
      <c r="W19" s="141"/>
      <c r="X19" s="141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>
        <v>58</v>
      </c>
      <c r="AK19" s="39">
        <f t="shared" si="1"/>
        <v>58</v>
      </c>
    </row>
    <row r="20" spans="1:37" x14ac:dyDescent="0.25">
      <c r="A20" s="128">
        <f>IF('Avaliação Períodos'!A21=0,"",'Avaliação Períodos'!A21)</f>
        <v>13</v>
      </c>
      <c r="B20" s="410" t="str">
        <f>IF('Avaliação Períodos'!B21=0,"",'Avaliação Períodos'!B21)</f>
        <v>Francisco Marques</v>
      </c>
      <c r="C20" s="411"/>
      <c r="D20" s="411"/>
      <c r="E20" s="411"/>
      <c r="F20" s="411"/>
      <c r="G20" s="434"/>
      <c r="H20" s="174">
        <v>10</v>
      </c>
      <c r="I20" s="177">
        <v>12</v>
      </c>
      <c r="J20" s="177">
        <v>8</v>
      </c>
      <c r="K20" s="177">
        <v>0</v>
      </c>
      <c r="L20" s="177">
        <v>10</v>
      </c>
      <c r="M20" s="177">
        <v>10</v>
      </c>
      <c r="N20" s="177">
        <v>0</v>
      </c>
      <c r="O20" s="177">
        <v>6</v>
      </c>
      <c r="P20" s="139">
        <v>2</v>
      </c>
      <c r="Q20" s="139"/>
      <c r="R20" s="139"/>
      <c r="S20" s="139"/>
      <c r="T20" s="139"/>
      <c r="U20" s="168"/>
      <c r="V20" s="46">
        <f t="shared" si="0"/>
        <v>58</v>
      </c>
      <c r="W20" s="145"/>
      <c r="X20" s="145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>
        <v>45</v>
      </c>
      <c r="AK20" s="39">
        <f t="shared" si="1"/>
        <v>45</v>
      </c>
    </row>
    <row r="21" spans="1:37" x14ac:dyDescent="0.25">
      <c r="A21" s="129">
        <f>IF('Avaliação Períodos'!A22=0,"",'Avaliação Períodos'!A22)</f>
        <v>14</v>
      </c>
      <c r="B21" s="429" t="str">
        <f>IF('Avaliação Períodos'!B22=0,"",'Avaliação Períodos'!B22)</f>
        <v>Jamila Portilha</v>
      </c>
      <c r="C21" s="430"/>
      <c r="D21" s="430"/>
      <c r="E21" s="430"/>
      <c r="F21" s="430"/>
      <c r="G21" s="431"/>
      <c r="H21" s="175">
        <v>20</v>
      </c>
      <c r="I21" s="176">
        <v>12</v>
      </c>
      <c r="J21" s="176">
        <v>8</v>
      </c>
      <c r="K21" s="176">
        <v>5</v>
      </c>
      <c r="L21" s="176">
        <v>10</v>
      </c>
      <c r="M21" s="176">
        <v>10</v>
      </c>
      <c r="N21" s="176">
        <v>10</v>
      </c>
      <c r="O21" s="176">
        <v>12</v>
      </c>
      <c r="P21" s="142">
        <v>8</v>
      </c>
      <c r="Q21" s="142"/>
      <c r="R21" s="142"/>
      <c r="S21" s="142"/>
      <c r="T21" s="142"/>
      <c r="U21" s="166"/>
      <c r="V21" s="46">
        <f t="shared" si="0"/>
        <v>95</v>
      </c>
      <c r="W21" s="141"/>
      <c r="X21" s="141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>
        <v>92</v>
      </c>
      <c r="AK21" s="39">
        <f t="shared" si="1"/>
        <v>92</v>
      </c>
    </row>
    <row r="22" spans="1:37" x14ac:dyDescent="0.25">
      <c r="A22" s="128">
        <f>IF('Avaliação Períodos'!A23=0,"",'Avaliação Períodos'!A23)</f>
        <v>15</v>
      </c>
      <c r="B22" s="410" t="str">
        <f>IF('Avaliação Períodos'!B23=0,"",'Avaliação Períodos'!B23)</f>
        <v>Joelma Emídio</v>
      </c>
      <c r="C22" s="411"/>
      <c r="D22" s="411"/>
      <c r="E22" s="411"/>
      <c r="F22" s="411"/>
      <c r="G22" s="434"/>
      <c r="H22" s="174"/>
      <c r="I22" s="177"/>
      <c r="J22" s="177"/>
      <c r="K22" s="177"/>
      <c r="L22" s="177"/>
      <c r="M22" s="177"/>
      <c r="N22" s="177"/>
      <c r="O22" s="177"/>
      <c r="P22" s="139"/>
      <c r="Q22" s="139"/>
      <c r="R22" s="139"/>
      <c r="S22" s="139"/>
      <c r="T22" s="139"/>
      <c r="U22" s="168">
        <v>0</v>
      </c>
      <c r="V22" s="46">
        <f t="shared" si="0"/>
        <v>0</v>
      </c>
      <c r="W22" s="145"/>
      <c r="X22" s="145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>
        <v>19</v>
      </c>
      <c r="AK22" s="39">
        <f t="shared" si="1"/>
        <v>19</v>
      </c>
    </row>
    <row r="23" spans="1:37" x14ac:dyDescent="0.25">
      <c r="A23" s="129">
        <f>IF('Avaliação Períodos'!A24=0,"",'Avaliação Períodos'!A24)</f>
        <v>16</v>
      </c>
      <c r="B23" s="429" t="str">
        <f>IF('Avaliação Períodos'!B24=0,"",'Avaliação Períodos'!B24)</f>
        <v>José Garcia</v>
      </c>
      <c r="C23" s="430"/>
      <c r="D23" s="430"/>
      <c r="E23" s="430"/>
      <c r="F23" s="430"/>
      <c r="G23" s="431"/>
      <c r="H23" s="175">
        <v>20</v>
      </c>
      <c r="I23" s="176">
        <v>12</v>
      </c>
      <c r="J23" s="176">
        <v>8</v>
      </c>
      <c r="K23" s="176">
        <v>0</v>
      </c>
      <c r="L23" s="176">
        <v>0</v>
      </c>
      <c r="M23" s="176"/>
      <c r="N23" s="176"/>
      <c r="O23" s="176"/>
      <c r="P23" s="142"/>
      <c r="Q23" s="142">
        <v>20</v>
      </c>
      <c r="R23" s="142">
        <v>20</v>
      </c>
      <c r="S23" s="142"/>
      <c r="T23" s="142"/>
      <c r="U23" s="166"/>
      <c r="V23" s="46">
        <f t="shared" si="0"/>
        <v>80</v>
      </c>
      <c r="W23" s="141"/>
      <c r="X23" s="141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>
        <v>53</v>
      </c>
      <c r="AK23" s="39">
        <f t="shared" si="1"/>
        <v>53</v>
      </c>
    </row>
    <row r="24" spans="1:37" x14ac:dyDescent="0.25">
      <c r="A24" s="128">
        <f>IF('Avaliação Períodos'!A25=0,"",'Avaliação Períodos'!A25)</f>
        <v>17</v>
      </c>
      <c r="B24" s="410" t="str">
        <f>IF('Avaliação Períodos'!B25=0,"",'Avaliação Períodos'!B25)</f>
        <v>Leonor Gomes</v>
      </c>
      <c r="C24" s="411"/>
      <c r="D24" s="411"/>
      <c r="E24" s="411"/>
      <c r="F24" s="411"/>
      <c r="G24" s="434"/>
      <c r="H24" s="174">
        <v>0</v>
      </c>
      <c r="I24" s="177">
        <v>6</v>
      </c>
      <c r="J24" s="177">
        <v>4</v>
      </c>
      <c r="K24" s="177">
        <v>0</v>
      </c>
      <c r="L24" s="177">
        <v>10</v>
      </c>
      <c r="M24" s="177">
        <v>10</v>
      </c>
      <c r="N24" s="177">
        <v>0</v>
      </c>
      <c r="O24" s="177">
        <v>6</v>
      </c>
      <c r="P24" s="139">
        <v>4</v>
      </c>
      <c r="Q24" s="139"/>
      <c r="R24" s="139"/>
      <c r="S24" s="139"/>
      <c r="T24" s="139"/>
      <c r="U24" s="168"/>
      <c r="V24" s="46">
        <f t="shared" si="0"/>
        <v>40</v>
      </c>
      <c r="W24" s="145"/>
      <c r="X24" s="145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>
        <v>59</v>
      </c>
      <c r="AK24" s="39">
        <f t="shared" si="1"/>
        <v>59</v>
      </c>
    </row>
    <row r="25" spans="1:37" x14ac:dyDescent="0.25">
      <c r="A25" s="129">
        <f>IF('Avaliação Períodos'!A26=0,"",'Avaliação Períodos'!A26)</f>
        <v>18</v>
      </c>
      <c r="B25" s="429" t="str">
        <f>IF('Avaliação Períodos'!B26=0,"",'Avaliação Períodos'!B26)</f>
        <v>Martim Santos</v>
      </c>
      <c r="C25" s="430"/>
      <c r="D25" s="430"/>
      <c r="E25" s="430"/>
      <c r="F25" s="430"/>
      <c r="G25" s="431"/>
      <c r="H25" s="175">
        <v>20</v>
      </c>
      <c r="I25" s="176">
        <v>0</v>
      </c>
      <c r="J25" s="176">
        <v>0</v>
      </c>
      <c r="K25" s="176">
        <v>0</v>
      </c>
      <c r="L25" s="176">
        <v>0</v>
      </c>
      <c r="M25" s="176">
        <v>0</v>
      </c>
      <c r="N25" s="176">
        <v>10</v>
      </c>
      <c r="O25" s="176">
        <v>6</v>
      </c>
      <c r="P25" s="142">
        <v>4</v>
      </c>
      <c r="Q25" s="142"/>
      <c r="R25" s="142"/>
      <c r="S25" s="142"/>
      <c r="T25" s="142"/>
      <c r="U25" s="166"/>
      <c r="V25" s="46">
        <f t="shared" si="0"/>
        <v>40</v>
      </c>
      <c r="W25" s="141"/>
      <c r="X25" s="141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>
        <v>42</v>
      </c>
      <c r="AK25" s="39">
        <f t="shared" si="1"/>
        <v>42</v>
      </c>
    </row>
    <row r="26" spans="1:37" x14ac:dyDescent="0.25">
      <c r="A26" s="128">
        <f>IF('Avaliação Períodos'!A27=0,"",'Avaliação Períodos'!A27)</f>
        <v>19</v>
      </c>
      <c r="B26" s="410" t="str">
        <f>IF('Avaliação Períodos'!B27=0,"",'Avaliação Períodos'!B27)</f>
        <v>Nikole Lage</v>
      </c>
      <c r="C26" s="411"/>
      <c r="D26" s="411"/>
      <c r="E26" s="411"/>
      <c r="F26" s="411"/>
      <c r="G26" s="434"/>
      <c r="H26" s="174">
        <v>20</v>
      </c>
      <c r="I26" s="177">
        <v>6</v>
      </c>
      <c r="J26" s="177">
        <v>4</v>
      </c>
      <c r="K26" s="177">
        <v>0</v>
      </c>
      <c r="L26" s="177">
        <v>0</v>
      </c>
      <c r="M26" s="177"/>
      <c r="N26" s="177">
        <v>0</v>
      </c>
      <c r="O26" s="177"/>
      <c r="P26" s="139"/>
      <c r="Q26" s="139">
        <v>20</v>
      </c>
      <c r="R26" s="139"/>
      <c r="S26" s="139"/>
      <c r="T26" s="139"/>
      <c r="U26" s="168"/>
      <c r="V26" s="46">
        <f t="shared" si="0"/>
        <v>50</v>
      </c>
      <c r="W26" s="145"/>
      <c r="X26" s="145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>
        <v>35</v>
      </c>
      <c r="AK26" s="39">
        <f t="shared" si="1"/>
        <v>35</v>
      </c>
    </row>
    <row r="27" spans="1:37" x14ac:dyDescent="0.25">
      <c r="A27" s="129">
        <f>IF('Avaliação Períodos'!A28=0,"",'Avaliação Períodos'!A28)</f>
        <v>20</v>
      </c>
      <c r="B27" s="429" t="str">
        <f>IF('Avaliação Períodos'!B28=0,"",'Avaliação Períodos'!B28)</f>
        <v>Tatiana Gomes</v>
      </c>
      <c r="C27" s="430"/>
      <c r="D27" s="430"/>
      <c r="E27" s="430"/>
      <c r="F27" s="430"/>
      <c r="G27" s="431"/>
      <c r="H27" s="175">
        <v>20</v>
      </c>
      <c r="I27" s="176">
        <v>12</v>
      </c>
      <c r="J27" s="176">
        <v>8</v>
      </c>
      <c r="K27" s="176">
        <v>0</v>
      </c>
      <c r="L27" s="176">
        <v>10</v>
      </c>
      <c r="M27" s="176">
        <v>10</v>
      </c>
      <c r="N27" s="176">
        <v>10</v>
      </c>
      <c r="O27" s="176">
        <v>12</v>
      </c>
      <c r="P27" s="142">
        <v>8</v>
      </c>
      <c r="Q27" s="142"/>
      <c r="R27" s="142"/>
      <c r="S27" s="142"/>
      <c r="T27" s="142"/>
      <c r="U27" s="166"/>
      <c r="V27" s="46">
        <f t="shared" si="0"/>
        <v>90</v>
      </c>
      <c r="W27" s="141"/>
      <c r="X27" s="141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>
        <v>90</v>
      </c>
      <c r="AK27" s="39">
        <f t="shared" si="1"/>
        <v>90</v>
      </c>
    </row>
    <row r="28" spans="1:37" x14ac:dyDescent="0.25">
      <c r="A28" s="128">
        <f>IF('Avaliação Períodos'!A29=0,"",'Avaliação Períodos'!A29)</f>
        <v>21</v>
      </c>
      <c r="B28" s="410" t="str">
        <f>IF('Avaliação Períodos'!B29=0,"",'Avaliação Períodos'!B29)</f>
        <v>Manuel Ascenso</v>
      </c>
      <c r="C28" s="411"/>
      <c r="D28" s="411"/>
      <c r="E28" s="411"/>
      <c r="F28" s="411"/>
      <c r="G28" s="434"/>
      <c r="H28" s="174">
        <v>20</v>
      </c>
      <c r="I28" s="177">
        <v>12</v>
      </c>
      <c r="J28" s="177">
        <v>8</v>
      </c>
      <c r="K28" s="177">
        <v>0</v>
      </c>
      <c r="L28" s="177">
        <v>10</v>
      </c>
      <c r="M28" s="177">
        <v>10</v>
      </c>
      <c r="N28" s="177">
        <v>10</v>
      </c>
      <c r="O28" s="177">
        <v>12</v>
      </c>
      <c r="P28" s="139">
        <v>8</v>
      </c>
      <c r="Q28" s="139"/>
      <c r="R28" s="139"/>
      <c r="S28" s="139"/>
      <c r="T28" s="139"/>
      <c r="U28" s="168"/>
      <c r="V28" s="46">
        <f t="shared" si="0"/>
        <v>90</v>
      </c>
      <c r="W28" s="145"/>
      <c r="X28" s="145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>
        <v>100</v>
      </c>
      <c r="AK28" s="39">
        <f t="shared" si="1"/>
        <v>100</v>
      </c>
    </row>
    <row r="29" spans="1:37" x14ac:dyDescent="0.25">
      <c r="A29" s="129" t="str">
        <f>IF('Avaliação Períodos'!A30=0,"",'Avaliação Períodos'!A30)</f>
        <v/>
      </c>
      <c r="B29" s="429" t="str">
        <f>IF('Avaliação Períodos'!B30=0,"",'Avaliação Períodos'!B30)</f>
        <v>Ana Ramos</v>
      </c>
      <c r="C29" s="430"/>
      <c r="D29" s="430"/>
      <c r="E29" s="430"/>
      <c r="F29" s="430"/>
      <c r="G29" s="431"/>
      <c r="H29" s="175"/>
      <c r="I29" s="176"/>
      <c r="J29" s="176"/>
      <c r="K29" s="176"/>
      <c r="L29" s="176"/>
      <c r="M29" s="176"/>
      <c r="N29" s="176"/>
      <c r="O29" s="176"/>
      <c r="P29" s="147"/>
      <c r="Q29" s="147"/>
      <c r="R29" s="147"/>
      <c r="S29" s="147"/>
      <c r="T29" s="147"/>
      <c r="U29" s="169"/>
      <c r="V29" s="46" t="str">
        <f t="shared" si="0"/>
        <v/>
      </c>
      <c r="W29" s="146"/>
      <c r="X29" s="146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>
        <v>0</v>
      </c>
      <c r="AK29" s="39">
        <f t="shared" si="1"/>
        <v>0</v>
      </c>
    </row>
    <row r="30" spans="1:37" x14ac:dyDescent="0.25">
      <c r="A30" s="128" t="str">
        <f>IF('Avaliação Períodos'!A31=0,"",'Avaliação Períodos'!A31)</f>
        <v/>
      </c>
      <c r="B30" s="410" t="str">
        <f>IF('Avaliação Períodos'!B31=0,"",'Avaliação Períodos'!B31)</f>
        <v/>
      </c>
      <c r="C30" s="411"/>
      <c r="D30" s="411"/>
      <c r="E30" s="411"/>
      <c r="F30" s="411"/>
      <c r="G30" s="434"/>
      <c r="H30" s="174"/>
      <c r="I30" s="177"/>
      <c r="J30" s="177"/>
      <c r="K30" s="177"/>
      <c r="L30" s="177"/>
      <c r="M30" s="177"/>
      <c r="N30" s="177"/>
      <c r="O30" s="177"/>
      <c r="P30" s="139"/>
      <c r="Q30" s="139"/>
      <c r="R30" s="139"/>
      <c r="S30" s="139"/>
      <c r="T30" s="139"/>
      <c r="U30" s="168"/>
      <c r="V30" s="46" t="str">
        <f t="shared" si="0"/>
        <v/>
      </c>
      <c r="W30" s="145"/>
      <c r="X30" s="145"/>
      <c r="Y30" s="139"/>
      <c r="Z30" s="139"/>
      <c r="AA30" s="139"/>
      <c r="AB30" s="139"/>
      <c r="AC30" s="139"/>
      <c r="AD30" s="139"/>
      <c r="AE30" s="139"/>
      <c r="AF30" s="139"/>
      <c r="AG30" s="139"/>
      <c r="AH30" s="139"/>
      <c r="AI30" s="139"/>
      <c r="AJ30" s="139"/>
      <c r="AK30" s="39" t="str">
        <f t="shared" si="1"/>
        <v/>
      </c>
    </row>
    <row r="31" spans="1:37" x14ac:dyDescent="0.25">
      <c r="A31" s="129" t="str">
        <f>IF('Avaliação Períodos'!A32=0,"",'Avaliação Períodos'!A32)</f>
        <v/>
      </c>
      <c r="B31" s="429" t="str">
        <f>IF('Avaliação Períodos'!B32=0,"",'Avaliação Períodos'!B32)</f>
        <v/>
      </c>
      <c r="C31" s="430"/>
      <c r="D31" s="430"/>
      <c r="E31" s="430"/>
      <c r="F31" s="430"/>
      <c r="G31" s="431"/>
      <c r="H31" s="175"/>
      <c r="I31" s="176"/>
      <c r="J31" s="176"/>
      <c r="K31" s="176"/>
      <c r="L31" s="176"/>
      <c r="M31" s="176"/>
      <c r="N31" s="176"/>
      <c r="O31" s="176"/>
      <c r="P31" s="142"/>
      <c r="Q31" s="142"/>
      <c r="R31" s="142"/>
      <c r="S31" s="142"/>
      <c r="T31" s="142"/>
      <c r="U31" s="166"/>
      <c r="V31" s="46" t="str">
        <f t="shared" si="0"/>
        <v/>
      </c>
      <c r="W31" s="141"/>
      <c r="X31" s="141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39" t="str">
        <f t="shared" si="1"/>
        <v/>
      </c>
    </row>
    <row r="32" spans="1:37" x14ac:dyDescent="0.25">
      <c r="A32" s="128" t="str">
        <f>IF('Avaliação Períodos'!A33=0,"",'Avaliação Períodos'!A33)</f>
        <v/>
      </c>
      <c r="B32" s="410" t="str">
        <f>IF('Avaliação Períodos'!B33=0,"",'Avaliação Períodos'!B33)</f>
        <v/>
      </c>
      <c r="C32" s="411"/>
      <c r="D32" s="411"/>
      <c r="E32" s="411"/>
      <c r="F32" s="411"/>
      <c r="G32" s="434"/>
      <c r="H32" s="174"/>
      <c r="I32" s="177"/>
      <c r="J32" s="177"/>
      <c r="K32" s="177"/>
      <c r="L32" s="177"/>
      <c r="M32" s="177"/>
      <c r="N32" s="177"/>
      <c r="O32" s="177"/>
      <c r="P32" s="139"/>
      <c r="Q32" s="139"/>
      <c r="R32" s="139"/>
      <c r="S32" s="139"/>
      <c r="T32" s="139"/>
      <c r="U32" s="168"/>
      <c r="V32" s="46" t="str">
        <f t="shared" si="0"/>
        <v/>
      </c>
      <c r="W32" s="145"/>
      <c r="X32" s="145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39" t="str">
        <f t="shared" si="1"/>
        <v/>
      </c>
    </row>
    <row r="33" spans="1:37" x14ac:dyDescent="0.25">
      <c r="A33" s="129" t="str">
        <f>IF('Avaliação Períodos'!A34=0,"",'Avaliação Períodos'!A34)</f>
        <v/>
      </c>
      <c r="B33" s="429" t="str">
        <f>IF('Avaliação Períodos'!B34=0,"",'Avaliação Períodos'!B34)</f>
        <v/>
      </c>
      <c r="C33" s="430"/>
      <c r="D33" s="430"/>
      <c r="E33" s="430"/>
      <c r="F33" s="430"/>
      <c r="G33" s="431"/>
      <c r="H33" s="175"/>
      <c r="I33" s="176"/>
      <c r="J33" s="176"/>
      <c r="K33" s="176"/>
      <c r="L33" s="176"/>
      <c r="M33" s="176"/>
      <c r="N33" s="176"/>
      <c r="O33" s="176"/>
      <c r="P33" s="142"/>
      <c r="Q33" s="142"/>
      <c r="R33" s="142"/>
      <c r="S33" s="142"/>
      <c r="T33" s="142"/>
      <c r="U33" s="166"/>
      <c r="V33" s="46" t="str">
        <f t="shared" si="0"/>
        <v/>
      </c>
      <c r="W33" s="141"/>
      <c r="X33" s="141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39" t="str">
        <f t="shared" si="1"/>
        <v/>
      </c>
    </row>
    <row r="34" spans="1:37" x14ac:dyDescent="0.25">
      <c r="A34" s="128" t="str">
        <f>IF('Avaliação Períodos'!A35=0,"",'Avaliação Períodos'!A35)</f>
        <v/>
      </c>
      <c r="B34" s="410" t="str">
        <f>IF('Avaliação Períodos'!B35=0,"",'Avaliação Períodos'!B35)</f>
        <v/>
      </c>
      <c r="C34" s="411"/>
      <c r="D34" s="411"/>
      <c r="E34" s="411"/>
      <c r="F34" s="411"/>
      <c r="G34" s="434"/>
      <c r="H34" s="174"/>
      <c r="I34" s="177"/>
      <c r="J34" s="177"/>
      <c r="K34" s="177"/>
      <c r="L34" s="177"/>
      <c r="M34" s="177"/>
      <c r="N34" s="177"/>
      <c r="O34" s="177"/>
      <c r="P34" s="139"/>
      <c r="Q34" s="139"/>
      <c r="R34" s="139"/>
      <c r="S34" s="139"/>
      <c r="T34" s="139"/>
      <c r="U34" s="168"/>
      <c r="V34" s="46" t="str">
        <f t="shared" si="0"/>
        <v/>
      </c>
      <c r="W34" s="145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68"/>
      <c r="AK34" s="39" t="str">
        <f t="shared" si="1"/>
        <v/>
      </c>
    </row>
    <row r="35" spans="1:37" x14ac:dyDescent="0.25">
      <c r="A35" s="129" t="str">
        <f>IF('Avaliação Períodos'!A36=0,"",'Avaliação Períodos'!A36)</f>
        <v/>
      </c>
      <c r="B35" s="429" t="str">
        <f>IF('Avaliação Períodos'!B36=0,"",'Avaliação Períodos'!B36)</f>
        <v/>
      </c>
      <c r="C35" s="430"/>
      <c r="D35" s="430"/>
      <c r="E35" s="430"/>
      <c r="F35" s="430"/>
      <c r="G35" s="431"/>
      <c r="H35" s="175"/>
      <c r="I35" s="176"/>
      <c r="J35" s="176"/>
      <c r="K35" s="176"/>
      <c r="L35" s="176"/>
      <c r="M35" s="176"/>
      <c r="N35" s="176"/>
      <c r="O35" s="176"/>
      <c r="P35" s="142"/>
      <c r="Q35" s="142"/>
      <c r="R35" s="142"/>
      <c r="S35" s="142"/>
      <c r="T35" s="142"/>
      <c r="U35" s="166"/>
      <c r="V35" s="46" t="str">
        <f t="shared" si="0"/>
        <v/>
      </c>
      <c r="W35" s="141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66"/>
      <c r="AK35" s="39" t="str">
        <f t="shared" si="1"/>
        <v/>
      </c>
    </row>
    <row r="36" spans="1:37" x14ac:dyDescent="0.25">
      <c r="A36" s="130" t="str">
        <f>IF('Avaliação Períodos'!A37=0,"",'Avaliação Períodos'!A37)</f>
        <v/>
      </c>
      <c r="B36" s="410" t="str">
        <f>IF('Avaliação Períodos'!B37=0,"",'Avaliação Períodos'!B37)</f>
        <v/>
      </c>
      <c r="C36" s="411"/>
      <c r="D36" s="411"/>
      <c r="E36" s="411"/>
      <c r="F36" s="411"/>
      <c r="G36" s="434"/>
      <c r="H36" s="174"/>
      <c r="I36" s="177"/>
      <c r="J36" s="177"/>
      <c r="K36" s="177"/>
      <c r="L36" s="177"/>
      <c r="M36" s="177"/>
      <c r="N36" s="177"/>
      <c r="O36" s="177"/>
      <c r="P36" s="139"/>
      <c r="Q36" s="139"/>
      <c r="R36" s="139"/>
      <c r="S36" s="139"/>
      <c r="T36" s="139"/>
      <c r="U36" s="170"/>
      <c r="V36" s="46" t="str">
        <f t="shared" si="0"/>
        <v/>
      </c>
      <c r="W36" s="145"/>
      <c r="X36" s="139"/>
      <c r="Y36" s="139"/>
      <c r="Z36" s="139"/>
      <c r="AA36" s="139"/>
      <c r="AB36" s="139"/>
      <c r="AC36" s="139"/>
      <c r="AD36" s="139"/>
      <c r="AE36" s="139"/>
      <c r="AF36" s="139"/>
      <c r="AG36" s="139"/>
      <c r="AH36" s="139"/>
      <c r="AI36" s="139"/>
      <c r="AJ36" s="168"/>
      <c r="AK36" s="39" t="str">
        <f t="shared" si="1"/>
        <v/>
      </c>
    </row>
    <row r="37" spans="1:37" x14ac:dyDescent="0.25">
      <c r="A37" s="131" t="str">
        <f>IF('Avaliação Períodos'!A38=0,"",'Avaliação Períodos'!A38)</f>
        <v/>
      </c>
      <c r="B37" s="429" t="str">
        <f>IF('Avaliação Períodos'!B38=0,"",'Avaliação Períodos'!B38)</f>
        <v xml:space="preserve"> </v>
      </c>
      <c r="C37" s="430"/>
      <c r="D37" s="430"/>
      <c r="E37" s="430"/>
      <c r="F37" s="430"/>
      <c r="G37" s="431"/>
      <c r="H37" s="178"/>
      <c r="I37" s="179"/>
      <c r="J37" s="179"/>
      <c r="K37" s="179"/>
      <c r="L37" s="179"/>
      <c r="M37" s="179"/>
      <c r="N37" s="179"/>
      <c r="O37" s="179"/>
      <c r="P37" s="171"/>
      <c r="Q37" s="171"/>
      <c r="R37" s="171"/>
      <c r="S37" s="171"/>
      <c r="T37" s="171"/>
      <c r="U37" s="172"/>
      <c r="V37" s="46" t="str">
        <f t="shared" si="0"/>
        <v/>
      </c>
      <c r="W37" s="173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2"/>
      <c r="AK37" s="39" t="str">
        <f t="shared" si="1"/>
        <v/>
      </c>
    </row>
    <row r="38" spans="1:37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Q38" s="457" t="s">
        <v>53</v>
      </c>
      <c r="R38" s="458"/>
      <c r="S38" s="458"/>
      <c r="T38" s="458"/>
      <c r="U38" s="459"/>
      <c r="V38" s="155">
        <f>IF(COUNT(V8:V37)=0,"",AVERAGE(V8:V37))</f>
        <v>55.19047619047619</v>
      </c>
      <c r="W38" s="47"/>
      <c r="X38" s="47"/>
      <c r="Y38" s="56"/>
      <c r="Z38" s="47"/>
      <c r="AA38" s="47"/>
      <c r="AB38" s="47"/>
      <c r="AC38" s="47"/>
      <c r="AD38" s="47"/>
      <c r="AF38" s="457" t="s">
        <v>53</v>
      </c>
      <c r="AG38" s="458"/>
      <c r="AH38" s="458"/>
      <c r="AI38" s="458"/>
      <c r="AJ38" s="459"/>
      <c r="AK38" s="155">
        <f>IF(COUNT(AK8:AK37)=0,"",AVERAGE(AK8:AK37))</f>
        <v>54.31818181818182</v>
      </c>
    </row>
    <row r="39" spans="1:3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Q39" s="435" t="s">
        <v>54</v>
      </c>
      <c r="R39" s="436"/>
      <c r="S39" s="436"/>
      <c r="T39" s="436"/>
      <c r="U39" s="437"/>
      <c r="V39" s="156">
        <f>COUNTIF(V8:V37,"&lt;50")</f>
        <v>7</v>
      </c>
      <c r="W39" s="48"/>
      <c r="X39" s="48"/>
      <c r="Y39" s="48"/>
      <c r="Z39" s="48"/>
      <c r="AA39" s="48"/>
      <c r="AB39" s="48"/>
      <c r="AC39" s="48"/>
      <c r="AD39" s="48"/>
      <c r="AF39" s="435" t="s">
        <v>54</v>
      </c>
      <c r="AG39" s="436"/>
      <c r="AH39" s="436"/>
      <c r="AI39" s="436"/>
      <c r="AJ39" s="437"/>
      <c r="AK39" s="156">
        <f>COUNTIF(AK8:AK37,"&lt;50")</f>
        <v>7</v>
      </c>
    </row>
    <row r="40" spans="1:3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Q40" s="435" t="s">
        <v>55</v>
      </c>
      <c r="R40" s="436"/>
      <c r="S40" s="436"/>
      <c r="T40" s="436"/>
      <c r="U40" s="437"/>
      <c r="V40" s="157">
        <f>IF(COUNT(V8:V37)=0,"",V39/(COUNT(V8:V37))*100)</f>
        <v>33.333333333333329</v>
      </c>
      <c r="W40" s="49"/>
      <c r="X40" s="49"/>
      <c r="Y40" s="49"/>
      <c r="Z40" s="49"/>
      <c r="AA40" s="49"/>
      <c r="AB40" s="49"/>
      <c r="AC40" s="49"/>
      <c r="AD40" s="49"/>
      <c r="AF40" s="435" t="s">
        <v>55</v>
      </c>
      <c r="AG40" s="436"/>
      <c r="AH40" s="436"/>
      <c r="AI40" s="436"/>
      <c r="AJ40" s="437"/>
      <c r="AK40" s="157">
        <f>IF(COUNT(AK8:AK37)=0,"",AK39/(COUNT(AK8:AK37))*100)</f>
        <v>31.818181818181817</v>
      </c>
    </row>
    <row r="44" spans="1:37" x14ac:dyDescent="0.25">
      <c r="AC44" s="467" t="s">
        <v>41</v>
      </c>
      <c r="AD44" s="467"/>
      <c r="AE44" s="467"/>
      <c r="AF44" s="467"/>
    </row>
    <row r="45" spans="1:37" ht="27.75" customHeight="1" x14ac:dyDescent="0.25">
      <c r="AC45" s="467"/>
      <c r="AD45" s="467"/>
      <c r="AE45" s="467"/>
      <c r="AF45" s="467"/>
    </row>
    <row r="46" spans="1:37" ht="24" x14ac:dyDescent="0.25">
      <c r="AC46" s="20"/>
      <c r="AD46" s="20"/>
      <c r="AE46" s="79" t="s">
        <v>42</v>
      </c>
      <c r="AF46" s="21" t="s">
        <v>43</v>
      </c>
    </row>
    <row r="47" spans="1:37" x14ac:dyDescent="0.25">
      <c r="AC47" s="463" t="s">
        <v>21</v>
      </c>
      <c r="AD47" s="468" t="s">
        <v>44</v>
      </c>
      <c r="AE47" s="469">
        <v>2</v>
      </c>
      <c r="AF47" s="466">
        <v>3</v>
      </c>
    </row>
    <row r="48" spans="1:37" x14ac:dyDescent="0.25">
      <c r="AC48" s="464"/>
      <c r="AD48" s="468"/>
      <c r="AE48" s="469"/>
      <c r="AF48" s="466"/>
    </row>
    <row r="49" spans="29:32" x14ac:dyDescent="0.25">
      <c r="AC49" s="464"/>
      <c r="AD49" s="468"/>
      <c r="AE49" s="469"/>
      <c r="AF49" s="466"/>
    </row>
    <row r="50" spans="29:32" ht="48.75" x14ac:dyDescent="0.25">
      <c r="AC50" s="464"/>
      <c r="AD50" s="23" t="s">
        <v>45</v>
      </c>
      <c r="AE50" s="469" t="s">
        <v>46</v>
      </c>
      <c r="AF50" s="466">
        <v>6</v>
      </c>
    </row>
    <row r="51" spans="29:32" x14ac:dyDescent="0.25">
      <c r="AC51" s="464"/>
      <c r="AD51" s="470" t="s">
        <v>47</v>
      </c>
      <c r="AE51" s="469"/>
      <c r="AF51" s="466"/>
    </row>
    <row r="52" spans="29:32" x14ac:dyDescent="0.25">
      <c r="AC52" s="464"/>
      <c r="AD52" s="471"/>
      <c r="AE52" s="469"/>
      <c r="AF52" s="466"/>
    </row>
    <row r="53" spans="29:32" x14ac:dyDescent="0.25">
      <c r="AC53" s="465"/>
      <c r="AD53" s="471"/>
      <c r="AE53" s="469"/>
      <c r="AF53" s="466"/>
    </row>
    <row r="54" spans="29:32" x14ac:dyDescent="0.25">
      <c r="AC54" s="463" t="s">
        <v>48</v>
      </c>
      <c r="AD54" s="24" t="s">
        <v>49</v>
      </c>
      <c r="AE54" s="78" t="s">
        <v>50</v>
      </c>
      <c r="AF54" s="77">
        <v>6</v>
      </c>
    </row>
    <row r="55" spans="29:32" x14ac:dyDescent="0.25">
      <c r="AC55" s="464"/>
      <c r="AD55" s="24"/>
      <c r="AE55" s="78"/>
      <c r="AF55" s="77"/>
    </row>
    <row r="56" spans="29:32" x14ac:dyDescent="0.25">
      <c r="AC56" s="464"/>
      <c r="AD56" s="24"/>
      <c r="AE56" s="78"/>
      <c r="AF56" s="77"/>
    </row>
    <row r="57" spans="29:32" x14ac:dyDescent="0.25">
      <c r="AC57" s="465"/>
      <c r="AD57" s="24" t="s">
        <v>51</v>
      </c>
      <c r="AE57" s="78" t="s">
        <v>52</v>
      </c>
      <c r="AF57" s="77">
        <v>8</v>
      </c>
    </row>
  </sheetData>
  <sheetProtection algorithmName="SHA-512" hashValue="gX8H9xradK1IOs5DYfaF0OaD1tnmj0tXDoI3eRu2TvLOIgVXKz9iDssxhyHsnjPdiAtyfv8maIB6gP60HapNiA==" saltValue="cSMFEF2M5olcqIFWivxrOw==" spinCount="100000" sheet="1" objects="1" scenarios="1"/>
  <mergeCells count="53">
    <mergeCell ref="AC54:AC57"/>
    <mergeCell ref="AF47:AF49"/>
    <mergeCell ref="B14:G14"/>
    <mergeCell ref="B15:G15"/>
    <mergeCell ref="B16:G16"/>
    <mergeCell ref="B17:G17"/>
    <mergeCell ref="Q40:U40"/>
    <mergeCell ref="AF40:AJ40"/>
    <mergeCell ref="AC44:AF45"/>
    <mergeCell ref="AC47:AC53"/>
    <mergeCell ref="AD47:AD49"/>
    <mergeCell ref="B33:G33"/>
    <mergeCell ref="AE47:AE49"/>
    <mergeCell ref="AE50:AE53"/>
    <mergeCell ref="AF50:AF53"/>
    <mergeCell ref="AD51:AD53"/>
    <mergeCell ref="B34:G34"/>
    <mergeCell ref="B35:G35"/>
    <mergeCell ref="B24:G24"/>
    <mergeCell ref="B25:G25"/>
    <mergeCell ref="B26:G26"/>
    <mergeCell ref="B27:G27"/>
    <mergeCell ref="B28:G28"/>
    <mergeCell ref="B12:G12"/>
    <mergeCell ref="B13:G13"/>
    <mergeCell ref="W4:AJ5"/>
    <mergeCell ref="V4:V6"/>
    <mergeCell ref="H3:AK3"/>
    <mergeCell ref="AK4:AK6"/>
    <mergeCell ref="A4:G5"/>
    <mergeCell ref="A6:G6"/>
    <mergeCell ref="H4:U5"/>
    <mergeCell ref="C7:G7"/>
    <mergeCell ref="B8:G8"/>
    <mergeCell ref="B9:G9"/>
    <mergeCell ref="B10:G10"/>
    <mergeCell ref="B11:G11"/>
    <mergeCell ref="Q39:U39"/>
    <mergeCell ref="AF39:AJ39"/>
    <mergeCell ref="B29:G29"/>
    <mergeCell ref="B18:G18"/>
    <mergeCell ref="B19:G19"/>
    <mergeCell ref="B20:G20"/>
    <mergeCell ref="B21:G21"/>
    <mergeCell ref="B22:G22"/>
    <mergeCell ref="B23:G23"/>
    <mergeCell ref="B36:G36"/>
    <mergeCell ref="B37:G37"/>
    <mergeCell ref="Q38:U38"/>
    <mergeCell ref="AF38:AJ38"/>
    <mergeCell ref="B30:G30"/>
    <mergeCell ref="B31:G31"/>
    <mergeCell ref="B32:G32"/>
  </mergeCells>
  <phoneticPr fontId="32" type="noConversion"/>
  <dataValidations count="6">
    <dataValidation type="decimal" operator="lessThanOrEqual" allowBlank="1" showInputMessage="1" showErrorMessage="1" errorTitle="ERRO!" error="A pergunta não vale tanto!..." sqref="V8:V37" xr:uid="{00000000-0002-0000-0300-000000000000}">
      <formula1>V$7</formula1>
    </dataValidation>
    <dataValidation type="decimal" operator="lessThanOrEqual" allowBlank="1" showErrorMessage="1" errorTitle="ERRO!" error="A pergunta não vale tanto!" sqref="Q6:U6" xr:uid="{00000000-0002-0000-0300-000001000000}">
      <formula1>Q$7</formula1>
    </dataValidation>
    <dataValidation type="decimal" operator="lessThan" allowBlank="1" showInputMessage="1" showErrorMessage="1" sqref="H7" xr:uid="{00000000-0002-0000-0300-000002000000}">
      <formula1>H6</formula1>
    </dataValidation>
    <dataValidation type="decimal" operator="lessThan" allowBlank="1" showInputMessage="1" showErrorMessage="1" sqref="AK8:AK37" xr:uid="{00000000-0002-0000-0300-000003000000}">
      <formula1>AK$7</formula1>
    </dataValidation>
    <dataValidation type="decimal" operator="lessThanOrEqual" allowBlank="1" showErrorMessage="1" errorTitle="Erro." error="Ultrapassou cotação máxima." sqref="W8:AJ37" xr:uid="{00000000-0002-0000-0300-000004000000}">
      <formula1>W$7</formula1>
    </dataValidation>
    <dataValidation type="decimal" operator="lessThanOrEqual" allowBlank="1" showInputMessage="1" showErrorMessage="1" errorTitle="Erro." error="Ultrapassou cotação máxima." sqref="H8:U37" xr:uid="{00000000-0002-0000-0300-000005000000}">
      <formula1>H$7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AB40"/>
  <sheetViews>
    <sheetView zoomScale="120" zoomScaleNormal="12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AB16" sqref="AB16"/>
    </sheetView>
  </sheetViews>
  <sheetFormatPr defaultRowHeight="15" x14ac:dyDescent="0.25"/>
  <cols>
    <col min="1" max="2" width="9.140625" style="81"/>
    <col min="3" max="3" width="7.5703125" style="81" customWidth="1"/>
    <col min="4" max="4" width="5.28515625" style="81" hidden="1" customWidth="1"/>
    <col min="5" max="5" width="3.28515625" style="81" hidden="1" customWidth="1"/>
    <col min="6" max="6" width="4.28515625" style="81" hidden="1" customWidth="1"/>
    <col min="7" max="7" width="7.140625" style="81" customWidth="1"/>
    <col min="8" max="14" width="9.140625" style="81"/>
    <col min="15" max="15" width="12" style="81" customWidth="1"/>
    <col min="16" max="22" width="9.140625" style="81"/>
    <col min="23" max="23" width="10.7109375" style="81" customWidth="1"/>
    <col min="24" max="24" width="9.140625" style="81"/>
    <col min="25" max="25" width="11.42578125" style="81" bestFit="1" customWidth="1"/>
    <col min="26" max="16384" width="9.140625" style="81"/>
  </cols>
  <sheetData>
    <row r="1" spans="1:23" ht="27" x14ac:dyDescent="0.25">
      <c r="A1" s="1" t="s">
        <v>22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3" ht="27" x14ac:dyDescent="0.25">
      <c r="A2" s="4" t="s">
        <v>5</v>
      </c>
      <c r="B2" s="1"/>
      <c r="C2" s="1"/>
      <c r="D2" s="1"/>
      <c r="E2" s="1"/>
      <c r="F2" s="1"/>
      <c r="G2" s="1" t="s">
        <v>61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 t="s">
        <v>62</v>
      </c>
      <c r="T2" s="1"/>
      <c r="U2" s="1"/>
      <c r="V2" s="1"/>
      <c r="W2" s="1"/>
    </row>
    <row r="3" spans="1:23" ht="20.25" x14ac:dyDescent="0.25">
      <c r="A3" s="452"/>
      <c r="B3" s="453"/>
      <c r="C3" s="453"/>
      <c r="D3" s="453"/>
      <c r="E3" s="453"/>
      <c r="F3" s="453"/>
      <c r="G3" s="472"/>
      <c r="H3" s="486" t="s">
        <v>60</v>
      </c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6"/>
    </row>
    <row r="4" spans="1:23" x14ac:dyDescent="0.25">
      <c r="A4" s="7"/>
      <c r="B4" s="8"/>
      <c r="C4" s="8"/>
      <c r="D4" s="418"/>
      <c r="E4" s="418"/>
      <c r="F4" s="418"/>
      <c r="G4" s="419"/>
      <c r="H4" s="420" t="s">
        <v>121</v>
      </c>
      <c r="I4" s="421"/>
      <c r="J4" s="421"/>
      <c r="K4" s="421"/>
      <c r="L4" s="421"/>
      <c r="M4" s="421"/>
      <c r="N4" s="440"/>
      <c r="O4" s="424" t="s">
        <v>23</v>
      </c>
      <c r="P4" s="420" t="s">
        <v>120</v>
      </c>
      <c r="Q4" s="421"/>
      <c r="R4" s="421"/>
      <c r="S4" s="421"/>
      <c r="T4" s="421"/>
      <c r="U4" s="421"/>
      <c r="V4" s="440"/>
      <c r="W4" s="424" t="s">
        <v>23</v>
      </c>
    </row>
    <row r="5" spans="1:23" x14ac:dyDescent="0.25">
      <c r="A5" s="7"/>
      <c r="B5" s="8"/>
      <c r="C5" s="8"/>
      <c r="D5" s="418"/>
      <c r="E5" s="418"/>
      <c r="F5" s="418"/>
      <c r="G5" s="419"/>
      <c r="H5" s="454"/>
      <c r="I5" s="441"/>
      <c r="J5" s="441"/>
      <c r="K5" s="441"/>
      <c r="L5" s="441"/>
      <c r="M5" s="441"/>
      <c r="N5" s="442"/>
      <c r="O5" s="426"/>
      <c r="P5" s="454"/>
      <c r="Q5" s="441"/>
      <c r="R5" s="441"/>
      <c r="S5" s="441"/>
      <c r="T5" s="441"/>
      <c r="U5" s="441"/>
      <c r="V5" s="442"/>
      <c r="W5" s="426"/>
    </row>
    <row r="6" spans="1:23" ht="18" customHeight="1" x14ac:dyDescent="0.25">
      <c r="A6" s="9"/>
      <c r="B6" s="473" t="s">
        <v>26</v>
      </c>
      <c r="C6" s="474"/>
      <c r="D6" s="474"/>
      <c r="E6" s="474"/>
      <c r="F6" s="474"/>
      <c r="G6" s="475"/>
      <c r="H6" s="65">
        <v>1</v>
      </c>
      <c r="I6" s="66" t="s">
        <v>118</v>
      </c>
      <c r="J6" s="66">
        <v>3</v>
      </c>
      <c r="K6" s="66">
        <v>4</v>
      </c>
      <c r="L6" s="38"/>
      <c r="M6" s="61"/>
      <c r="N6" s="37"/>
      <c r="O6" s="35"/>
      <c r="P6" s="33"/>
      <c r="Q6" s="34"/>
      <c r="R6" s="34"/>
      <c r="S6" s="34"/>
      <c r="T6" s="34"/>
      <c r="U6" s="36"/>
      <c r="V6" s="36"/>
      <c r="W6" s="40"/>
    </row>
    <row r="7" spans="1:23" ht="34.5" customHeight="1" x14ac:dyDescent="0.25">
      <c r="A7" s="32" t="s">
        <v>8</v>
      </c>
      <c r="B7" s="412" t="s">
        <v>57</v>
      </c>
      <c r="C7" s="413"/>
      <c r="D7" s="413"/>
      <c r="E7" s="413"/>
      <c r="F7" s="413"/>
      <c r="G7" s="439"/>
      <c r="H7" s="62">
        <v>12</v>
      </c>
      <c r="I7" s="63">
        <v>40</v>
      </c>
      <c r="J7" s="63">
        <v>24</v>
      </c>
      <c r="K7" s="63">
        <v>24</v>
      </c>
      <c r="L7" s="63"/>
      <c r="M7" s="63"/>
      <c r="N7" s="88"/>
      <c r="O7" s="93">
        <f>IF(OR(SUM(H7:N7)&gt;100,SUM(H7:N7)&lt;0),"",SUM(H7:N7))</f>
        <v>100</v>
      </c>
      <c r="P7" s="62">
        <v>100</v>
      </c>
      <c r="Q7" s="63"/>
      <c r="R7" s="63"/>
      <c r="S7" s="63"/>
      <c r="T7" s="63"/>
      <c r="U7" s="63"/>
      <c r="V7" s="63"/>
      <c r="W7" s="96">
        <f>IF(OR(SUM(P7:V7)&gt;100,SUM(P7:V7)&lt;0),"",SUM(P7:V7))</f>
        <v>100</v>
      </c>
    </row>
    <row r="8" spans="1:23" x14ac:dyDescent="0.25">
      <c r="A8" s="128">
        <f>IF('Avaliação Períodos'!A9=0,"",'Avaliação Períodos'!A9)</f>
        <v>1</v>
      </c>
      <c r="B8" s="410" t="str">
        <f>IF('Avaliação Períodos'!B9=0,"",'Avaliação Períodos'!B9)</f>
        <v>Ademar Monforte</v>
      </c>
      <c r="C8" s="411"/>
      <c r="D8" s="411"/>
      <c r="E8" s="411"/>
      <c r="F8" s="411"/>
      <c r="G8" s="434"/>
      <c r="H8" s="184">
        <v>8</v>
      </c>
      <c r="I8" s="132">
        <v>24</v>
      </c>
      <c r="J8" s="132">
        <v>24</v>
      </c>
      <c r="K8" s="132">
        <v>16</v>
      </c>
      <c r="L8" s="133"/>
      <c r="M8" s="133"/>
      <c r="N8" s="133"/>
      <c r="O8" s="13">
        <f>IF(COUNT(H8:N8)=0,"",SUM(H8:N8))</f>
        <v>72</v>
      </c>
      <c r="P8" s="152"/>
      <c r="Q8" s="153"/>
      <c r="R8" s="153"/>
      <c r="S8" s="153"/>
      <c r="T8" s="153"/>
      <c r="U8" s="153"/>
      <c r="V8" s="153">
        <v>90</v>
      </c>
      <c r="W8" s="13">
        <f>IF(COUNT(P8:V8)=0,"",SUM(P8:V8))</f>
        <v>90</v>
      </c>
    </row>
    <row r="9" spans="1:23" x14ac:dyDescent="0.25">
      <c r="A9" s="129">
        <f>IF('Avaliação Períodos'!A10=0,"",'Avaliação Períodos'!A10)</f>
        <v>2</v>
      </c>
      <c r="B9" s="429" t="str">
        <f>IF('Avaliação Períodos'!B10=0,"",'Avaliação Períodos'!B10)</f>
        <v>Alexandre Simões</v>
      </c>
      <c r="C9" s="430"/>
      <c r="D9" s="430"/>
      <c r="E9" s="430"/>
      <c r="F9" s="430"/>
      <c r="G9" s="431"/>
      <c r="H9" s="134">
        <v>4</v>
      </c>
      <c r="I9" s="135">
        <v>16</v>
      </c>
      <c r="J9" s="135">
        <v>16</v>
      </c>
      <c r="K9" s="135">
        <v>8</v>
      </c>
      <c r="L9" s="136"/>
      <c r="M9" s="137"/>
      <c r="N9" s="137"/>
      <c r="O9" s="13">
        <f t="shared" ref="O9:O37" si="0">IF(COUNT(H9:N9)=0,"",SUM(H9:N9))</f>
        <v>44</v>
      </c>
      <c r="P9" s="134"/>
      <c r="Q9" s="135"/>
      <c r="R9" s="135"/>
      <c r="S9" s="135"/>
      <c r="T9" s="135"/>
      <c r="U9" s="135"/>
      <c r="V9" s="135">
        <v>40</v>
      </c>
      <c r="W9" s="13">
        <f t="shared" ref="W9:W37" si="1">IF(COUNT(P9:V9)=0,"",SUM(P9:V9))</f>
        <v>40</v>
      </c>
    </row>
    <row r="10" spans="1:23" x14ac:dyDescent="0.25">
      <c r="A10" s="128">
        <f>IF('Avaliação Períodos'!A11=0,"",'Avaliação Períodos'!A11)</f>
        <v>3</v>
      </c>
      <c r="B10" s="410" t="str">
        <f>IF('Avaliação Períodos'!B11=0,"",'Avaliação Períodos'!B11)</f>
        <v>Ana Inácio</v>
      </c>
      <c r="C10" s="411"/>
      <c r="D10" s="411"/>
      <c r="E10" s="411"/>
      <c r="F10" s="411"/>
      <c r="G10" s="434"/>
      <c r="H10" s="138">
        <v>10</v>
      </c>
      <c r="I10" s="139">
        <v>32</v>
      </c>
      <c r="J10" s="139">
        <v>16</v>
      </c>
      <c r="K10" s="139">
        <v>16</v>
      </c>
      <c r="L10" s="140"/>
      <c r="M10" s="140"/>
      <c r="N10" s="140"/>
      <c r="O10" s="13">
        <f t="shared" si="0"/>
        <v>74</v>
      </c>
      <c r="P10" s="138"/>
      <c r="Q10" s="139"/>
      <c r="R10" s="139"/>
      <c r="S10" s="139"/>
      <c r="T10" s="139"/>
      <c r="U10" s="139"/>
      <c r="V10" s="139">
        <v>100</v>
      </c>
      <c r="W10" s="13">
        <f t="shared" si="1"/>
        <v>100</v>
      </c>
    </row>
    <row r="11" spans="1:23" x14ac:dyDescent="0.25">
      <c r="A11" s="129">
        <f>IF('Avaliação Períodos'!A12=0,"",'Avaliação Períodos'!A12)</f>
        <v>4</v>
      </c>
      <c r="B11" s="429" t="str">
        <f>IF('Avaliação Períodos'!B12=0,"",'Avaliação Períodos'!B12)</f>
        <v>Ana Gomes</v>
      </c>
      <c r="C11" s="430"/>
      <c r="D11" s="430"/>
      <c r="E11" s="430"/>
      <c r="F11" s="430"/>
      <c r="G11" s="431"/>
      <c r="H11" s="141">
        <v>8</v>
      </c>
      <c r="I11" s="142">
        <v>16</v>
      </c>
      <c r="J11" s="142">
        <v>16</v>
      </c>
      <c r="K11" s="142">
        <v>16</v>
      </c>
      <c r="L11" s="143"/>
      <c r="M11" s="143"/>
      <c r="N11" s="143"/>
      <c r="O11" s="13">
        <f t="shared" si="0"/>
        <v>56</v>
      </c>
      <c r="P11" s="141"/>
      <c r="Q11" s="142"/>
      <c r="R11" s="142"/>
      <c r="S11" s="142"/>
      <c r="T11" s="142"/>
      <c r="U11" s="142"/>
      <c r="V11" s="142">
        <v>60</v>
      </c>
      <c r="W11" s="13">
        <f t="shared" si="1"/>
        <v>60</v>
      </c>
    </row>
    <row r="12" spans="1:23" x14ac:dyDescent="0.25">
      <c r="A12" s="128">
        <f>IF('Avaliação Períodos'!A13=0,"",'Avaliação Períodos'!A13)</f>
        <v>5</v>
      </c>
      <c r="B12" s="410" t="str">
        <f>IF('Avaliação Períodos'!B13=0,"",'Avaliação Períodos'!B13)</f>
        <v>Bruna Lemos</v>
      </c>
      <c r="C12" s="411"/>
      <c r="D12" s="411"/>
      <c r="E12" s="411"/>
      <c r="F12" s="411"/>
      <c r="G12" s="434"/>
      <c r="H12" s="138">
        <v>4</v>
      </c>
      <c r="I12" s="139">
        <v>8</v>
      </c>
      <c r="J12" s="139">
        <v>24</v>
      </c>
      <c r="K12" s="139">
        <v>0</v>
      </c>
      <c r="L12" s="140"/>
      <c r="M12" s="140"/>
      <c r="N12" s="140"/>
      <c r="O12" s="13">
        <f t="shared" si="0"/>
        <v>36</v>
      </c>
      <c r="P12" s="138"/>
      <c r="Q12" s="139"/>
      <c r="R12" s="139"/>
      <c r="S12" s="139"/>
      <c r="T12" s="139"/>
      <c r="U12" s="139"/>
      <c r="V12" s="139">
        <v>40</v>
      </c>
      <c r="W12" s="13">
        <f t="shared" si="1"/>
        <v>40</v>
      </c>
    </row>
    <row r="13" spans="1:23" x14ac:dyDescent="0.25">
      <c r="A13" s="129">
        <f>IF('Avaliação Períodos'!A14=0,"",'Avaliação Períodos'!A14)</f>
        <v>6</v>
      </c>
      <c r="B13" s="429" t="str">
        <f>IF('Avaliação Períodos'!B14=0,"",'Avaliação Períodos'!B14)</f>
        <v>Constança Abreu</v>
      </c>
      <c r="C13" s="430"/>
      <c r="D13" s="430"/>
      <c r="E13" s="430"/>
      <c r="F13" s="430"/>
      <c r="G13" s="431"/>
      <c r="H13" s="141">
        <v>12</v>
      </c>
      <c r="I13" s="142">
        <v>16</v>
      </c>
      <c r="J13" s="142">
        <v>24</v>
      </c>
      <c r="K13" s="142">
        <v>24</v>
      </c>
      <c r="L13" s="143"/>
      <c r="M13" s="143"/>
      <c r="N13" s="143"/>
      <c r="O13" s="13">
        <f t="shared" si="0"/>
        <v>76</v>
      </c>
      <c r="P13" s="141"/>
      <c r="Q13" s="142"/>
      <c r="R13" s="142"/>
      <c r="S13" s="142"/>
      <c r="T13" s="142"/>
      <c r="U13" s="142"/>
      <c r="V13" s="142">
        <v>50</v>
      </c>
      <c r="W13" s="13">
        <f t="shared" si="1"/>
        <v>50</v>
      </c>
    </row>
    <row r="14" spans="1:23" x14ac:dyDescent="0.25">
      <c r="A14" s="128">
        <f>IF('Avaliação Períodos'!A15=0,"",'Avaliação Períodos'!A15)</f>
        <v>7</v>
      </c>
      <c r="B14" s="410" t="str">
        <f>IF('Avaliação Períodos'!B15=0,"",'Avaliação Períodos'!B15)</f>
        <v>Cristiano Emídio</v>
      </c>
      <c r="C14" s="411"/>
      <c r="D14" s="411"/>
      <c r="E14" s="411"/>
      <c r="F14" s="411"/>
      <c r="G14" s="434"/>
      <c r="H14" s="138"/>
      <c r="I14" s="139"/>
      <c r="J14" s="139"/>
      <c r="K14" s="139"/>
      <c r="L14" s="140"/>
      <c r="M14" s="140"/>
      <c r="N14" s="140">
        <v>0</v>
      </c>
      <c r="O14" s="13">
        <f t="shared" si="0"/>
        <v>0</v>
      </c>
      <c r="P14" s="138"/>
      <c r="Q14" s="139"/>
      <c r="R14" s="139"/>
      <c r="S14" s="139"/>
      <c r="T14" s="139"/>
      <c r="U14" s="139"/>
      <c r="V14" s="139">
        <v>1</v>
      </c>
      <c r="W14" s="13">
        <f t="shared" si="1"/>
        <v>1</v>
      </c>
    </row>
    <row r="15" spans="1:23" x14ac:dyDescent="0.25">
      <c r="A15" s="129">
        <f>IF('Avaliação Períodos'!A16=0,"",'Avaliação Períodos'!A16)</f>
        <v>8</v>
      </c>
      <c r="B15" s="429" t="str">
        <f>IF('Avaliação Períodos'!B16=0,"",'Avaliação Períodos'!B16)</f>
        <v>Edgar Gonçalves</v>
      </c>
      <c r="C15" s="430"/>
      <c r="D15" s="430"/>
      <c r="E15" s="430"/>
      <c r="F15" s="430"/>
      <c r="G15" s="431"/>
      <c r="H15" s="141">
        <v>12</v>
      </c>
      <c r="I15" s="142">
        <v>24</v>
      </c>
      <c r="J15" s="144">
        <v>8</v>
      </c>
      <c r="K15" s="142">
        <v>8</v>
      </c>
      <c r="L15" s="143"/>
      <c r="M15" s="143"/>
      <c r="N15" s="143"/>
      <c r="O15" s="13">
        <f t="shared" si="0"/>
        <v>52</v>
      </c>
      <c r="P15" s="141"/>
      <c r="Q15" s="142"/>
      <c r="R15" s="144"/>
      <c r="S15" s="142"/>
      <c r="T15" s="142"/>
      <c r="U15" s="142"/>
      <c r="V15" s="142">
        <v>70</v>
      </c>
      <c r="W15" s="13">
        <f t="shared" si="1"/>
        <v>70</v>
      </c>
    </row>
    <row r="16" spans="1:23" x14ac:dyDescent="0.25">
      <c r="A16" s="128">
        <f>IF('Avaliação Períodos'!A17=0,"",'Avaliação Períodos'!A17)</f>
        <v>9</v>
      </c>
      <c r="B16" s="410" t="str">
        <f>IF('Avaliação Períodos'!B17=0,"",'Avaliação Períodos'!B17)</f>
        <v>Fábio Trino</v>
      </c>
      <c r="C16" s="411"/>
      <c r="D16" s="411"/>
      <c r="E16" s="411"/>
      <c r="F16" s="411"/>
      <c r="G16" s="434"/>
      <c r="H16" s="138">
        <v>12</v>
      </c>
      <c r="I16" s="139">
        <v>16</v>
      </c>
      <c r="J16" s="139">
        <v>16</v>
      </c>
      <c r="K16" s="139">
        <v>16</v>
      </c>
      <c r="L16" s="140"/>
      <c r="M16" s="140"/>
      <c r="N16" s="140"/>
      <c r="O16" s="13">
        <f t="shared" si="0"/>
        <v>60</v>
      </c>
      <c r="P16" s="138"/>
      <c r="Q16" s="139"/>
      <c r="R16" s="139"/>
      <c r="S16" s="139"/>
      <c r="T16" s="139"/>
      <c r="U16" s="139"/>
      <c r="V16" s="139">
        <v>70</v>
      </c>
      <c r="W16" s="13">
        <f t="shared" si="1"/>
        <v>70</v>
      </c>
    </row>
    <row r="17" spans="1:28" x14ac:dyDescent="0.25">
      <c r="A17" s="129">
        <f>IF('Avaliação Períodos'!A18=0,"",'Avaliação Períodos'!A18)</f>
        <v>10</v>
      </c>
      <c r="B17" s="429" t="str">
        <f>IF('Avaliação Períodos'!B18=0,"",'Avaliação Períodos'!B18)</f>
        <v>Francisco Pedrosa</v>
      </c>
      <c r="C17" s="430"/>
      <c r="D17" s="430"/>
      <c r="E17" s="430"/>
      <c r="F17" s="430"/>
      <c r="G17" s="431"/>
      <c r="H17" s="141">
        <v>12</v>
      </c>
      <c r="I17" s="142">
        <v>16</v>
      </c>
      <c r="J17" s="142">
        <v>24</v>
      </c>
      <c r="K17" s="142">
        <v>24</v>
      </c>
      <c r="L17" s="143"/>
      <c r="M17" s="143"/>
      <c r="N17" s="143"/>
      <c r="O17" s="13">
        <f t="shared" si="0"/>
        <v>76</v>
      </c>
      <c r="P17" s="141"/>
      <c r="Q17" s="142"/>
      <c r="R17" s="142"/>
      <c r="S17" s="142"/>
      <c r="T17" s="142"/>
      <c r="U17" s="142"/>
      <c r="V17" s="142">
        <v>80</v>
      </c>
      <c r="W17" s="13">
        <f t="shared" si="1"/>
        <v>80</v>
      </c>
    </row>
    <row r="18" spans="1:28" x14ac:dyDescent="0.25">
      <c r="A18" s="128">
        <f>IF('Avaliação Períodos'!A19=0,"",'Avaliação Períodos'!A19)</f>
        <v>11</v>
      </c>
      <c r="B18" s="410" t="str">
        <f>IF('Avaliação Períodos'!B19=0,"",'Avaliação Períodos'!B19)</f>
        <v>Francisco Miranda</v>
      </c>
      <c r="C18" s="411"/>
      <c r="D18" s="411"/>
      <c r="E18" s="411"/>
      <c r="F18" s="411"/>
      <c r="G18" s="434"/>
      <c r="H18" s="145">
        <v>6</v>
      </c>
      <c r="I18" s="139">
        <v>16</v>
      </c>
      <c r="J18" s="139">
        <v>8</v>
      </c>
      <c r="K18" s="139">
        <v>0</v>
      </c>
      <c r="L18" s="140"/>
      <c r="M18" s="140"/>
      <c r="N18" s="140"/>
      <c r="O18" s="13">
        <f t="shared" si="0"/>
        <v>30</v>
      </c>
      <c r="P18" s="145"/>
      <c r="Q18" s="139"/>
      <c r="R18" s="139"/>
      <c r="S18" s="139"/>
      <c r="T18" s="139"/>
      <c r="U18" s="139"/>
      <c r="V18" s="139">
        <v>20</v>
      </c>
      <c r="W18" s="13">
        <f t="shared" si="1"/>
        <v>20</v>
      </c>
    </row>
    <row r="19" spans="1:28" x14ac:dyDescent="0.25">
      <c r="A19" s="129">
        <f>IF('Avaliação Períodos'!A20=0,"",'Avaliação Períodos'!A20)</f>
        <v>12</v>
      </c>
      <c r="B19" s="429" t="str">
        <f>IF('Avaliação Períodos'!B20=0,"",'Avaliação Períodos'!B20)</f>
        <v>Francisco Mota</v>
      </c>
      <c r="C19" s="430"/>
      <c r="D19" s="430"/>
      <c r="E19" s="430"/>
      <c r="F19" s="430"/>
      <c r="G19" s="431"/>
      <c r="H19" s="141">
        <v>12</v>
      </c>
      <c r="I19" s="142">
        <v>24</v>
      </c>
      <c r="J19" s="142">
        <v>24</v>
      </c>
      <c r="K19" s="142">
        <v>16</v>
      </c>
      <c r="L19" s="143"/>
      <c r="M19" s="143"/>
      <c r="N19" s="143"/>
      <c r="O19" s="13">
        <f t="shared" si="0"/>
        <v>76</v>
      </c>
      <c r="P19" s="141"/>
      <c r="Q19" s="142"/>
      <c r="R19" s="142"/>
      <c r="S19" s="142"/>
      <c r="T19" s="142"/>
      <c r="U19" s="142"/>
      <c r="V19" s="142">
        <v>50</v>
      </c>
      <c r="W19" s="13">
        <f t="shared" si="1"/>
        <v>50</v>
      </c>
    </row>
    <row r="20" spans="1:28" x14ac:dyDescent="0.25">
      <c r="A20" s="128">
        <f>IF('Avaliação Períodos'!A21=0,"",'Avaliação Períodos'!A21)</f>
        <v>13</v>
      </c>
      <c r="B20" s="410" t="str">
        <f>IF('Avaliação Períodos'!B21=0,"",'Avaliação Períodos'!B21)</f>
        <v>Francisco Marques</v>
      </c>
      <c r="C20" s="411"/>
      <c r="D20" s="411"/>
      <c r="E20" s="411"/>
      <c r="F20" s="411"/>
      <c r="G20" s="434"/>
      <c r="H20" s="145">
        <v>8</v>
      </c>
      <c r="I20" s="139">
        <v>16</v>
      </c>
      <c r="J20" s="139">
        <v>16</v>
      </c>
      <c r="K20" s="139">
        <v>24</v>
      </c>
      <c r="L20" s="140"/>
      <c r="M20" s="140"/>
      <c r="N20" s="140"/>
      <c r="O20" s="13">
        <f t="shared" si="0"/>
        <v>64</v>
      </c>
      <c r="P20" s="145"/>
      <c r="Q20" s="139"/>
      <c r="R20" s="139"/>
      <c r="S20" s="139"/>
      <c r="T20" s="139"/>
      <c r="U20" s="139"/>
      <c r="V20" s="139">
        <v>60</v>
      </c>
      <c r="W20" s="13">
        <f t="shared" si="1"/>
        <v>60</v>
      </c>
    </row>
    <row r="21" spans="1:28" x14ac:dyDescent="0.25">
      <c r="A21" s="129">
        <f>IF('Avaliação Períodos'!A22=0,"",'Avaliação Períodos'!A22)</f>
        <v>14</v>
      </c>
      <c r="B21" s="429" t="str">
        <f>IF('Avaliação Períodos'!B22=0,"",'Avaliação Períodos'!B22)</f>
        <v>Jamila Portilha</v>
      </c>
      <c r="C21" s="430"/>
      <c r="D21" s="430"/>
      <c r="E21" s="430"/>
      <c r="F21" s="430"/>
      <c r="G21" s="431"/>
      <c r="H21" s="141">
        <v>12</v>
      </c>
      <c r="I21" s="142">
        <v>32</v>
      </c>
      <c r="J21" s="142">
        <v>24</v>
      </c>
      <c r="K21" s="142">
        <v>24</v>
      </c>
      <c r="L21" s="143"/>
      <c r="M21" s="143"/>
      <c r="N21" s="143"/>
      <c r="O21" s="13">
        <f t="shared" si="0"/>
        <v>92</v>
      </c>
      <c r="P21" s="141"/>
      <c r="Q21" s="142"/>
      <c r="R21" s="142"/>
      <c r="S21" s="142"/>
      <c r="T21" s="142"/>
      <c r="U21" s="142"/>
      <c r="V21" s="142">
        <v>90</v>
      </c>
      <c r="W21" s="13">
        <f t="shared" si="1"/>
        <v>90</v>
      </c>
    </row>
    <row r="22" spans="1:28" x14ac:dyDescent="0.25">
      <c r="A22" s="128">
        <f>IF('Avaliação Períodos'!A23=0,"",'Avaliação Períodos'!A23)</f>
        <v>15</v>
      </c>
      <c r="B22" s="410" t="str">
        <f>IF('Avaliação Períodos'!B23=0,"",'Avaliação Períodos'!B23)</f>
        <v>Joelma Emídio</v>
      </c>
      <c r="C22" s="411"/>
      <c r="D22" s="411"/>
      <c r="E22" s="411"/>
      <c r="F22" s="411"/>
      <c r="G22" s="434"/>
      <c r="H22" s="145">
        <v>0</v>
      </c>
      <c r="I22" s="139"/>
      <c r="J22" s="139"/>
      <c r="K22" s="139"/>
      <c r="L22" s="140"/>
      <c r="M22" s="140"/>
      <c r="N22" s="140"/>
      <c r="O22" s="13">
        <f t="shared" si="0"/>
        <v>0</v>
      </c>
      <c r="P22" s="145"/>
      <c r="Q22" s="139"/>
      <c r="R22" s="139"/>
      <c r="S22" s="139"/>
      <c r="T22" s="139"/>
      <c r="U22" s="139"/>
      <c r="V22" s="139">
        <v>1</v>
      </c>
      <c r="W22" s="13">
        <f t="shared" si="1"/>
        <v>1</v>
      </c>
    </row>
    <row r="23" spans="1:28" x14ac:dyDescent="0.25">
      <c r="A23" s="129">
        <f>IF('Avaliação Períodos'!A24=0,"",'Avaliação Períodos'!A24)</f>
        <v>16</v>
      </c>
      <c r="B23" s="429" t="str">
        <f>IF('Avaliação Períodos'!B24=0,"",'Avaliação Períodos'!B24)</f>
        <v>José Garcia</v>
      </c>
      <c r="C23" s="430"/>
      <c r="D23" s="430"/>
      <c r="E23" s="430"/>
      <c r="F23" s="430"/>
      <c r="G23" s="431"/>
      <c r="H23" s="141">
        <v>12</v>
      </c>
      <c r="I23" s="142">
        <v>8</v>
      </c>
      <c r="J23" s="142">
        <v>24</v>
      </c>
      <c r="K23" s="142">
        <v>12</v>
      </c>
      <c r="L23" s="143"/>
      <c r="M23" s="143"/>
      <c r="N23" s="143"/>
      <c r="O23" s="13">
        <f t="shared" si="0"/>
        <v>56</v>
      </c>
      <c r="P23" s="141"/>
      <c r="Q23" s="142"/>
      <c r="R23" s="142"/>
      <c r="S23" s="142"/>
      <c r="T23" s="142"/>
      <c r="U23" s="142"/>
      <c r="V23" s="142">
        <v>60</v>
      </c>
      <c r="W23" s="13">
        <f t="shared" si="1"/>
        <v>60</v>
      </c>
    </row>
    <row r="24" spans="1:28" x14ac:dyDescent="0.25">
      <c r="A24" s="128">
        <f>IF('Avaliação Períodos'!A25=0,"",'Avaliação Períodos'!A25)</f>
        <v>17</v>
      </c>
      <c r="B24" s="410" t="str">
        <f>IF('Avaliação Períodos'!B25=0,"",'Avaliação Períodos'!B25)</f>
        <v>Leonor Gomes</v>
      </c>
      <c r="C24" s="411"/>
      <c r="D24" s="411"/>
      <c r="E24" s="411"/>
      <c r="F24" s="411"/>
      <c r="G24" s="434"/>
      <c r="H24" s="145">
        <v>12</v>
      </c>
      <c r="I24" s="139">
        <v>16</v>
      </c>
      <c r="J24" s="139">
        <v>16</v>
      </c>
      <c r="K24" s="139">
        <v>8</v>
      </c>
      <c r="L24" s="140"/>
      <c r="M24" s="140"/>
      <c r="N24" s="140"/>
      <c r="O24" s="13">
        <f t="shared" si="0"/>
        <v>52</v>
      </c>
      <c r="P24" s="145"/>
      <c r="Q24" s="139"/>
      <c r="R24" s="139"/>
      <c r="S24" s="139"/>
      <c r="T24" s="139"/>
      <c r="U24" s="139"/>
      <c r="V24" s="139">
        <v>90</v>
      </c>
      <c r="W24" s="13">
        <f t="shared" si="1"/>
        <v>90</v>
      </c>
    </row>
    <row r="25" spans="1:28" x14ac:dyDescent="0.25">
      <c r="A25" s="129">
        <f>IF('Avaliação Períodos'!A26=0,"",'Avaliação Períodos'!A26)</f>
        <v>18</v>
      </c>
      <c r="B25" s="429" t="str">
        <f>IF('Avaliação Períodos'!B26=0,"",'Avaliação Períodos'!B26)</f>
        <v>Martim Santos</v>
      </c>
      <c r="C25" s="430"/>
      <c r="D25" s="430"/>
      <c r="E25" s="430"/>
      <c r="F25" s="430"/>
      <c r="G25" s="431"/>
      <c r="H25" s="141">
        <v>4</v>
      </c>
      <c r="I25" s="142">
        <v>24</v>
      </c>
      <c r="J25" s="142">
        <v>16</v>
      </c>
      <c r="K25" s="142">
        <v>16</v>
      </c>
      <c r="L25" s="143"/>
      <c r="M25" s="143"/>
      <c r="N25" s="143"/>
      <c r="O25" s="13">
        <f t="shared" si="0"/>
        <v>60</v>
      </c>
      <c r="P25" s="141"/>
      <c r="Q25" s="142"/>
      <c r="R25" s="142"/>
      <c r="S25" s="142"/>
      <c r="T25" s="142"/>
      <c r="U25" s="142"/>
      <c r="V25" s="142">
        <v>30</v>
      </c>
      <c r="W25" s="13">
        <f t="shared" si="1"/>
        <v>30</v>
      </c>
    </row>
    <row r="26" spans="1:28" x14ac:dyDescent="0.25">
      <c r="A26" s="128">
        <f>IF('Avaliação Períodos'!A27=0,"",'Avaliação Períodos'!A27)</f>
        <v>19</v>
      </c>
      <c r="B26" s="410" t="str">
        <f>IF('Avaliação Períodos'!B27=0,"",'Avaliação Períodos'!B27)</f>
        <v>Nikole Lage</v>
      </c>
      <c r="C26" s="411"/>
      <c r="D26" s="411"/>
      <c r="E26" s="411"/>
      <c r="F26" s="411"/>
      <c r="G26" s="434"/>
      <c r="H26" s="145">
        <v>12</v>
      </c>
      <c r="I26" s="139">
        <v>16</v>
      </c>
      <c r="J26" s="139">
        <v>0</v>
      </c>
      <c r="K26" s="139">
        <v>0</v>
      </c>
      <c r="L26" s="140"/>
      <c r="M26" s="140"/>
      <c r="N26" s="140"/>
      <c r="O26" s="13">
        <f t="shared" si="0"/>
        <v>28</v>
      </c>
      <c r="P26" s="145"/>
      <c r="Q26" s="139"/>
      <c r="R26" s="139"/>
      <c r="S26" s="139"/>
      <c r="T26" s="139"/>
      <c r="U26" s="139"/>
      <c r="V26" s="139">
        <v>20</v>
      </c>
      <c r="W26" s="13">
        <f t="shared" si="1"/>
        <v>20</v>
      </c>
    </row>
    <row r="27" spans="1:28" x14ac:dyDescent="0.25">
      <c r="A27" s="129">
        <f>IF('Avaliação Períodos'!A28=0,"",'Avaliação Períodos'!A28)</f>
        <v>20</v>
      </c>
      <c r="B27" s="429" t="str">
        <f>IF('Avaliação Períodos'!B28=0,"",'Avaliação Períodos'!B28)</f>
        <v>Tatiana Gomes</v>
      </c>
      <c r="C27" s="430"/>
      <c r="D27" s="430"/>
      <c r="E27" s="430"/>
      <c r="F27" s="430"/>
      <c r="G27" s="431"/>
      <c r="H27" s="141">
        <v>12</v>
      </c>
      <c r="I27" s="142">
        <v>32</v>
      </c>
      <c r="J27" s="142">
        <v>24</v>
      </c>
      <c r="K27" s="142">
        <v>24</v>
      </c>
      <c r="L27" s="143"/>
      <c r="M27" s="143"/>
      <c r="N27" s="143"/>
      <c r="O27" s="13">
        <f t="shared" si="0"/>
        <v>92</v>
      </c>
      <c r="P27" s="141"/>
      <c r="Q27" s="142"/>
      <c r="R27" s="142"/>
      <c r="S27" s="142"/>
      <c r="T27" s="142"/>
      <c r="U27" s="142"/>
      <c r="V27" s="142">
        <v>70</v>
      </c>
      <c r="W27" s="13">
        <f t="shared" si="1"/>
        <v>70</v>
      </c>
    </row>
    <row r="28" spans="1:28" x14ac:dyDescent="0.25">
      <c r="A28" s="128">
        <f>IF('Avaliação Períodos'!A29=0,"",'Avaliação Períodos'!A29)</f>
        <v>21</v>
      </c>
      <c r="B28" s="410" t="str">
        <f>IF('Avaliação Períodos'!B29=0,"",'Avaliação Períodos'!B29)</f>
        <v>Manuel Ascenso</v>
      </c>
      <c r="C28" s="411"/>
      <c r="D28" s="411"/>
      <c r="E28" s="411"/>
      <c r="F28" s="411"/>
      <c r="G28" s="434"/>
      <c r="H28" s="145">
        <v>12</v>
      </c>
      <c r="I28" s="139">
        <v>40</v>
      </c>
      <c r="J28" s="139">
        <v>16</v>
      </c>
      <c r="K28" s="139">
        <v>16</v>
      </c>
      <c r="L28" s="140"/>
      <c r="M28" s="140"/>
      <c r="N28" s="140"/>
      <c r="O28" s="13">
        <f t="shared" si="0"/>
        <v>84</v>
      </c>
      <c r="P28" s="145"/>
      <c r="Q28" s="139"/>
      <c r="R28" s="139"/>
      <c r="S28" s="139"/>
      <c r="T28" s="139"/>
      <c r="U28" s="139"/>
      <c r="V28" s="139">
        <v>80</v>
      </c>
      <c r="W28" s="13">
        <f t="shared" si="1"/>
        <v>80</v>
      </c>
    </row>
    <row r="29" spans="1:28" x14ac:dyDescent="0.25">
      <c r="A29" s="129" t="str">
        <f>IF('Avaliação Períodos'!A30=0,"",'Avaliação Períodos'!A30)</f>
        <v/>
      </c>
      <c r="B29" s="429" t="str">
        <f>IF('Avaliação Períodos'!B30=0,"",'Avaliação Períodos'!B30)</f>
        <v>Ana Ramos</v>
      </c>
      <c r="C29" s="430"/>
      <c r="D29" s="430"/>
      <c r="E29" s="430"/>
      <c r="F29" s="430"/>
      <c r="G29" s="431"/>
      <c r="H29" s="146"/>
      <c r="I29" s="147"/>
      <c r="J29" s="147"/>
      <c r="K29" s="147"/>
      <c r="L29" s="148"/>
      <c r="M29" s="148"/>
      <c r="N29" s="148"/>
      <c r="O29" s="13" t="str">
        <f t="shared" si="0"/>
        <v/>
      </c>
      <c r="P29" s="146"/>
      <c r="Q29" s="147"/>
      <c r="R29" s="147"/>
      <c r="S29" s="147"/>
      <c r="T29" s="147"/>
      <c r="U29" s="147"/>
      <c r="V29" s="147"/>
      <c r="W29" s="13" t="str">
        <f t="shared" si="1"/>
        <v/>
      </c>
      <c r="AB29" s="89"/>
    </row>
    <row r="30" spans="1:28" x14ac:dyDescent="0.25">
      <c r="A30" s="128" t="str">
        <f>IF('Avaliação Períodos'!A31=0,"",'Avaliação Períodos'!A31)</f>
        <v/>
      </c>
      <c r="B30" s="410" t="str">
        <f>IF('Avaliação Períodos'!B31=0,"",'Avaliação Períodos'!B31)</f>
        <v/>
      </c>
      <c r="C30" s="411"/>
      <c r="D30" s="411"/>
      <c r="E30" s="411"/>
      <c r="F30" s="411"/>
      <c r="G30" s="434"/>
      <c r="H30" s="145"/>
      <c r="I30" s="139"/>
      <c r="J30" s="139"/>
      <c r="K30" s="139"/>
      <c r="L30" s="140"/>
      <c r="M30" s="140"/>
      <c r="N30" s="140"/>
      <c r="O30" s="13" t="str">
        <f t="shared" si="0"/>
        <v/>
      </c>
      <c r="P30" s="145"/>
      <c r="Q30" s="139"/>
      <c r="R30" s="139"/>
      <c r="S30" s="139"/>
      <c r="T30" s="139"/>
      <c r="U30" s="139"/>
      <c r="V30" s="139"/>
      <c r="W30" s="13" t="str">
        <f t="shared" si="1"/>
        <v/>
      </c>
    </row>
    <row r="31" spans="1:28" x14ac:dyDescent="0.25">
      <c r="A31" s="129" t="str">
        <f>IF('Avaliação Períodos'!A32=0,"",'Avaliação Períodos'!A32)</f>
        <v/>
      </c>
      <c r="B31" s="429" t="str">
        <f>IF('Avaliação Períodos'!B32=0,"",'Avaliação Períodos'!B32)</f>
        <v/>
      </c>
      <c r="C31" s="430"/>
      <c r="D31" s="430"/>
      <c r="E31" s="430"/>
      <c r="F31" s="430"/>
      <c r="G31" s="431"/>
      <c r="H31" s="141"/>
      <c r="I31" s="142"/>
      <c r="J31" s="142"/>
      <c r="K31" s="142"/>
      <c r="L31" s="143"/>
      <c r="M31" s="143"/>
      <c r="N31" s="143"/>
      <c r="O31" s="13" t="str">
        <f t="shared" si="0"/>
        <v/>
      </c>
      <c r="P31" s="141"/>
      <c r="Q31" s="142"/>
      <c r="R31" s="142"/>
      <c r="S31" s="142"/>
      <c r="T31" s="142"/>
      <c r="U31" s="142"/>
      <c r="V31" s="142"/>
      <c r="W31" s="13" t="str">
        <f t="shared" si="1"/>
        <v/>
      </c>
    </row>
    <row r="32" spans="1:28" x14ac:dyDescent="0.25">
      <c r="A32" s="128" t="str">
        <f>IF('Avaliação Períodos'!A33=0,"",'Avaliação Períodos'!A33)</f>
        <v/>
      </c>
      <c r="B32" s="410" t="str">
        <f>IF('Avaliação Períodos'!B33=0,"",'Avaliação Períodos'!B33)</f>
        <v/>
      </c>
      <c r="C32" s="411"/>
      <c r="D32" s="411"/>
      <c r="E32" s="411"/>
      <c r="F32" s="411"/>
      <c r="G32" s="434"/>
      <c r="H32" s="145"/>
      <c r="I32" s="139"/>
      <c r="J32" s="139"/>
      <c r="K32" s="139"/>
      <c r="L32" s="140"/>
      <c r="M32" s="140"/>
      <c r="N32" s="140"/>
      <c r="O32" s="13" t="str">
        <f t="shared" si="0"/>
        <v/>
      </c>
      <c r="P32" s="145"/>
      <c r="Q32" s="139"/>
      <c r="R32" s="139"/>
      <c r="S32" s="139"/>
      <c r="T32" s="139"/>
      <c r="U32" s="139"/>
      <c r="V32" s="139"/>
      <c r="W32" s="13" t="str">
        <f t="shared" si="1"/>
        <v/>
      </c>
    </row>
    <row r="33" spans="1:23" x14ac:dyDescent="0.25">
      <c r="A33" s="129" t="str">
        <f>IF('Avaliação Períodos'!A34=0,"",'Avaliação Períodos'!A34)</f>
        <v/>
      </c>
      <c r="B33" s="429" t="str">
        <f>IF('Avaliação Períodos'!B34=0,"",'Avaliação Períodos'!B34)</f>
        <v/>
      </c>
      <c r="C33" s="430"/>
      <c r="D33" s="430"/>
      <c r="E33" s="430"/>
      <c r="F33" s="430"/>
      <c r="G33" s="431"/>
      <c r="H33" s="141"/>
      <c r="I33" s="142"/>
      <c r="J33" s="142"/>
      <c r="K33" s="142"/>
      <c r="L33" s="143"/>
      <c r="M33" s="143"/>
      <c r="N33" s="143"/>
      <c r="O33" s="13" t="str">
        <f t="shared" si="0"/>
        <v/>
      </c>
      <c r="P33" s="141"/>
      <c r="Q33" s="142"/>
      <c r="R33" s="142"/>
      <c r="S33" s="142"/>
      <c r="T33" s="142"/>
      <c r="U33" s="142"/>
      <c r="V33" s="142"/>
      <c r="W33" s="13" t="str">
        <f t="shared" si="1"/>
        <v/>
      </c>
    </row>
    <row r="34" spans="1:23" x14ac:dyDescent="0.25">
      <c r="A34" s="128" t="str">
        <f>IF('Avaliação Períodos'!A35=0,"",'Avaliação Períodos'!A35)</f>
        <v/>
      </c>
      <c r="B34" s="410" t="str">
        <f>IF('Avaliação Períodos'!B35=0,"",'Avaliação Períodos'!B35)</f>
        <v/>
      </c>
      <c r="C34" s="411"/>
      <c r="D34" s="411"/>
      <c r="E34" s="411"/>
      <c r="F34" s="411"/>
      <c r="G34" s="434"/>
      <c r="H34" s="145"/>
      <c r="I34" s="139"/>
      <c r="J34" s="139"/>
      <c r="K34" s="139"/>
      <c r="L34" s="140"/>
      <c r="M34" s="140"/>
      <c r="N34" s="140"/>
      <c r="O34" s="13" t="str">
        <f t="shared" si="0"/>
        <v/>
      </c>
      <c r="P34" s="145"/>
      <c r="Q34" s="139"/>
      <c r="R34" s="139"/>
      <c r="S34" s="139"/>
      <c r="T34" s="139"/>
      <c r="U34" s="139"/>
      <c r="V34" s="139"/>
      <c r="W34" s="13" t="str">
        <f t="shared" si="1"/>
        <v/>
      </c>
    </row>
    <row r="35" spans="1:23" x14ac:dyDescent="0.25">
      <c r="A35" s="129" t="str">
        <f>IF('Avaliação Períodos'!A36=0,"",'Avaliação Períodos'!A36)</f>
        <v/>
      </c>
      <c r="B35" s="429" t="str">
        <f>IF('Avaliação Períodos'!B36=0,"",'Avaliação Períodos'!B36)</f>
        <v/>
      </c>
      <c r="C35" s="430"/>
      <c r="D35" s="430"/>
      <c r="E35" s="430"/>
      <c r="F35" s="430"/>
      <c r="G35" s="431"/>
      <c r="H35" s="141"/>
      <c r="I35" s="142"/>
      <c r="J35" s="142"/>
      <c r="K35" s="142"/>
      <c r="L35" s="143"/>
      <c r="M35" s="143"/>
      <c r="N35" s="143"/>
      <c r="O35" s="13" t="str">
        <f t="shared" si="0"/>
        <v/>
      </c>
      <c r="P35" s="141"/>
      <c r="Q35" s="142"/>
      <c r="R35" s="142"/>
      <c r="S35" s="142"/>
      <c r="T35" s="142"/>
      <c r="U35" s="142"/>
      <c r="V35" s="142"/>
      <c r="W35" s="13" t="str">
        <f t="shared" si="1"/>
        <v/>
      </c>
    </row>
    <row r="36" spans="1:23" x14ac:dyDescent="0.25">
      <c r="A36" s="130" t="str">
        <f>IF('Avaliação Períodos'!A37=0,"",'Avaliação Períodos'!A37)</f>
        <v/>
      </c>
      <c r="B36" s="410" t="str">
        <f>IF('Avaliação Períodos'!B37=0,"",'Avaliação Períodos'!B37)</f>
        <v/>
      </c>
      <c r="C36" s="411"/>
      <c r="D36" s="411"/>
      <c r="E36" s="411"/>
      <c r="F36" s="411"/>
      <c r="G36" s="434"/>
      <c r="H36" s="149"/>
      <c r="I36" s="150"/>
      <c r="J36" s="150"/>
      <c r="K36" s="150"/>
      <c r="L36" s="150"/>
      <c r="M36" s="158"/>
      <c r="N36" s="151"/>
      <c r="O36" s="13" t="str">
        <f t="shared" si="0"/>
        <v/>
      </c>
      <c r="P36" s="149"/>
      <c r="Q36" s="150"/>
      <c r="R36" s="150"/>
      <c r="S36" s="150"/>
      <c r="T36" s="150"/>
      <c r="U36" s="150"/>
      <c r="V36" s="150"/>
      <c r="W36" s="13" t="str">
        <f t="shared" si="1"/>
        <v/>
      </c>
    </row>
    <row r="37" spans="1:23" x14ac:dyDescent="0.25">
      <c r="A37" s="131" t="str">
        <f>IF('Avaliação Períodos'!A38=0,"",'Avaliação Períodos'!A38)</f>
        <v/>
      </c>
      <c r="B37" s="429" t="str">
        <f>IF('Avaliação Períodos'!B38=0,"",'Avaliação Períodos'!B38)</f>
        <v xml:space="preserve"> </v>
      </c>
      <c r="C37" s="430"/>
      <c r="D37" s="430"/>
      <c r="E37" s="430"/>
      <c r="F37" s="430"/>
      <c r="G37" s="431"/>
      <c r="H37" s="159"/>
      <c r="I37" s="154"/>
      <c r="J37" s="154"/>
      <c r="K37" s="154"/>
      <c r="L37" s="154"/>
      <c r="M37" s="160"/>
      <c r="N37" s="160"/>
      <c r="O37" s="13" t="str">
        <f t="shared" si="0"/>
        <v/>
      </c>
      <c r="P37" s="159"/>
      <c r="Q37" s="154"/>
      <c r="R37" s="154"/>
      <c r="S37" s="154"/>
      <c r="T37" s="154"/>
      <c r="U37" s="154"/>
      <c r="V37" s="154"/>
      <c r="W37" s="13" t="str">
        <f t="shared" si="1"/>
        <v/>
      </c>
    </row>
    <row r="38" spans="1:23" x14ac:dyDescent="0.25">
      <c r="A38" s="2"/>
      <c r="B38" s="2"/>
      <c r="C38" s="2"/>
      <c r="D38" s="2"/>
      <c r="E38" s="2"/>
      <c r="F38" s="2"/>
      <c r="G38" s="2"/>
      <c r="I38" s="435" t="s">
        <v>53</v>
      </c>
      <c r="J38" s="436"/>
      <c r="K38" s="436"/>
      <c r="L38" s="436"/>
      <c r="M38" s="436"/>
      <c r="N38" s="437"/>
      <c r="O38" s="155">
        <f>IF(COUNT(O8:O37)=0,"",AVERAGE(O8:O37))</f>
        <v>56.19047619047619</v>
      </c>
      <c r="Q38" s="435" t="s">
        <v>53</v>
      </c>
      <c r="R38" s="436"/>
      <c r="S38" s="436"/>
      <c r="T38" s="436"/>
      <c r="U38" s="436"/>
      <c r="V38" s="437"/>
      <c r="W38" s="155">
        <f>IF(COUNT(W8:W37)=0,"",AVERAGE(W8:W37))</f>
        <v>55.80952380952381</v>
      </c>
    </row>
    <row r="39" spans="1:23" x14ac:dyDescent="0.25">
      <c r="A39" s="2"/>
      <c r="B39" s="2"/>
      <c r="C39" s="2"/>
      <c r="D39" s="2"/>
      <c r="E39" s="2"/>
      <c r="F39" s="2"/>
      <c r="G39" s="2"/>
      <c r="I39" s="435" t="s">
        <v>54</v>
      </c>
      <c r="J39" s="436"/>
      <c r="K39" s="436"/>
      <c r="L39" s="436"/>
      <c r="M39" s="436"/>
      <c r="N39" s="437"/>
      <c r="O39" s="156">
        <f>COUNTIF(O8:O37,"&lt;50")</f>
        <v>6</v>
      </c>
      <c r="Q39" s="435" t="s">
        <v>54</v>
      </c>
      <c r="R39" s="436"/>
      <c r="S39" s="436"/>
      <c r="T39" s="436"/>
      <c r="U39" s="436"/>
      <c r="V39" s="437"/>
      <c r="W39" s="156">
        <f>COUNTIF(W8:W37,"&lt;50")</f>
        <v>7</v>
      </c>
    </row>
    <row r="40" spans="1:23" x14ac:dyDescent="0.25">
      <c r="A40" s="2"/>
      <c r="B40" s="2"/>
      <c r="C40" s="2"/>
      <c r="D40" s="2"/>
      <c r="E40" s="2"/>
      <c r="F40" s="2"/>
      <c r="G40" s="2"/>
      <c r="I40" s="435" t="s">
        <v>55</v>
      </c>
      <c r="J40" s="436"/>
      <c r="K40" s="436"/>
      <c r="L40" s="436"/>
      <c r="M40" s="436"/>
      <c r="N40" s="437"/>
      <c r="O40" s="157">
        <f>IF(COUNT(O8:O37)=0,"",$O39/(COUNT(O8:O37))*100)</f>
        <v>28.571428571428569</v>
      </c>
      <c r="Q40" s="435" t="s">
        <v>55</v>
      </c>
      <c r="R40" s="436"/>
      <c r="S40" s="436"/>
      <c r="T40" s="436"/>
      <c r="U40" s="436"/>
      <c r="V40" s="437"/>
      <c r="W40" s="157">
        <f>IF(COUNT(W8:W37)=0,"",$W39/(COUNT(W8:W37))*100)</f>
        <v>33.333333333333329</v>
      </c>
    </row>
  </sheetData>
  <sheetProtection algorithmName="SHA-512" hashValue="kl9gLplHXf37gNnfJ5Vx8grxjJZn6oeb0fblBEVLsM5MbOHPUhnWFPyOp1tgG4OmAuoORaSxMMZm0zcbv3Ednw==" saltValue="rnA+8ebj1Qk0KM9YGLs/lg==" spinCount="100000" sheet="1" objects="1" scenarios="1"/>
  <mergeCells count="45">
    <mergeCell ref="B6:G6"/>
    <mergeCell ref="B7:G7"/>
    <mergeCell ref="B8:G8"/>
    <mergeCell ref="B9:G9"/>
    <mergeCell ref="B16:G16"/>
    <mergeCell ref="B10:G10"/>
    <mergeCell ref="B11:G11"/>
    <mergeCell ref="B12:G12"/>
    <mergeCell ref="B13:G13"/>
    <mergeCell ref="B14:G14"/>
    <mergeCell ref="B15:G15"/>
    <mergeCell ref="B22:G22"/>
    <mergeCell ref="B23:G23"/>
    <mergeCell ref="B17:G17"/>
    <mergeCell ref="B18:G18"/>
    <mergeCell ref="B19:G19"/>
    <mergeCell ref="B20:G20"/>
    <mergeCell ref="B21:G21"/>
    <mergeCell ref="B24:G24"/>
    <mergeCell ref="B25:G25"/>
    <mergeCell ref="B26:G26"/>
    <mergeCell ref="B34:G34"/>
    <mergeCell ref="B35:G35"/>
    <mergeCell ref="B28:G28"/>
    <mergeCell ref="B29:G29"/>
    <mergeCell ref="B27:G27"/>
    <mergeCell ref="B36:G36"/>
    <mergeCell ref="B30:G30"/>
    <mergeCell ref="B31:G31"/>
    <mergeCell ref="B32:G32"/>
    <mergeCell ref="B33:G33"/>
    <mergeCell ref="B37:G37"/>
    <mergeCell ref="Q39:V39"/>
    <mergeCell ref="Q40:V40"/>
    <mergeCell ref="A3:G3"/>
    <mergeCell ref="H3:W3"/>
    <mergeCell ref="D4:G5"/>
    <mergeCell ref="H4:N5"/>
    <mergeCell ref="O4:O5"/>
    <mergeCell ref="P4:V5"/>
    <mergeCell ref="W4:W5"/>
    <mergeCell ref="I38:N38"/>
    <mergeCell ref="I39:N39"/>
    <mergeCell ref="I40:N40"/>
    <mergeCell ref="Q38:V38"/>
  </mergeCells>
  <dataValidations count="3">
    <dataValidation type="decimal" operator="lessThanOrEqual" allowBlank="1" showInputMessage="1" showErrorMessage="1" errorTitle="ERRO!" error="A pergunta não vale tanto!..." sqref="O8:O37" xr:uid="{00000000-0002-0000-0400-000000000000}">
      <formula1>O$7</formula1>
    </dataValidation>
    <dataValidation type="decimal" operator="lessThanOrEqual" allowBlank="1" showErrorMessage="1" errorTitle="Erro." error="Ultrapassou cotação máxima." sqref="H8:N37 P8:V37" xr:uid="{00000000-0002-0000-0400-000002000000}">
      <formula1>H$7</formula1>
    </dataValidation>
    <dataValidation type="decimal" operator="lessThanOrEqual" allowBlank="1" showInputMessage="1" showErrorMessage="1" sqref="W8:W37" xr:uid="{00000000-0002-0000-0400-000003000000}">
      <formula1>W$7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>
    <pageSetUpPr fitToPage="1"/>
  </sheetPr>
  <dimension ref="A1:AC54"/>
  <sheetViews>
    <sheetView zoomScale="90" zoomScaleNormal="9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AB48" sqref="AB48"/>
    </sheetView>
  </sheetViews>
  <sheetFormatPr defaultRowHeight="15" x14ac:dyDescent="0.25"/>
  <cols>
    <col min="1" max="2" width="9.140625" style="81"/>
    <col min="3" max="3" width="8.5703125" style="81" customWidth="1"/>
    <col min="4" max="4" width="9.140625" style="81" hidden="1" customWidth="1"/>
    <col min="5" max="5" width="0.28515625" style="81" customWidth="1"/>
    <col min="6" max="6" width="9.140625" style="81" hidden="1" customWidth="1"/>
    <col min="7" max="7" width="2.7109375" style="81" customWidth="1"/>
    <col min="8" max="10" width="9.140625" style="81"/>
    <col min="11" max="11" width="14.140625" style="81" bestFit="1" customWidth="1"/>
    <col min="12" max="13" width="9.140625" style="81"/>
    <col min="14" max="14" width="13" style="81" customWidth="1"/>
    <col min="15" max="15" width="11.28515625" style="81" customWidth="1"/>
    <col min="16" max="16" width="10" style="81" customWidth="1"/>
    <col min="17" max="20" width="9.140625" style="81"/>
    <col min="21" max="22" width="9.140625" style="81" customWidth="1"/>
    <col min="23" max="23" width="10.85546875" style="81" customWidth="1"/>
    <col min="24" max="24" width="9.140625" style="81" customWidth="1"/>
    <col min="25" max="25" width="9.28515625" style="81" customWidth="1"/>
    <col min="26" max="16384" width="9.140625" style="81"/>
  </cols>
  <sheetData>
    <row r="1" spans="1:26" ht="27" x14ac:dyDescent="0.25">
      <c r="A1" s="1" t="s">
        <v>22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6" ht="27" x14ac:dyDescent="0.25">
      <c r="A2" s="4" t="s">
        <v>6</v>
      </c>
      <c r="B2" s="1"/>
      <c r="C2" s="1"/>
      <c r="D2" s="1"/>
      <c r="E2" s="1"/>
      <c r="F2" s="1"/>
      <c r="G2" s="1"/>
      <c r="H2" s="1"/>
      <c r="I2" s="1"/>
      <c r="J2" s="1"/>
      <c r="K2" s="277" t="s">
        <v>105</v>
      </c>
      <c r="L2" s="1"/>
      <c r="M2" s="1"/>
      <c r="N2" s="1"/>
      <c r="O2" s="1"/>
      <c r="P2" s="1"/>
      <c r="Q2" s="1"/>
      <c r="R2" s="1"/>
      <c r="S2" s="1"/>
      <c r="T2" s="72"/>
      <c r="U2" s="1"/>
      <c r="V2" s="1"/>
      <c r="W2" s="1"/>
      <c r="X2" s="1"/>
      <c r="Y2" s="1"/>
    </row>
    <row r="3" spans="1:26" ht="20.25" x14ac:dyDescent="0.25">
      <c r="A3" s="452"/>
      <c r="B3" s="453"/>
      <c r="C3" s="453"/>
      <c r="D3" s="453"/>
      <c r="E3" s="453"/>
      <c r="F3" s="453"/>
      <c r="G3" s="472"/>
      <c r="H3" s="455" t="s">
        <v>59</v>
      </c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  <c r="X3" s="415"/>
      <c r="Y3" s="416"/>
    </row>
    <row r="4" spans="1:26" x14ac:dyDescent="0.25">
      <c r="A4" s="7"/>
      <c r="B4" s="8"/>
      <c r="C4" s="8"/>
      <c r="D4" s="418"/>
      <c r="E4" s="418"/>
      <c r="F4" s="418"/>
      <c r="G4" s="419"/>
      <c r="H4" s="420" t="s">
        <v>121</v>
      </c>
      <c r="I4" s="421"/>
      <c r="J4" s="421"/>
      <c r="K4" s="421"/>
      <c r="L4" s="421"/>
      <c r="M4" s="421"/>
      <c r="N4" s="421"/>
      <c r="O4" s="440"/>
      <c r="P4" s="424" t="s">
        <v>23</v>
      </c>
      <c r="Q4" s="420" t="s">
        <v>120</v>
      </c>
      <c r="R4" s="421"/>
      <c r="S4" s="421"/>
      <c r="T4" s="421"/>
      <c r="U4" s="421"/>
      <c r="V4" s="421"/>
      <c r="W4" s="421"/>
      <c r="X4" s="440"/>
      <c r="Y4" s="424" t="s">
        <v>23</v>
      </c>
    </row>
    <row r="5" spans="1:26" x14ac:dyDescent="0.25">
      <c r="A5" s="7"/>
      <c r="B5" s="8"/>
      <c r="C5" s="8"/>
      <c r="D5" s="418"/>
      <c r="E5" s="418"/>
      <c r="F5" s="418"/>
      <c r="G5" s="419"/>
      <c r="H5" s="454"/>
      <c r="I5" s="441"/>
      <c r="J5" s="441"/>
      <c r="K5" s="441"/>
      <c r="L5" s="441"/>
      <c r="M5" s="441"/>
      <c r="N5" s="441"/>
      <c r="O5" s="442"/>
      <c r="P5" s="426"/>
      <c r="Q5" s="454"/>
      <c r="R5" s="441"/>
      <c r="S5" s="441"/>
      <c r="T5" s="441"/>
      <c r="U5" s="441"/>
      <c r="V5" s="441"/>
      <c r="W5" s="441"/>
      <c r="X5" s="442"/>
      <c r="Y5" s="426"/>
    </row>
    <row r="6" spans="1:26" ht="18" customHeight="1" x14ac:dyDescent="0.25">
      <c r="A6" s="9"/>
      <c r="B6" s="42"/>
      <c r="C6" s="476" t="s">
        <v>26</v>
      </c>
      <c r="D6" s="477"/>
      <c r="E6" s="477"/>
      <c r="F6" s="477"/>
      <c r="G6" s="478"/>
      <c r="H6" s="65" t="s">
        <v>30</v>
      </c>
      <c r="I6" s="66" t="s">
        <v>32</v>
      </c>
      <c r="J6" s="66" t="s">
        <v>34</v>
      </c>
      <c r="K6" s="66" t="s">
        <v>36</v>
      </c>
      <c r="L6" s="66" t="s">
        <v>38</v>
      </c>
      <c r="M6" s="250" t="s">
        <v>74</v>
      </c>
      <c r="N6" s="267" t="s">
        <v>75</v>
      </c>
      <c r="O6" s="246" t="s">
        <v>72</v>
      </c>
      <c r="P6" s="35"/>
      <c r="Q6" s="243" t="s">
        <v>21</v>
      </c>
      <c r="R6" s="244" t="s">
        <v>48</v>
      </c>
      <c r="S6" s="244" t="s">
        <v>65</v>
      </c>
      <c r="T6" s="244" t="s">
        <v>66</v>
      </c>
      <c r="U6" s="244" t="s">
        <v>67</v>
      </c>
      <c r="V6" s="36" t="s">
        <v>64</v>
      </c>
      <c r="W6" s="267" t="s">
        <v>75</v>
      </c>
      <c r="X6" s="246" t="s">
        <v>72</v>
      </c>
      <c r="Y6" s="40"/>
    </row>
    <row r="7" spans="1:26" ht="30.75" customHeight="1" x14ac:dyDescent="0.25">
      <c r="A7" s="32" t="s">
        <v>8</v>
      </c>
      <c r="B7" s="412" t="s">
        <v>57</v>
      </c>
      <c r="C7" s="413"/>
      <c r="D7" s="413"/>
      <c r="E7" s="413"/>
      <c r="F7" s="413"/>
      <c r="G7" s="413"/>
      <c r="H7" s="64">
        <v>20</v>
      </c>
      <c r="I7" s="63">
        <v>20</v>
      </c>
      <c r="J7" s="63">
        <v>20</v>
      </c>
      <c r="K7" s="63">
        <v>20</v>
      </c>
      <c r="L7" s="63">
        <v>20</v>
      </c>
      <c r="M7" s="251"/>
      <c r="N7" s="93">
        <f>SUM(H7:L7)</f>
        <v>100</v>
      </c>
      <c r="O7" s="93">
        <v>100</v>
      </c>
      <c r="P7" s="93">
        <f>100</f>
        <v>100</v>
      </c>
      <c r="Q7" s="62">
        <v>100</v>
      </c>
      <c r="R7" s="63"/>
      <c r="S7" s="63"/>
      <c r="T7" s="63"/>
      <c r="U7" s="63"/>
      <c r="V7" s="63"/>
      <c r="W7" s="95">
        <f>SUM(Q7:U7)</f>
        <v>100</v>
      </c>
      <c r="X7" s="93">
        <v>100</v>
      </c>
      <c r="Y7" s="94">
        <f>100</f>
        <v>100</v>
      </c>
    </row>
    <row r="8" spans="1:26" x14ac:dyDescent="0.25">
      <c r="A8" s="128">
        <f>IF('Avaliação Períodos'!A9=0,"",'Avaliação Períodos'!A9)</f>
        <v>1</v>
      </c>
      <c r="B8" s="443" t="str">
        <f>IF('Avaliação Períodos'!B9=0,"",'Avaliação Períodos'!B9)</f>
        <v>Ademar Monforte</v>
      </c>
      <c r="C8" s="444"/>
      <c r="D8" s="444"/>
      <c r="E8" s="444"/>
      <c r="F8" s="444"/>
      <c r="G8" s="445"/>
      <c r="H8" s="184">
        <v>15</v>
      </c>
      <c r="I8" s="132">
        <v>15</v>
      </c>
      <c r="J8" s="132">
        <v>10</v>
      </c>
      <c r="K8" s="132">
        <v>10</v>
      </c>
      <c r="L8" s="133">
        <v>10</v>
      </c>
      <c r="M8" s="165"/>
      <c r="N8" s="258">
        <f>IF(COUNT(H8:M8)=0,"",IF(SUM(H8:L8) - ABS(M8)&lt;0,"0",SUM(H8:L8) - ABS(M8)))</f>
        <v>60</v>
      </c>
      <c r="O8" s="247">
        <v>89</v>
      </c>
      <c r="P8" s="13" cm="1">
        <f t="array" ref="P8">composicaoValor(H8:L8,O8,M8)</f>
        <v>74.5</v>
      </c>
      <c r="Q8" s="152">
        <v>40</v>
      </c>
      <c r="R8" s="153"/>
      <c r="S8" s="153"/>
      <c r="T8" s="153"/>
      <c r="U8" s="153"/>
      <c r="V8" s="153"/>
      <c r="W8" s="258">
        <f>IF(COUNT(Q8:V8)=0,"",IF(SUM(Q8:U8) - ABS(V8)&lt;0,"0",SUM(Q8:U8) - ABS(V8)))</f>
        <v>40</v>
      </c>
      <c r="X8" s="247">
        <v>80</v>
      </c>
      <c r="Y8" s="13" cm="1">
        <f t="array" ref="Y8">composicaoValor(Q8:U8,X8,V8)</f>
        <v>60</v>
      </c>
    </row>
    <row r="9" spans="1:26" x14ac:dyDescent="0.25">
      <c r="A9" s="129">
        <f>IF('Avaliação Períodos'!A10=0,"",'Avaliação Períodos'!A10)</f>
        <v>2</v>
      </c>
      <c r="B9" s="446" t="str">
        <f>IF('Avaliação Períodos'!B10=0,"",'Avaliação Períodos'!B10)</f>
        <v>Alexandre Simões</v>
      </c>
      <c r="C9" s="447"/>
      <c r="D9" s="447"/>
      <c r="E9" s="447"/>
      <c r="F9" s="447"/>
      <c r="G9" s="448"/>
      <c r="H9" s="134">
        <v>10</v>
      </c>
      <c r="I9" s="135">
        <v>10</v>
      </c>
      <c r="J9" s="135">
        <v>10</v>
      </c>
      <c r="K9" s="135">
        <v>10</v>
      </c>
      <c r="L9" s="136">
        <v>5</v>
      </c>
      <c r="M9" s="252"/>
      <c r="N9" s="259">
        <f t="shared" ref="N9:N37" si="0">IF(COUNT(H9:M9)=0,"",IF(SUM(H9:L9) - ABS(M9)&lt;0,"0",SUM(H9:L9) - ABS(M9)))</f>
        <v>45</v>
      </c>
      <c r="O9" s="248">
        <v>90</v>
      </c>
      <c r="P9" s="13" cm="1">
        <f t="array" ref="P9">composicaoValor(H9:L9,O9,M9)</f>
        <v>67.5</v>
      </c>
      <c r="Q9" s="134">
        <v>40</v>
      </c>
      <c r="R9" s="135"/>
      <c r="S9" s="135"/>
      <c r="T9" s="135"/>
      <c r="U9" s="135"/>
      <c r="V9" s="135"/>
      <c r="W9" s="259">
        <f t="shared" ref="W9:W37" si="1">IF(COUNT(Q9:V9)=0,"",IF(SUM(Q9:U9) - ABS(V9)&lt;0,"0",SUM(Q9:U9) - ABS(V9)))</f>
        <v>40</v>
      </c>
      <c r="X9" s="248">
        <v>60</v>
      </c>
      <c r="Y9" s="13" cm="1">
        <f t="array" ref="Y9">composicaoValor(Q9:U9,X9,V9)</f>
        <v>50</v>
      </c>
    </row>
    <row r="10" spans="1:26" x14ac:dyDescent="0.25">
      <c r="A10" s="128">
        <f>IF('Avaliação Períodos'!A11=0,"",'Avaliação Períodos'!A11)</f>
        <v>3</v>
      </c>
      <c r="B10" s="432" t="str">
        <f>IF('Avaliação Períodos'!B11=0,"",'Avaliação Períodos'!B11)</f>
        <v>Ana Inácio</v>
      </c>
      <c r="C10" s="433"/>
      <c r="D10" s="433"/>
      <c r="E10" s="433"/>
      <c r="F10" s="433"/>
      <c r="G10" s="482"/>
      <c r="H10" s="138">
        <v>15</v>
      </c>
      <c r="I10" s="139">
        <v>15</v>
      </c>
      <c r="J10" s="139">
        <v>15</v>
      </c>
      <c r="K10" s="139">
        <v>15</v>
      </c>
      <c r="L10" s="140">
        <v>20</v>
      </c>
      <c r="M10" s="168"/>
      <c r="N10" s="260">
        <f t="shared" si="0"/>
        <v>80</v>
      </c>
      <c r="O10" s="254">
        <v>90</v>
      </c>
      <c r="P10" s="13" cm="1">
        <f t="array" ref="P10">composicaoValor(H10:L10,O10,M10)</f>
        <v>85</v>
      </c>
      <c r="Q10" s="138">
        <v>60</v>
      </c>
      <c r="R10" s="139"/>
      <c r="S10" s="139"/>
      <c r="T10" s="139"/>
      <c r="U10" s="139"/>
      <c r="V10" s="139"/>
      <c r="W10" s="260">
        <f t="shared" si="1"/>
        <v>60</v>
      </c>
      <c r="X10" s="254">
        <v>75</v>
      </c>
      <c r="Y10" s="13" cm="1">
        <f t="array" ref="Y10">composicaoValor(Q10:U10,X10,V10)</f>
        <v>67.5</v>
      </c>
    </row>
    <row r="11" spans="1:26" x14ac:dyDescent="0.25">
      <c r="A11" s="129">
        <f>IF('Avaliação Períodos'!A12=0,"",'Avaliação Períodos'!A12)</f>
        <v>4</v>
      </c>
      <c r="B11" s="446" t="str">
        <f>IF('Avaliação Períodos'!B12=0,"",'Avaliação Períodos'!B12)</f>
        <v>Ana Gomes</v>
      </c>
      <c r="C11" s="447"/>
      <c r="D11" s="447"/>
      <c r="E11" s="447"/>
      <c r="F11" s="447"/>
      <c r="G11" s="448"/>
      <c r="H11" s="141">
        <v>15</v>
      </c>
      <c r="I11" s="142">
        <v>15</v>
      </c>
      <c r="J11" s="142">
        <v>15</v>
      </c>
      <c r="K11" s="142">
        <v>15</v>
      </c>
      <c r="L11" s="143">
        <v>15</v>
      </c>
      <c r="M11" s="166"/>
      <c r="N11" s="261">
        <f t="shared" si="0"/>
        <v>75</v>
      </c>
      <c r="O11" s="255">
        <v>84</v>
      </c>
      <c r="P11" s="13" cm="1">
        <f t="array" ref="P11">composicaoValor(H11:L11,O11,M11)</f>
        <v>79.5</v>
      </c>
      <c r="Q11" s="141">
        <v>45</v>
      </c>
      <c r="R11" s="142"/>
      <c r="S11" s="142"/>
      <c r="T11" s="142"/>
      <c r="U11" s="142"/>
      <c r="V11" s="142"/>
      <c r="W11" s="261">
        <f t="shared" si="1"/>
        <v>45</v>
      </c>
      <c r="X11" s="255">
        <v>80</v>
      </c>
      <c r="Y11" s="13" cm="1">
        <f t="array" ref="Y11">composicaoValor(Q11:U11,X11,V11)</f>
        <v>62.5</v>
      </c>
    </row>
    <row r="12" spans="1:26" x14ac:dyDescent="0.25">
      <c r="A12" s="128">
        <f>IF('Avaliação Períodos'!A13=0,"",'Avaliação Períodos'!A13)</f>
        <v>5</v>
      </c>
      <c r="B12" s="432" t="str">
        <f>IF('Avaliação Períodos'!B13=0,"",'Avaliação Períodos'!B13)</f>
        <v>Bruna Lemos</v>
      </c>
      <c r="C12" s="433"/>
      <c r="D12" s="433"/>
      <c r="E12" s="433"/>
      <c r="F12" s="433"/>
      <c r="G12" s="482"/>
      <c r="H12" s="138">
        <v>10</v>
      </c>
      <c r="I12" s="139">
        <v>10</v>
      </c>
      <c r="J12" s="139">
        <v>5</v>
      </c>
      <c r="K12" s="139">
        <v>10</v>
      </c>
      <c r="L12" s="140">
        <v>10</v>
      </c>
      <c r="M12" s="168"/>
      <c r="N12" s="260">
        <f t="shared" si="0"/>
        <v>45</v>
      </c>
      <c r="O12" s="254">
        <v>60</v>
      </c>
      <c r="P12" s="13" cm="1">
        <f t="array" ref="P12">composicaoValor(H12:L12,O12,M12)</f>
        <v>52.5</v>
      </c>
      <c r="Q12" s="138">
        <v>45</v>
      </c>
      <c r="R12" s="139"/>
      <c r="S12" s="139"/>
      <c r="T12" s="139"/>
      <c r="U12" s="139"/>
      <c r="V12" s="139"/>
      <c r="W12" s="260">
        <f t="shared" si="1"/>
        <v>45</v>
      </c>
      <c r="X12" s="254">
        <v>75</v>
      </c>
      <c r="Y12" s="13" cm="1">
        <f t="array" ref="Y12">composicaoValor(Q12:U12,X12,V12)</f>
        <v>60</v>
      </c>
    </row>
    <row r="13" spans="1:26" x14ac:dyDescent="0.25">
      <c r="A13" s="129">
        <f>IF('Avaliação Períodos'!A14=0,"",'Avaliação Períodos'!A14)</f>
        <v>6</v>
      </c>
      <c r="B13" s="446" t="str">
        <f>IF('Avaliação Períodos'!B14=0,"",'Avaliação Períodos'!B14)</f>
        <v>Constança Abreu</v>
      </c>
      <c r="C13" s="447"/>
      <c r="D13" s="447"/>
      <c r="E13" s="447"/>
      <c r="F13" s="447"/>
      <c r="G13" s="448"/>
      <c r="H13" s="141">
        <v>15</v>
      </c>
      <c r="I13" s="142">
        <v>15</v>
      </c>
      <c r="J13" s="142">
        <v>10</v>
      </c>
      <c r="K13" s="142">
        <v>10</v>
      </c>
      <c r="L13" s="143">
        <v>10</v>
      </c>
      <c r="M13" s="166"/>
      <c r="N13" s="261">
        <f t="shared" si="0"/>
        <v>60</v>
      </c>
      <c r="O13" s="255">
        <v>90</v>
      </c>
      <c r="P13" s="13" cm="1">
        <f t="array" ref="P13">composicaoValor(H13:L13,O13,M13)</f>
        <v>75</v>
      </c>
      <c r="Q13" s="141">
        <v>70</v>
      </c>
      <c r="R13" s="142"/>
      <c r="S13" s="142"/>
      <c r="T13" s="142"/>
      <c r="U13" s="142"/>
      <c r="V13" s="142"/>
      <c r="W13" s="261">
        <f t="shared" si="1"/>
        <v>70</v>
      </c>
      <c r="X13" s="255">
        <v>80</v>
      </c>
      <c r="Y13" s="13" cm="1">
        <f t="array" ref="Y13">composicaoValor(Q13:U13,X13,V13)</f>
        <v>75</v>
      </c>
    </row>
    <row r="14" spans="1:26" x14ac:dyDescent="0.25">
      <c r="A14" s="128">
        <f>IF('Avaliação Períodos'!A15=0,"",'Avaliação Períodos'!A15)</f>
        <v>7</v>
      </c>
      <c r="B14" s="432" t="str">
        <f>IF('Avaliação Períodos'!B15=0,"",'Avaliação Períodos'!B15)</f>
        <v>Cristiano Emídio</v>
      </c>
      <c r="C14" s="433"/>
      <c r="D14" s="433"/>
      <c r="E14" s="433"/>
      <c r="F14" s="433"/>
      <c r="G14" s="482"/>
      <c r="H14" s="138">
        <v>10</v>
      </c>
      <c r="I14" s="139">
        <v>10</v>
      </c>
      <c r="J14" s="139">
        <v>5</v>
      </c>
      <c r="K14" s="139">
        <v>10</v>
      </c>
      <c r="L14" s="140">
        <v>10</v>
      </c>
      <c r="M14" s="168"/>
      <c r="N14" s="260">
        <f t="shared" si="0"/>
        <v>45</v>
      </c>
      <c r="O14" s="254">
        <v>90</v>
      </c>
      <c r="P14" s="13" cm="1">
        <f t="array" ref="P14">composicaoValor(H14:L14,O14,M14)</f>
        <v>67.5</v>
      </c>
      <c r="Q14" s="138">
        <v>1</v>
      </c>
      <c r="R14" s="139"/>
      <c r="S14" s="139"/>
      <c r="T14" s="139"/>
      <c r="U14" s="139"/>
      <c r="V14" s="139"/>
      <c r="W14" s="260">
        <f t="shared" si="1"/>
        <v>1</v>
      </c>
      <c r="X14" s="254">
        <v>0</v>
      </c>
      <c r="Y14" s="13" cm="1">
        <f t="array" ref="Y14">composicaoValor(Q14:U14,X14,V14)</f>
        <v>0.5</v>
      </c>
    </row>
    <row r="15" spans="1:26" x14ac:dyDescent="0.25">
      <c r="A15" s="129">
        <f>IF('Avaliação Períodos'!A16=0,"",'Avaliação Períodos'!A16)</f>
        <v>8</v>
      </c>
      <c r="B15" s="446" t="str">
        <f>IF('Avaliação Períodos'!B16=0,"",'Avaliação Períodos'!B16)</f>
        <v>Edgar Gonçalves</v>
      </c>
      <c r="C15" s="447"/>
      <c r="D15" s="447"/>
      <c r="E15" s="447"/>
      <c r="F15" s="447"/>
      <c r="G15" s="448"/>
      <c r="H15" s="141">
        <v>15</v>
      </c>
      <c r="I15" s="142">
        <v>15</v>
      </c>
      <c r="J15" s="144">
        <v>10</v>
      </c>
      <c r="K15" s="142">
        <v>10</v>
      </c>
      <c r="L15" s="143">
        <v>5</v>
      </c>
      <c r="M15" s="166"/>
      <c r="N15" s="261">
        <f t="shared" si="0"/>
        <v>55</v>
      </c>
      <c r="O15" s="255">
        <v>90</v>
      </c>
      <c r="P15" s="13" cm="1">
        <f t="array" ref="P15">composicaoValor(H15:L15,O15,M15)</f>
        <v>72.5</v>
      </c>
      <c r="Q15" s="141">
        <v>50</v>
      </c>
      <c r="R15" s="142"/>
      <c r="S15" s="144"/>
      <c r="T15" s="142"/>
      <c r="U15" s="142"/>
      <c r="V15" s="142"/>
      <c r="W15" s="261">
        <f t="shared" si="1"/>
        <v>50</v>
      </c>
      <c r="X15" s="255">
        <v>75</v>
      </c>
      <c r="Y15" s="13" cm="1">
        <f t="array" ref="Y15">composicaoValor(Q15:U15,X15,V15)</f>
        <v>62.5</v>
      </c>
    </row>
    <row r="16" spans="1:26" x14ac:dyDescent="0.25">
      <c r="A16" s="128">
        <f>IF('Avaliação Períodos'!A17=0,"",'Avaliação Períodos'!A17)</f>
        <v>9</v>
      </c>
      <c r="B16" s="432" t="str">
        <f>IF('Avaliação Períodos'!B17=0,"",'Avaliação Períodos'!B17)</f>
        <v>Fábio Trino</v>
      </c>
      <c r="C16" s="433"/>
      <c r="D16" s="433"/>
      <c r="E16" s="433"/>
      <c r="F16" s="433"/>
      <c r="G16" s="482"/>
      <c r="H16" s="138">
        <v>15</v>
      </c>
      <c r="I16" s="139">
        <v>15</v>
      </c>
      <c r="J16" s="139">
        <v>10</v>
      </c>
      <c r="K16" s="139">
        <v>10</v>
      </c>
      <c r="L16" s="140">
        <v>10</v>
      </c>
      <c r="M16" s="168"/>
      <c r="N16" s="260">
        <f t="shared" si="0"/>
        <v>60</v>
      </c>
      <c r="O16" s="254">
        <v>84</v>
      </c>
      <c r="P16" s="13" cm="1">
        <f t="array" ref="P16">composicaoValor(H16:L16,O16,M16)</f>
        <v>72</v>
      </c>
      <c r="Q16" s="138">
        <v>40</v>
      </c>
      <c r="R16" s="139"/>
      <c r="S16" s="139"/>
      <c r="T16" s="139"/>
      <c r="U16" s="139"/>
      <c r="V16" s="139"/>
      <c r="W16" s="260">
        <f t="shared" si="1"/>
        <v>40</v>
      </c>
      <c r="X16" s="254">
        <v>60</v>
      </c>
      <c r="Y16" s="13" cm="1">
        <f t="array" ref="Y16">composicaoValor(Q16:U16,X16,V16)</f>
        <v>50</v>
      </c>
      <c r="Z16" s="121"/>
    </row>
    <row r="17" spans="1:29" x14ac:dyDescent="0.25">
      <c r="A17" s="129">
        <f>IF('Avaliação Períodos'!A18=0,"",'Avaliação Períodos'!A18)</f>
        <v>10</v>
      </c>
      <c r="B17" s="446" t="str">
        <f>IF('Avaliação Períodos'!B18=0,"",'Avaliação Períodos'!B18)</f>
        <v>Francisco Pedrosa</v>
      </c>
      <c r="C17" s="447"/>
      <c r="D17" s="447"/>
      <c r="E17" s="447"/>
      <c r="F17" s="447"/>
      <c r="G17" s="448"/>
      <c r="H17" s="141">
        <v>10</v>
      </c>
      <c r="I17" s="142">
        <v>10</v>
      </c>
      <c r="J17" s="142">
        <v>10</v>
      </c>
      <c r="K17" s="142">
        <v>5</v>
      </c>
      <c r="L17" s="143">
        <v>10</v>
      </c>
      <c r="M17" s="166">
        <v>2</v>
      </c>
      <c r="N17" s="261">
        <f t="shared" si="0"/>
        <v>43</v>
      </c>
      <c r="O17" s="255">
        <v>90</v>
      </c>
      <c r="P17" s="13" cm="1">
        <f t="array" ref="P17">composicaoValor(H17:L17,O17,M17)</f>
        <v>66.5</v>
      </c>
      <c r="Q17" s="141">
        <v>50</v>
      </c>
      <c r="R17" s="142"/>
      <c r="S17" s="142"/>
      <c r="T17" s="142"/>
      <c r="U17" s="142"/>
      <c r="V17" s="142"/>
      <c r="W17" s="261">
        <f t="shared" si="1"/>
        <v>50</v>
      </c>
      <c r="X17" s="255">
        <v>75</v>
      </c>
      <c r="Y17" s="13" cm="1">
        <f t="array" ref="Y17">composicaoValor(Q17:U17,X17,V17)</f>
        <v>62.5</v>
      </c>
      <c r="AC17" s="121"/>
    </row>
    <row r="18" spans="1:29" x14ac:dyDescent="0.25">
      <c r="A18" s="128">
        <f>IF('Avaliação Períodos'!A19=0,"",'Avaliação Períodos'!A19)</f>
        <v>11</v>
      </c>
      <c r="B18" s="432" t="str">
        <f>IF('Avaliação Períodos'!B19=0,"",'Avaliação Períodos'!B19)</f>
        <v>Francisco Miranda</v>
      </c>
      <c r="C18" s="433"/>
      <c r="D18" s="433"/>
      <c r="E18" s="433"/>
      <c r="F18" s="433"/>
      <c r="G18" s="482"/>
      <c r="H18" s="145">
        <v>10</v>
      </c>
      <c r="I18" s="139">
        <v>10</v>
      </c>
      <c r="J18" s="139">
        <v>10</v>
      </c>
      <c r="K18" s="139">
        <v>5</v>
      </c>
      <c r="L18" s="140">
        <v>10</v>
      </c>
      <c r="M18" s="168"/>
      <c r="N18" s="260">
        <f t="shared" si="0"/>
        <v>45</v>
      </c>
      <c r="O18" s="254">
        <v>60</v>
      </c>
      <c r="P18" s="13" cm="1">
        <f t="array" ref="P18">composicaoValor(H18:L18,O18,M18)</f>
        <v>52.5</v>
      </c>
      <c r="Q18" s="145">
        <v>25</v>
      </c>
      <c r="R18" s="139"/>
      <c r="S18" s="139"/>
      <c r="T18" s="139"/>
      <c r="U18" s="139"/>
      <c r="V18" s="139"/>
      <c r="W18" s="260">
        <f t="shared" si="1"/>
        <v>25</v>
      </c>
      <c r="X18" s="254">
        <v>60</v>
      </c>
      <c r="Y18" s="13" cm="1">
        <f t="array" ref="Y18">composicaoValor(Q18:U18,X18,V18)</f>
        <v>42.5</v>
      </c>
    </row>
    <row r="19" spans="1:29" x14ac:dyDescent="0.25">
      <c r="A19" s="129">
        <f>IF('Avaliação Períodos'!A20=0,"",'Avaliação Períodos'!A20)</f>
        <v>12</v>
      </c>
      <c r="B19" s="446" t="str">
        <f>IF('Avaliação Períodos'!B20=0,"",'Avaliação Períodos'!B20)</f>
        <v>Francisco Mota</v>
      </c>
      <c r="C19" s="447"/>
      <c r="D19" s="447"/>
      <c r="E19" s="447"/>
      <c r="F19" s="447"/>
      <c r="G19" s="448"/>
      <c r="H19" s="141">
        <v>15</v>
      </c>
      <c r="I19" s="142">
        <v>15</v>
      </c>
      <c r="J19" s="142">
        <v>15</v>
      </c>
      <c r="K19" s="142">
        <v>15</v>
      </c>
      <c r="L19" s="143">
        <v>20</v>
      </c>
      <c r="M19" s="166"/>
      <c r="N19" s="261">
        <f t="shared" si="0"/>
        <v>80</v>
      </c>
      <c r="O19" s="255">
        <v>84</v>
      </c>
      <c r="P19" s="13" cm="1">
        <f t="array" ref="P19">composicaoValor(H19:L19,O19,M19)</f>
        <v>82</v>
      </c>
      <c r="Q19" s="141">
        <v>45</v>
      </c>
      <c r="R19" s="142"/>
      <c r="S19" s="142"/>
      <c r="T19" s="142"/>
      <c r="U19" s="142"/>
      <c r="V19" s="142"/>
      <c r="W19" s="261">
        <f t="shared" si="1"/>
        <v>45</v>
      </c>
      <c r="X19" s="255">
        <v>60</v>
      </c>
      <c r="Y19" s="13" cm="1">
        <f t="array" ref="Y19">composicaoValor(Q19:U19,X19,V19)</f>
        <v>52.5</v>
      </c>
    </row>
    <row r="20" spans="1:29" x14ac:dyDescent="0.25">
      <c r="A20" s="128">
        <f>IF('Avaliação Períodos'!A21=0,"",'Avaliação Períodos'!A21)</f>
        <v>13</v>
      </c>
      <c r="B20" s="432" t="str">
        <f>IF('Avaliação Períodos'!B21=0,"",'Avaliação Períodos'!B21)</f>
        <v>Francisco Marques</v>
      </c>
      <c r="C20" s="433"/>
      <c r="D20" s="433"/>
      <c r="E20" s="433"/>
      <c r="F20" s="433"/>
      <c r="G20" s="482"/>
      <c r="H20" s="145">
        <v>10</v>
      </c>
      <c r="I20" s="139">
        <v>10</v>
      </c>
      <c r="J20" s="139">
        <v>5</v>
      </c>
      <c r="K20" s="139">
        <v>5</v>
      </c>
      <c r="L20" s="140">
        <v>10</v>
      </c>
      <c r="M20" s="168"/>
      <c r="N20" s="260">
        <f t="shared" si="0"/>
        <v>40</v>
      </c>
      <c r="O20" s="254">
        <v>89</v>
      </c>
      <c r="P20" s="13" cm="1">
        <f t="array" ref="P20">composicaoValor(H20:L20,O20,M20)</f>
        <v>64.5</v>
      </c>
      <c r="Q20" s="145">
        <v>40</v>
      </c>
      <c r="R20" s="139"/>
      <c r="S20" s="139"/>
      <c r="T20" s="139"/>
      <c r="U20" s="139"/>
      <c r="V20" s="139"/>
      <c r="W20" s="260">
        <f t="shared" si="1"/>
        <v>40</v>
      </c>
      <c r="X20" s="254">
        <v>75</v>
      </c>
      <c r="Y20" s="13" cm="1">
        <f t="array" ref="Y20">composicaoValor(Q20:U20,X20,V20)</f>
        <v>57.5</v>
      </c>
    </row>
    <row r="21" spans="1:29" x14ac:dyDescent="0.25">
      <c r="A21" s="129">
        <f>IF('Avaliação Períodos'!A22=0,"",'Avaliação Períodos'!A22)</f>
        <v>14</v>
      </c>
      <c r="B21" s="446" t="str">
        <f>IF('Avaliação Períodos'!B22=0,"",'Avaliação Períodos'!B22)</f>
        <v>Jamila Portilha</v>
      </c>
      <c r="C21" s="447"/>
      <c r="D21" s="447"/>
      <c r="E21" s="447"/>
      <c r="F21" s="447"/>
      <c r="G21" s="448"/>
      <c r="H21" s="141">
        <v>20</v>
      </c>
      <c r="I21" s="142">
        <v>20</v>
      </c>
      <c r="J21" s="142">
        <v>20</v>
      </c>
      <c r="K21" s="142">
        <v>20</v>
      </c>
      <c r="L21" s="143">
        <v>20</v>
      </c>
      <c r="M21" s="166"/>
      <c r="N21" s="261">
        <f t="shared" si="0"/>
        <v>100</v>
      </c>
      <c r="O21" s="255">
        <v>89</v>
      </c>
      <c r="P21" s="13" cm="1">
        <f t="array" ref="P21">composicaoValor(H21:L21,O21,M21)</f>
        <v>94.5</v>
      </c>
      <c r="Q21" s="141">
        <v>75</v>
      </c>
      <c r="R21" s="142"/>
      <c r="S21" s="142"/>
      <c r="T21" s="142"/>
      <c r="U21" s="142"/>
      <c r="V21" s="142"/>
      <c r="W21" s="261">
        <f t="shared" si="1"/>
        <v>75</v>
      </c>
      <c r="X21" s="255">
        <v>75</v>
      </c>
      <c r="Y21" s="13" cm="1">
        <f t="array" ref="Y21">composicaoValor(Q21:U21,X21,V21)</f>
        <v>75</v>
      </c>
    </row>
    <row r="22" spans="1:29" x14ac:dyDescent="0.25">
      <c r="A22" s="128">
        <f>IF('Avaliação Períodos'!A23=0,"",'Avaliação Períodos'!A23)</f>
        <v>15</v>
      </c>
      <c r="B22" s="432" t="str">
        <f>IF('Avaliação Períodos'!B23=0,"",'Avaliação Períodos'!B23)</f>
        <v>Joelma Emídio</v>
      </c>
      <c r="C22" s="433"/>
      <c r="D22" s="433"/>
      <c r="E22" s="433"/>
      <c r="F22" s="433"/>
      <c r="G22" s="482"/>
      <c r="H22" s="145">
        <v>0</v>
      </c>
      <c r="I22" s="139">
        <v>0</v>
      </c>
      <c r="J22" s="139">
        <v>0</v>
      </c>
      <c r="K22" s="139">
        <v>0</v>
      </c>
      <c r="L22" s="140">
        <v>0</v>
      </c>
      <c r="M22" s="168"/>
      <c r="N22" s="260">
        <f t="shared" si="0"/>
        <v>0</v>
      </c>
      <c r="O22" s="254">
        <v>89</v>
      </c>
      <c r="P22" s="13" cm="1">
        <f t="array" ref="P22">composicaoValor(H22:L22,O22,M22)</f>
        <v>44.5</v>
      </c>
      <c r="Q22" s="145">
        <v>1</v>
      </c>
      <c r="R22" s="139"/>
      <c r="S22" s="139"/>
      <c r="T22" s="139"/>
      <c r="U22" s="139"/>
      <c r="V22" s="139"/>
      <c r="W22" s="260">
        <f t="shared" si="1"/>
        <v>1</v>
      </c>
      <c r="X22" s="254">
        <v>0</v>
      </c>
      <c r="Y22" s="13" cm="1">
        <f t="array" ref="Y22">composicaoValor(Q22:U22,X22,V22)</f>
        <v>0.5</v>
      </c>
    </row>
    <row r="23" spans="1:29" x14ac:dyDescent="0.25">
      <c r="A23" s="129">
        <f>IF('Avaliação Períodos'!A24=0,"",'Avaliação Períodos'!A24)</f>
        <v>16</v>
      </c>
      <c r="B23" s="446" t="str">
        <f>IF('Avaliação Períodos'!B24=0,"",'Avaliação Períodos'!B24)</f>
        <v>José Garcia</v>
      </c>
      <c r="C23" s="447"/>
      <c r="D23" s="447"/>
      <c r="E23" s="447"/>
      <c r="F23" s="447"/>
      <c r="G23" s="448"/>
      <c r="H23" s="141">
        <v>10</v>
      </c>
      <c r="I23" s="142">
        <v>10</v>
      </c>
      <c r="J23" s="142">
        <v>10</v>
      </c>
      <c r="K23" s="142">
        <v>10</v>
      </c>
      <c r="L23" s="143">
        <v>10</v>
      </c>
      <c r="M23" s="166"/>
      <c r="N23" s="261">
        <f t="shared" si="0"/>
        <v>50</v>
      </c>
      <c r="O23" s="255">
        <v>0</v>
      </c>
      <c r="P23" s="13" cm="1">
        <f t="array" ref="P23">composicaoValor(H23:L23,O23,M23)</f>
        <v>25</v>
      </c>
      <c r="Q23" s="141">
        <v>1</v>
      </c>
      <c r="R23" s="142"/>
      <c r="S23" s="142"/>
      <c r="T23" s="142"/>
      <c r="U23" s="142"/>
      <c r="V23" s="142"/>
      <c r="W23" s="261">
        <f t="shared" si="1"/>
        <v>1</v>
      </c>
      <c r="X23" s="255">
        <v>0</v>
      </c>
      <c r="Y23" s="13" cm="1">
        <f t="array" ref="Y23">composicaoValor(Q23:U23,X23,V23)</f>
        <v>0.5</v>
      </c>
    </row>
    <row r="24" spans="1:29" x14ac:dyDescent="0.25">
      <c r="A24" s="128">
        <f>IF('Avaliação Períodos'!A25=0,"",'Avaliação Períodos'!A25)</f>
        <v>17</v>
      </c>
      <c r="B24" s="432" t="str">
        <f>IF('Avaliação Períodos'!B25=0,"",'Avaliação Períodos'!B25)</f>
        <v>Leonor Gomes</v>
      </c>
      <c r="C24" s="433"/>
      <c r="D24" s="433"/>
      <c r="E24" s="433"/>
      <c r="F24" s="433"/>
      <c r="G24" s="482"/>
      <c r="H24" s="145">
        <v>20</v>
      </c>
      <c r="I24" s="139">
        <v>20</v>
      </c>
      <c r="J24" s="139">
        <v>15</v>
      </c>
      <c r="K24" s="139">
        <v>15</v>
      </c>
      <c r="L24" s="140">
        <v>10</v>
      </c>
      <c r="M24" s="168"/>
      <c r="N24" s="260">
        <f t="shared" si="0"/>
        <v>80</v>
      </c>
      <c r="O24" s="254">
        <v>90</v>
      </c>
      <c r="P24" s="13" cm="1">
        <f t="array" ref="P24">composicaoValor(H24:L24,O24,M24)</f>
        <v>85</v>
      </c>
      <c r="Q24" s="145">
        <v>60</v>
      </c>
      <c r="R24" s="139"/>
      <c r="S24" s="139"/>
      <c r="T24" s="139"/>
      <c r="U24" s="139"/>
      <c r="V24" s="139"/>
      <c r="W24" s="260">
        <f t="shared" si="1"/>
        <v>60</v>
      </c>
      <c r="X24" s="254">
        <v>75</v>
      </c>
      <c r="Y24" s="13" cm="1">
        <f t="array" ref="Y24">composicaoValor(Q24:U24,X24,V24)</f>
        <v>67.5</v>
      </c>
    </row>
    <row r="25" spans="1:29" x14ac:dyDescent="0.25">
      <c r="A25" s="129">
        <f>IF('Avaliação Períodos'!A26=0,"",'Avaliação Períodos'!A26)</f>
        <v>18</v>
      </c>
      <c r="B25" s="446" t="str">
        <f>IF('Avaliação Períodos'!B26=0,"",'Avaliação Períodos'!B26)</f>
        <v>Martim Santos</v>
      </c>
      <c r="C25" s="447"/>
      <c r="D25" s="447"/>
      <c r="E25" s="447"/>
      <c r="F25" s="447"/>
      <c r="G25" s="448"/>
      <c r="H25" s="141">
        <v>15</v>
      </c>
      <c r="I25" s="142">
        <v>10</v>
      </c>
      <c r="J25" s="142">
        <v>10</v>
      </c>
      <c r="K25" s="142">
        <v>10</v>
      </c>
      <c r="L25" s="143">
        <v>5</v>
      </c>
      <c r="M25" s="166"/>
      <c r="N25" s="261">
        <f t="shared" si="0"/>
        <v>50</v>
      </c>
      <c r="O25" s="255">
        <v>90</v>
      </c>
      <c r="P25" s="13" cm="1">
        <f t="array" ref="P25">composicaoValor(H25:L25,O25,M25)</f>
        <v>70</v>
      </c>
      <c r="Q25" s="141">
        <v>55</v>
      </c>
      <c r="R25" s="142"/>
      <c r="S25" s="142"/>
      <c r="T25" s="142"/>
      <c r="U25" s="142"/>
      <c r="V25" s="142"/>
      <c r="W25" s="261">
        <f t="shared" si="1"/>
        <v>55</v>
      </c>
      <c r="X25" s="255">
        <v>75</v>
      </c>
      <c r="Y25" s="13" cm="1">
        <f t="array" ref="Y25">composicaoValor(Q25:U25,X25,V25)</f>
        <v>65</v>
      </c>
    </row>
    <row r="26" spans="1:29" x14ac:dyDescent="0.25">
      <c r="A26" s="128">
        <f>IF('Avaliação Períodos'!A27=0,"",'Avaliação Períodos'!A27)</f>
        <v>19</v>
      </c>
      <c r="B26" s="432" t="str">
        <f>IF('Avaliação Períodos'!B27=0,"",'Avaliação Períodos'!B27)</f>
        <v>Nikole Lage</v>
      </c>
      <c r="C26" s="433"/>
      <c r="D26" s="433"/>
      <c r="E26" s="433"/>
      <c r="F26" s="433"/>
      <c r="G26" s="482"/>
      <c r="H26" s="145">
        <v>10</v>
      </c>
      <c r="I26" s="139">
        <v>10</v>
      </c>
      <c r="J26" s="139">
        <v>10</v>
      </c>
      <c r="K26" s="139">
        <v>10</v>
      </c>
      <c r="L26" s="140">
        <v>10</v>
      </c>
      <c r="M26" s="168"/>
      <c r="N26" s="260">
        <f t="shared" si="0"/>
        <v>50</v>
      </c>
      <c r="O26" s="254">
        <v>90</v>
      </c>
      <c r="P26" s="13" cm="1">
        <f t="array" ref="P26">composicaoValor(H26:L26,O26,M26)</f>
        <v>70</v>
      </c>
      <c r="Q26" s="145">
        <v>1</v>
      </c>
      <c r="R26" s="139"/>
      <c r="S26" s="139"/>
      <c r="T26" s="139"/>
      <c r="U26" s="139"/>
      <c r="V26" s="139"/>
      <c r="W26" s="260">
        <f t="shared" si="1"/>
        <v>1</v>
      </c>
      <c r="X26" s="254">
        <v>0</v>
      </c>
      <c r="Y26" s="13" cm="1">
        <f t="array" ref="Y26">composicaoValor(Q26:U26,X26,V26)</f>
        <v>0.5</v>
      </c>
    </row>
    <row r="27" spans="1:29" x14ac:dyDescent="0.25">
      <c r="A27" s="129">
        <f>IF('Avaliação Períodos'!A28=0,"",'Avaliação Períodos'!A28)</f>
        <v>20</v>
      </c>
      <c r="B27" s="446" t="str">
        <f>IF('Avaliação Períodos'!B28=0,"",'Avaliação Períodos'!B28)</f>
        <v>Tatiana Gomes</v>
      </c>
      <c r="C27" s="447"/>
      <c r="D27" s="447"/>
      <c r="E27" s="447"/>
      <c r="F27" s="447"/>
      <c r="G27" s="448"/>
      <c r="H27" s="141">
        <v>20</v>
      </c>
      <c r="I27" s="142">
        <v>20</v>
      </c>
      <c r="J27" s="142">
        <v>20</v>
      </c>
      <c r="K27" s="142">
        <v>20</v>
      </c>
      <c r="L27" s="143">
        <v>15</v>
      </c>
      <c r="M27" s="166"/>
      <c r="N27" s="261">
        <f t="shared" si="0"/>
        <v>95</v>
      </c>
      <c r="O27" s="255">
        <v>89</v>
      </c>
      <c r="P27" s="13" cm="1">
        <f t="array" ref="P27">composicaoValor(H27:L27,O27,M27)</f>
        <v>92</v>
      </c>
      <c r="Q27" s="141">
        <v>60</v>
      </c>
      <c r="R27" s="142"/>
      <c r="S27" s="142"/>
      <c r="T27" s="142"/>
      <c r="U27" s="142"/>
      <c r="V27" s="142"/>
      <c r="W27" s="261">
        <f t="shared" si="1"/>
        <v>60</v>
      </c>
      <c r="X27" s="255">
        <v>80</v>
      </c>
      <c r="Y27" s="13" cm="1">
        <f t="array" ref="Y27">composicaoValor(Q27:U27,X27,V27)</f>
        <v>70</v>
      </c>
    </row>
    <row r="28" spans="1:29" x14ac:dyDescent="0.25">
      <c r="A28" s="128">
        <f>IF('Avaliação Períodos'!A29=0,"",'Avaliação Períodos'!A29)</f>
        <v>21</v>
      </c>
      <c r="B28" s="432" t="str">
        <f>IF('Avaliação Períodos'!B29=0,"",'Avaliação Períodos'!B29)</f>
        <v>Manuel Ascenso</v>
      </c>
      <c r="C28" s="433"/>
      <c r="D28" s="433"/>
      <c r="E28" s="433"/>
      <c r="F28" s="433"/>
      <c r="G28" s="482"/>
      <c r="H28" s="145">
        <v>20</v>
      </c>
      <c r="I28" s="139">
        <v>20</v>
      </c>
      <c r="J28" s="139">
        <v>15</v>
      </c>
      <c r="K28" s="139">
        <v>20</v>
      </c>
      <c r="L28" s="140">
        <v>20</v>
      </c>
      <c r="M28" s="168"/>
      <c r="N28" s="260">
        <f t="shared" si="0"/>
        <v>95</v>
      </c>
      <c r="O28" s="254">
        <v>90</v>
      </c>
      <c r="P28" s="13" cm="1">
        <f t="array" ref="P28">composicaoValor(H28:L28,O28,M28)</f>
        <v>92.5</v>
      </c>
      <c r="Q28" s="145">
        <v>60</v>
      </c>
      <c r="R28" s="139"/>
      <c r="S28" s="139"/>
      <c r="T28" s="139"/>
      <c r="U28" s="139"/>
      <c r="V28" s="139"/>
      <c r="W28" s="260">
        <f t="shared" si="1"/>
        <v>60</v>
      </c>
      <c r="X28" s="254">
        <v>75</v>
      </c>
      <c r="Y28" s="13" cm="1">
        <f t="array" ref="Y28">composicaoValor(Q28:U28,X28,V28)</f>
        <v>67.5</v>
      </c>
    </row>
    <row r="29" spans="1:29" x14ac:dyDescent="0.25">
      <c r="A29" s="129" t="str">
        <f>IF('Avaliação Períodos'!A30=0,"",'Avaliação Períodos'!A30)</f>
        <v/>
      </c>
      <c r="B29" s="446" t="str">
        <f>IF('Avaliação Períodos'!B30=0,"",'Avaliação Períodos'!B30)</f>
        <v>Ana Ramos</v>
      </c>
      <c r="C29" s="447"/>
      <c r="D29" s="447"/>
      <c r="E29" s="447"/>
      <c r="F29" s="447"/>
      <c r="G29" s="448"/>
      <c r="H29" s="146"/>
      <c r="I29" s="147"/>
      <c r="J29" s="147"/>
      <c r="K29" s="147"/>
      <c r="L29" s="148"/>
      <c r="M29" s="169"/>
      <c r="N29" s="262" t="str">
        <f t="shared" si="0"/>
        <v/>
      </c>
      <c r="O29" s="256">
        <v>0</v>
      </c>
      <c r="P29" s="13" cm="1">
        <f t="array" ref="P29">composicaoValor(H29:L29,O29,M29)</f>
        <v>0</v>
      </c>
      <c r="Q29" s="146"/>
      <c r="R29" s="147"/>
      <c r="S29" s="147"/>
      <c r="T29" s="147"/>
      <c r="U29" s="147"/>
      <c r="V29" s="147">
        <v>0</v>
      </c>
      <c r="W29" s="262">
        <f t="shared" si="1"/>
        <v>0</v>
      </c>
      <c r="X29" s="256">
        <v>0</v>
      </c>
      <c r="Y29" s="13" cm="1">
        <f t="array" ref="Y29">composicaoValor(Q29:U29,X29,V29)</f>
        <v>0</v>
      </c>
    </row>
    <row r="30" spans="1:29" x14ac:dyDescent="0.25">
      <c r="A30" s="128" t="str">
        <f>IF('Avaliação Períodos'!A31=0,"",'Avaliação Períodos'!A31)</f>
        <v/>
      </c>
      <c r="B30" s="432" t="str">
        <f>IF('Avaliação Períodos'!B31=0,"",'Avaliação Períodos'!B31)</f>
        <v/>
      </c>
      <c r="C30" s="433"/>
      <c r="D30" s="433"/>
      <c r="E30" s="433"/>
      <c r="F30" s="433"/>
      <c r="G30" s="482"/>
      <c r="H30" s="145"/>
      <c r="I30" s="139"/>
      <c r="J30" s="139"/>
      <c r="K30" s="139"/>
      <c r="L30" s="140"/>
      <c r="M30" s="168"/>
      <c r="N30" s="260" t="str">
        <f t="shared" si="0"/>
        <v/>
      </c>
      <c r="O30" s="254"/>
      <c r="P30" s="13" t="str" cm="1">
        <f t="array" ref="P30">composicaoValor(H30:L30,O30,M30)</f>
        <v/>
      </c>
      <c r="Q30" s="145"/>
      <c r="R30" s="139"/>
      <c r="S30" s="139"/>
      <c r="T30" s="139"/>
      <c r="U30" s="139"/>
      <c r="V30" s="139"/>
      <c r="W30" s="260" t="str">
        <f t="shared" si="1"/>
        <v/>
      </c>
      <c r="X30" s="254"/>
      <c r="Y30" s="13" t="str" cm="1">
        <f t="array" ref="Y30">composicaoValor(Q30:U30,X30,V30)</f>
        <v/>
      </c>
    </row>
    <row r="31" spans="1:29" x14ac:dyDescent="0.25">
      <c r="A31" s="129" t="str">
        <f>IF('Avaliação Períodos'!A32=0,"",'Avaliação Períodos'!A32)</f>
        <v/>
      </c>
      <c r="B31" s="446" t="str">
        <f>IF('Avaliação Períodos'!B32=0,"",'Avaliação Períodos'!B32)</f>
        <v/>
      </c>
      <c r="C31" s="447"/>
      <c r="D31" s="447"/>
      <c r="E31" s="447"/>
      <c r="F31" s="447"/>
      <c r="G31" s="448"/>
      <c r="H31" s="141"/>
      <c r="I31" s="142"/>
      <c r="J31" s="142"/>
      <c r="K31" s="142"/>
      <c r="L31" s="143"/>
      <c r="M31" s="166"/>
      <c r="N31" s="261" t="str">
        <f t="shared" si="0"/>
        <v/>
      </c>
      <c r="O31" s="255"/>
      <c r="P31" s="13" t="str" cm="1">
        <f t="array" ref="P31">composicaoValor(H31:L31,O31,M31)</f>
        <v/>
      </c>
      <c r="Q31" s="141"/>
      <c r="R31" s="142"/>
      <c r="S31" s="142"/>
      <c r="T31" s="142"/>
      <c r="U31" s="142"/>
      <c r="V31" s="142"/>
      <c r="W31" s="261" t="str">
        <f t="shared" si="1"/>
        <v/>
      </c>
      <c r="X31" s="255"/>
      <c r="Y31" s="13" t="str" cm="1">
        <f t="array" ref="Y31">composicaoValor(Q31:U31,X31,V31)</f>
        <v/>
      </c>
    </row>
    <row r="32" spans="1:29" x14ac:dyDescent="0.25">
      <c r="A32" s="128" t="str">
        <f>IF('Avaliação Períodos'!A33=0,"",'Avaliação Períodos'!A33)</f>
        <v/>
      </c>
      <c r="B32" s="432" t="str">
        <f>IF('Avaliação Períodos'!B33=0,"",'Avaliação Períodos'!B33)</f>
        <v/>
      </c>
      <c r="C32" s="433"/>
      <c r="D32" s="433"/>
      <c r="E32" s="433"/>
      <c r="F32" s="433"/>
      <c r="G32" s="482"/>
      <c r="H32" s="145"/>
      <c r="I32" s="139"/>
      <c r="J32" s="139"/>
      <c r="K32" s="139"/>
      <c r="L32" s="140"/>
      <c r="M32" s="168"/>
      <c r="N32" s="260" t="str">
        <f t="shared" si="0"/>
        <v/>
      </c>
      <c r="O32" s="254"/>
      <c r="P32" s="13" t="str" cm="1">
        <f t="array" ref="P32">composicaoValor(H32:L32,O32,M32)</f>
        <v/>
      </c>
      <c r="Q32" s="145"/>
      <c r="R32" s="139"/>
      <c r="S32" s="139"/>
      <c r="T32" s="139"/>
      <c r="U32" s="139"/>
      <c r="V32" s="139"/>
      <c r="W32" s="260" t="str">
        <f t="shared" si="1"/>
        <v/>
      </c>
      <c r="X32" s="254"/>
      <c r="Y32" s="13" t="str" cm="1">
        <f t="array" ref="Y32">composicaoValor(Q32:U32,X32,V32)</f>
        <v/>
      </c>
    </row>
    <row r="33" spans="1:25" x14ac:dyDescent="0.25">
      <c r="A33" s="129" t="str">
        <f>IF('Avaliação Períodos'!A34=0,"",'Avaliação Períodos'!A34)</f>
        <v/>
      </c>
      <c r="B33" s="446" t="str">
        <f>IF('Avaliação Períodos'!B34=0,"",'Avaliação Períodos'!B34)</f>
        <v/>
      </c>
      <c r="C33" s="447"/>
      <c r="D33" s="447"/>
      <c r="E33" s="447"/>
      <c r="F33" s="447"/>
      <c r="G33" s="448"/>
      <c r="H33" s="141"/>
      <c r="I33" s="142"/>
      <c r="J33" s="142"/>
      <c r="K33" s="142"/>
      <c r="L33" s="143"/>
      <c r="M33" s="166"/>
      <c r="N33" s="261" t="str">
        <f t="shared" si="0"/>
        <v/>
      </c>
      <c r="O33" s="255"/>
      <c r="P33" s="13" t="str" cm="1">
        <f t="array" ref="P33">composicaoValor(H33:L33,O33,M33)</f>
        <v/>
      </c>
      <c r="Q33" s="141"/>
      <c r="R33" s="142"/>
      <c r="S33" s="142"/>
      <c r="T33" s="142"/>
      <c r="U33" s="142"/>
      <c r="V33" s="142"/>
      <c r="W33" s="261" t="str">
        <f t="shared" si="1"/>
        <v/>
      </c>
      <c r="X33" s="255"/>
      <c r="Y33" s="13" t="str" cm="1">
        <f t="array" ref="Y33">composicaoValor(Q33:U33,X33,V33)</f>
        <v/>
      </c>
    </row>
    <row r="34" spans="1:25" x14ac:dyDescent="0.25">
      <c r="A34" s="128" t="str">
        <f>IF('Avaliação Períodos'!A35=0,"",'Avaliação Períodos'!A35)</f>
        <v/>
      </c>
      <c r="B34" s="432" t="str">
        <f>IF('Avaliação Períodos'!B35=0,"",'Avaliação Períodos'!B35)</f>
        <v/>
      </c>
      <c r="C34" s="433"/>
      <c r="D34" s="433"/>
      <c r="E34" s="433"/>
      <c r="F34" s="433"/>
      <c r="G34" s="482"/>
      <c r="H34" s="145"/>
      <c r="I34" s="139"/>
      <c r="J34" s="139"/>
      <c r="K34" s="139"/>
      <c r="L34" s="140"/>
      <c r="M34" s="168"/>
      <c r="N34" s="260" t="str">
        <f t="shared" si="0"/>
        <v/>
      </c>
      <c r="O34" s="254"/>
      <c r="P34" s="13" t="str" cm="1">
        <f t="array" ref="P34">composicaoValor(H34:L34,O34,M34)</f>
        <v/>
      </c>
      <c r="Q34" s="145"/>
      <c r="R34" s="139"/>
      <c r="S34" s="139"/>
      <c r="T34" s="139"/>
      <c r="U34" s="139"/>
      <c r="V34" s="139"/>
      <c r="W34" s="260" t="str">
        <f t="shared" si="1"/>
        <v/>
      </c>
      <c r="X34" s="254"/>
      <c r="Y34" s="13" t="str" cm="1">
        <f t="array" ref="Y34">composicaoValor(Q34:U34,X34,V34)</f>
        <v/>
      </c>
    </row>
    <row r="35" spans="1:25" x14ac:dyDescent="0.25">
      <c r="A35" s="129" t="str">
        <f>IF('Avaliação Períodos'!A36=0,"",'Avaliação Períodos'!A36)</f>
        <v/>
      </c>
      <c r="B35" s="446" t="str">
        <f>IF('Avaliação Períodos'!B36=0,"",'Avaliação Períodos'!B36)</f>
        <v/>
      </c>
      <c r="C35" s="447"/>
      <c r="D35" s="447"/>
      <c r="E35" s="447"/>
      <c r="F35" s="447"/>
      <c r="G35" s="448"/>
      <c r="H35" s="141"/>
      <c r="I35" s="142"/>
      <c r="J35" s="142"/>
      <c r="K35" s="142"/>
      <c r="L35" s="143"/>
      <c r="M35" s="166"/>
      <c r="N35" s="261" t="str">
        <f t="shared" si="0"/>
        <v/>
      </c>
      <c r="O35" s="255"/>
      <c r="P35" s="13" t="str" cm="1">
        <f t="array" ref="P35">composicaoValor(H35:L35,O35,M35)</f>
        <v/>
      </c>
      <c r="Q35" s="141"/>
      <c r="R35" s="142"/>
      <c r="S35" s="142"/>
      <c r="T35" s="142"/>
      <c r="U35" s="142"/>
      <c r="V35" s="142"/>
      <c r="W35" s="261" t="str">
        <f t="shared" si="1"/>
        <v/>
      </c>
      <c r="X35" s="255"/>
      <c r="Y35" s="13" t="str" cm="1">
        <f t="array" ref="Y35">composicaoValor(Q35:U35,X35,V35)</f>
        <v/>
      </c>
    </row>
    <row r="36" spans="1:25" x14ac:dyDescent="0.25">
      <c r="A36" s="130" t="str">
        <f>IF('Avaliação Períodos'!A37=0,"",'Avaliação Períodos'!A37)</f>
        <v/>
      </c>
      <c r="B36" s="479" t="str">
        <f>IF('Avaliação Períodos'!B37=0,"",'Avaliação Períodos'!B37)</f>
        <v/>
      </c>
      <c r="C36" s="480"/>
      <c r="D36" s="480"/>
      <c r="E36" s="480"/>
      <c r="F36" s="480"/>
      <c r="G36" s="481"/>
      <c r="H36" s="149"/>
      <c r="I36" s="150"/>
      <c r="J36" s="150"/>
      <c r="K36" s="150"/>
      <c r="L36" s="150"/>
      <c r="M36" s="253"/>
      <c r="N36" s="263" t="str">
        <f t="shared" si="0"/>
        <v/>
      </c>
      <c r="O36" s="249"/>
      <c r="P36" s="13" t="str" cm="1">
        <f t="array" ref="P36">composicaoValor(H36:L36,O36,M36)</f>
        <v/>
      </c>
      <c r="Q36" s="149"/>
      <c r="R36" s="150"/>
      <c r="S36" s="150"/>
      <c r="T36" s="150"/>
      <c r="U36" s="150"/>
      <c r="V36" s="150"/>
      <c r="W36" s="263" t="str">
        <f t="shared" si="1"/>
        <v/>
      </c>
      <c r="X36" s="249"/>
      <c r="Y36" s="13" t="str" cm="1">
        <f t="array" ref="Y36">composicaoValor(Q36:U36,X36,V36)</f>
        <v/>
      </c>
    </row>
    <row r="37" spans="1:25" x14ac:dyDescent="0.25">
      <c r="A37" s="131" t="str">
        <f>IF('Avaliação Períodos'!A38=0,"",'Avaliação Períodos'!A38)</f>
        <v/>
      </c>
      <c r="B37" s="429" t="str">
        <f>IF('Avaliação Períodos'!B38=0,"",'Avaliação Períodos'!B38)</f>
        <v xml:space="preserve"> </v>
      </c>
      <c r="C37" s="430"/>
      <c r="D37" s="430"/>
      <c r="E37" s="430"/>
      <c r="F37" s="430"/>
      <c r="G37" s="431"/>
      <c r="H37" s="27"/>
      <c r="I37" s="264"/>
      <c r="J37" s="264"/>
      <c r="K37" s="264"/>
      <c r="L37" s="264"/>
      <c r="M37" s="265"/>
      <c r="N37" s="266" t="str">
        <f t="shared" si="0"/>
        <v/>
      </c>
      <c r="O37" s="257"/>
      <c r="P37" s="13" t="str" cm="1">
        <f t="array" ref="P37">composicaoValor(H37:L37,O37,M37)</f>
        <v/>
      </c>
      <c r="Q37" s="27"/>
      <c r="R37" s="28"/>
      <c r="S37" s="28"/>
      <c r="T37" s="28"/>
      <c r="U37" s="28"/>
      <c r="V37" s="28"/>
      <c r="W37" s="266" t="str">
        <f t="shared" si="1"/>
        <v/>
      </c>
      <c r="X37" s="257"/>
      <c r="Y37" s="13" t="str" cm="1">
        <f t="array" ref="Y37">composicaoValor(Q37:U37,X37,V37)</f>
        <v/>
      </c>
    </row>
    <row r="38" spans="1:25" x14ac:dyDescent="0.25">
      <c r="A38" s="2"/>
      <c r="B38" s="2"/>
      <c r="C38" s="2"/>
      <c r="D38" s="2"/>
      <c r="E38" s="2"/>
      <c r="F38" s="2"/>
      <c r="G38" s="2"/>
      <c r="I38" s="435" t="s">
        <v>53</v>
      </c>
      <c r="J38" s="436"/>
      <c r="K38" s="436"/>
      <c r="L38" s="436"/>
      <c r="M38" s="436"/>
      <c r="N38" s="437"/>
      <c r="O38" s="241"/>
      <c r="P38" s="155">
        <f>IF(COUNT(P8:P37)=0,"",AVERAGE(P8:P37))</f>
        <v>67.5</v>
      </c>
      <c r="R38" s="435" t="s">
        <v>53</v>
      </c>
      <c r="S38" s="436"/>
      <c r="T38" s="436"/>
      <c r="U38" s="436"/>
      <c r="V38" s="436"/>
      <c r="W38" s="436"/>
      <c r="X38" s="437"/>
      <c r="Y38" s="155">
        <f>IF(COUNT(Y8:Y37)=0,"",AVERAGE(Y8:Y37))</f>
        <v>47.704545454545453</v>
      </c>
    </row>
    <row r="39" spans="1:25" x14ac:dyDescent="0.25">
      <c r="A39" s="2"/>
      <c r="B39" s="2"/>
      <c r="C39" s="2"/>
      <c r="D39" s="2"/>
      <c r="E39" s="2"/>
      <c r="F39" s="2"/>
      <c r="G39" s="2"/>
      <c r="I39" s="435" t="s">
        <v>54</v>
      </c>
      <c r="J39" s="436"/>
      <c r="K39" s="436"/>
      <c r="L39" s="436"/>
      <c r="M39" s="436"/>
      <c r="N39" s="437"/>
      <c r="O39" s="241"/>
      <c r="P39" s="156">
        <f>COUNTIF(P8:P37,"&lt;50")</f>
        <v>3</v>
      </c>
      <c r="R39" s="435" t="s">
        <v>54</v>
      </c>
      <c r="S39" s="436"/>
      <c r="T39" s="436"/>
      <c r="U39" s="436"/>
      <c r="V39" s="436"/>
      <c r="W39" s="436"/>
      <c r="X39" s="437"/>
      <c r="Y39" s="156">
        <f>COUNTIF(Y8:Y37,"&lt;50")</f>
        <v>6</v>
      </c>
    </row>
    <row r="40" spans="1:25" x14ac:dyDescent="0.25">
      <c r="A40" s="2"/>
      <c r="B40" s="2"/>
      <c r="C40" s="2"/>
      <c r="D40" s="2"/>
      <c r="E40" s="2"/>
      <c r="F40" s="2"/>
      <c r="G40" s="2"/>
      <c r="I40" s="435" t="s">
        <v>55</v>
      </c>
      <c r="J40" s="436"/>
      <c r="K40" s="436"/>
      <c r="L40" s="436"/>
      <c r="M40" s="436"/>
      <c r="N40" s="437"/>
      <c r="O40" s="241"/>
      <c r="P40" s="157">
        <f>IF(COUNT(P8:P37)=0,"",$P39/(COUNT(P8:P37))*100)</f>
        <v>13.636363636363635</v>
      </c>
      <c r="R40" s="435" t="s">
        <v>55</v>
      </c>
      <c r="S40" s="436"/>
      <c r="T40" s="436"/>
      <c r="U40" s="436"/>
      <c r="V40" s="436"/>
      <c r="W40" s="436"/>
      <c r="X40" s="437"/>
      <c r="Y40" s="157">
        <f>IF(COUNT(Y8:Y37)=0,"",$Y39/(COUNT(Y8:Y37))*100)</f>
        <v>27.27272727272727</v>
      </c>
    </row>
    <row r="42" spans="1:25" x14ac:dyDescent="0.25">
      <c r="P42" s="483" t="s">
        <v>28</v>
      </c>
      <c r="Q42" s="483"/>
      <c r="R42" s="80"/>
      <c r="S42" s="12" t="s">
        <v>29</v>
      </c>
    </row>
    <row r="43" spans="1:25" x14ac:dyDescent="0.25">
      <c r="P43" s="14" t="s">
        <v>30</v>
      </c>
      <c r="Q43" s="15" t="s">
        <v>31</v>
      </c>
      <c r="R43" s="15"/>
      <c r="S43" s="16">
        <v>20</v>
      </c>
    </row>
    <row r="44" spans="1:25" x14ac:dyDescent="0.25">
      <c r="P44" s="14" t="s">
        <v>32</v>
      </c>
      <c r="Q44" s="15" t="s">
        <v>33</v>
      </c>
      <c r="R44" s="15"/>
      <c r="S44" s="16">
        <v>20</v>
      </c>
    </row>
    <row r="45" spans="1:25" x14ac:dyDescent="0.25">
      <c r="P45" s="14" t="s">
        <v>34</v>
      </c>
      <c r="Q45" s="15" t="s">
        <v>35</v>
      </c>
      <c r="R45" s="15"/>
      <c r="S45" s="16">
        <v>20</v>
      </c>
    </row>
    <row r="46" spans="1:25" x14ac:dyDescent="0.25">
      <c r="P46" s="14" t="s">
        <v>36</v>
      </c>
      <c r="Q46" s="15" t="s">
        <v>37</v>
      </c>
      <c r="R46" s="15"/>
      <c r="S46" s="16">
        <v>20</v>
      </c>
    </row>
    <row r="47" spans="1:25" x14ac:dyDescent="0.25">
      <c r="P47" s="14" t="s">
        <v>38</v>
      </c>
      <c r="Q47" s="15" t="s">
        <v>39</v>
      </c>
      <c r="R47" s="15"/>
      <c r="S47" s="16">
        <v>20</v>
      </c>
    </row>
    <row r="48" spans="1:25" x14ac:dyDescent="0.25">
      <c r="P48" s="14"/>
      <c r="Q48" s="15"/>
      <c r="R48" s="15"/>
      <c r="S48" s="16"/>
    </row>
    <row r="49" spans="14:19" x14ac:dyDescent="0.25">
      <c r="P49" s="14"/>
      <c r="Q49" s="15"/>
      <c r="R49" s="15"/>
      <c r="S49" s="17" t="s">
        <v>40</v>
      </c>
    </row>
    <row r="50" spans="14:19" x14ac:dyDescent="0.25">
      <c r="P50" s="14"/>
      <c r="Q50" s="18"/>
      <c r="R50" s="18"/>
      <c r="S50" s="16"/>
    </row>
    <row r="51" spans="14:19" x14ac:dyDescent="0.25">
      <c r="P51" s="11"/>
      <c r="Q51" s="19" t="s">
        <v>25</v>
      </c>
      <c r="R51" s="19"/>
      <c r="S51" s="80">
        <f>SUM(S43:S48)</f>
        <v>100</v>
      </c>
    </row>
    <row r="54" spans="14:19" x14ac:dyDescent="0.25">
      <c r="N54" s="245"/>
      <c r="O54" s="242"/>
    </row>
  </sheetData>
  <sheetProtection algorithmName="SHA-512" hashValue="1an8185dttGDBFVsZfZvoxi0M7eWYtQxELqxv2KXJi9VLo8eT3yrk30wtBM9FyAhNRSYJl4pGKpmuO+iOobrsw==" saltValue="2XfpRyMZgZqLOhIpGW7xXg==" spinCount="100000" sheet="1" objects="1" scenarios="1"/>
  <dataConsolidate function="max" link="1"/>
  <mergeCells count="46">
    <mergeCell ref="P42:Q42"/>
    <mergeCell ref="A3:G3"/>
    <mergeCell ref="H3:Y3"/>
    <mergeCell ref="D4:G5"/>
    <mergeCell ref="P4:P5"/>
    <mergeCell ref="Q4:X5"/>
    <mergeCell ref="Y4:Y5"/>
    <mergeCell ref="B7:G7"/>
    <mergeCell ref="B8:G8"/>
    <mergeCell ref="B9:G9"/>
    <mergeCell ref="B10:G10"/>
    <mergeCell ref="B11:G11"/>
    <mergeCell ref="B23:G23"/>
    <mergeCell ref="B12:G12"/>
    <mergeCell ref="B13:G13"/>
    <mergeCell ref="B14:G14"/>
    <mergeCell ref="B15:G15"/>
    <mergeCell ref="B16:G16"/>
    <mergeCell ref="B17:G17"/>
    <mergeCell ref="B24:G24"/>
    <mergeCell ref="B18:G18"/>
    <mergeCell ref="B19:G19"/>
    <mergeCell ref="B20:G20"/>
    <mergeCell ref="B21:G21"/>
    <mergeCell ref="B22:G22"/>
    <mergeCell ref="B35:G35"/>
    <mergeCell ref="B25:G25"/>
    <mergeCell ref="B26:G26"/>
    <mergeCell ref="B27:G27"/>
    <mergeCell ref="B28:G28"/>
    <mergeCell ref="H4:O5"/>
    <mergeCell ref="B29:G29"/>
    <mergeCell ref="I40:N40"/>
    <mergeCell ref="R40:X40"/>
    <mergeCell ref="C6:G6"/>
    <mergeCell ref="B36:G36"/>
    <mergeCell ref="B37:G37"/>
    <mergeCell ref="I38:N38"/>
    <mergeCell ref="R38:X38"/>
    <mergeCell ref="I39:N39"/>
    <mergeCell ref="R39:X39"/>
    <mergeCell ref="B30:G30"/>
    <mergeCell ref="B31:G31"/>
    <mergeCell ref="B32:G32"/>
    <mergeCell ref="B33:G33"/>
    <mergeCell ref="B34:G34"/>
  </mergeCells>
  <dataValidations count="3">
    <dataValidation type="decimal" allowBlank="1" showErrorMessage="1" errorTitle="Erro." error="Ultrapassou cotação máxima." sqref="W8:X37 Q8:U36 I8:O37" xr:uid="{00000000-0002-0000-0500-000000000000}">
      <formula1>0</formula1>
      <formula2>I$7</formula2>
    </dataValidation>
    <dataValidation type="decimal" operator="lessThanOrEqual" allowBlank="1" showInputMessage="1" showErrorMessage="1" errorTitle="ERRO!" error="A pergunta não vale tanto!..." sqref="P8:P37" xr:uid="{00000000-0002-0000-0500-000001000000}">
      <formula1>P$7</formula1>
    </dataValidation>
    <dataValidation type="whole" allowBlank="1" showInputMessage="1" showErrorMessage="1" sqref="Q37:U37 V8:V37 H8:H37" xr:uid="{00000000-0002-0000-0500-000003000000}">
      <formula1>0</formula1>
      <formula2>H$7</formula2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Avaliação Períodos</vt:lpstr>
      <vt:lpstr>Leitura</vt:lpstr>
      <vt:lpstr>Oralidade</vt:lpstr>
      <vt:lpstr>Ed. Literária</vt:lpstr>
      <vt:lpstr>Gramática</vt:lpstr>
      <vt:lpstr>Escrita</vt:lpstr>
      <vt:lpstr>'Avaliação Períodos'!Área_de_Impressão</vt:lpstr>
      <vt:lpstr>Escrita!Área_de_Impressão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2021-06-23T13:04:06Z</cp:lastPrinted>
  <dcterms:created xsi:type="dcterms:W3CDTF">2011-09-16T07:34:53Z</dcterms:created>
  <dcterms:modified xsi:type="dcterms:W3CDTF">2021-11-15T19:26:15Z</dcterms:modified>
</cp:coreProperties>
</file>